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ĐỀ TÀI NCKH\DE TAI NCKH SV (Từ T4.2017)\2026\DANH MỤC 2026\"/>
    </mc:Choice>
  </mc:AlternateContent>
  <bookViews>
    <workbookView xWindow="0" yWindow="0" windowWidth="23040" windowHeight="8496"/>
  </bookViews>
  <sheets>
    <sheet name="IN merge" sheetId="23" r:id="rId1"/>
    <sheet name="Sheet1" sheetId="3" state="hidden" r:id="rId2"/>
  </sheets>
  <externalReferences>
    <externalReference r:id="rId3"/>
    <externalReference r:id="rId4"/>
  </externalReferences>
  <definedNames>
    <definedName name="_xlnm._FilterDatabase" localSheetId="0" hidden="1">'IN merge'!$A$1:$AH$333</definedName>
    <definedName name="_xlnm.Print_Area" localSheetId="1">Sheet1!$A$1:$J$41</definedName>
    <definedName name="_xlnm.Print_Titles" localSheetId="0">'IN merge'!$1:$1</definedName>
    <definedName name="_xlnm.Print_Titles" localSheetId="1">Sheet1!$7:$7</definedName>
  </definedNames>
  <calcPr calcId="162913"/>
</workbook>
</file>

<file path=xl/calcChain.xml><?xml version="1.0" encoding="utf-8"?>
<calcChain xmlns="http://schemas.openxmlformats.org/spreadsheetml/2006/main">
  <c r="M3" i="23" l="1"/>
  <c r="M4"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212" i="23"/>
  <c r="M213" i="23"/>
  <c r="M214" i="23"/>
  <c r="M215" i="23"/>
  <c r="M216" i="23"/>
  <c r="M217" i="23"/>
  <c r="M218" i="23"/>
  <c r="M219" i="23"/>
  <c r="M220" i="23"/>
  <c r="M221" i="23"/>
  <c r="M222" i="23"/>
  <c r="M223" i="23"/>
  <c r="M224" i="23"/>
  <c r="M225" i="23"/>
  <c r="M226" i="23"/>
  <c r="M227" i="23"/>
  <c r="M228" i="23"/>
  <c r="M229" i="23"/>
  <c r="M230" i="23"/>
  <c r="M231" i="23"/>
  <c r="M232" i="23"/>
  <c r="M233" i="23"/>
  <c r="M234" i="23"/>
  <c r="M235" i="23"/>
  <c r="M236" i="23"/>
  <c r="M237" i="23"/>
  <c r="M238" i="23"/>
  <c r="M239" i="23"/>
  <c r="M240" i="23"/>
  <c r="M241" i="23"/>
  <c r="M242" i="23"/>
  <c r="M243" i="23"/>
  <c r="M244" i="23"/>
  <c r="M245" i="23"/>
  <c r="M246" i="23"/>
  <c r="M247" i="23"/>
  <c r="M248" i="23"/>
  <c r="M249" i="23"/>
  <c r="M250" i="23"/>
  <c r="M251" i="23"/>
  <c r="M252" i="23"/>
  <c r="M253" i="23"/>
  <c r="M254" i="23"/>
  <c r="M255" i="23"/>
  <c r="M256" i="23"/>
  <c r="M257" i="23"/>
  <c r="M258" i="23"/>
  <c r="M259" i="23"/>
  <c r="M260" i="23"/>
  <c r="M261" i="23"/>
  <c r="M262" i="23"/>
  <c r="M263" i="23"/>
  <c r="M264" i="23"/>
  <c r="M265" i="23"/>
  <c r="M266" i="23"/>
  <c r="M267" i="23"/>
  <c r="M268" i="23"/>
  <c r="M269" i="23"/>
  <c r="M270" i="23"/>
  <c r="M271" i="23"/>
  <c r="M272" i="23"/>
  <c r="M273" i="23"/>
  <c r="M274" i="23"/>
  <c r="M275" i="23"/>
  <c r="M276" i="23"/>
  <c r="M277" i="23"/>
  <c r="M278" i="23"/>
  <c r="M279" i="23"/>
  <c r="M280" i="23"/>
  <c r="M281" i="23"/>
  <c r="M282" i="23"/>
  <c r="M283" i="23"/>
  <c r="M284" i="23"/>
  <c r="M285" i="23"/>
  <c r="M286" i="23"/>
  <c r="M287" i="23"/>
  <c r="M288" i="23"/>
  <c r="M289" i="23"/>
  <c r="M290" i="23"/>
  <c r="M291" i="23"/>
  <c r="M292" i="23"/>
  <c r="M293" i="23"/>
  <c r="M294" i="23"/>
  <c r="M295" i="23"/>
  <c r="M296" i="23"/>
  <c r="M297" i="23"/>
  <c r="M298" i="23"/>
  <c r="M299" i="23"/>
  <c r="M300" i="23"/>
  <c r="M301" i="23"/>
  <c r="M302" i="23"/>
  <c r="M303" i="23"/>
  <c r="M304" i="23"/>
  <c r="M305" i="23"/>
  <c r="M306" i="23"/>
  <c r="M307" i="23"/>
  <c r="M308" i="23"/>
  <c r="M309" i="23"/>
  <c r="M310" i="23"/>
  <c r="M311" i="23"/>
  <c r="M312" i="23"/>
  <c r="M313" i="23"/>
  <c r="M314" i="23"/>
  <c r="M315" i="23"/>
  <c r="M316" i="23"/>
  <c r="M317" i="23"/>
  <c r="M318" i="23"/>
  <c r="M319" i="23"/>
  <c r="M320" i="23"/>
  <c r="M321" i="23"/>
  <c r="M322" i="23"/>
  <c r="M323" i="23"/>
  <c r="M324" i="23"/>
  <c r="M325" i="23"/>
  <c r="M326" i="23"/>
  <c r="M327" i="23"/>
  <c r="M328" i="23"/>
  <c r="M329" i="23"/>
  <c r="M330" i="23"/>
  <c r="M331" i="23"/>
  <c r="M332" i="23"/>
  <c r="M333" i="23"/>
  <c r="M2"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H312" i="23"/>
  <c r="H313" i="23"/>
  <c r="H314" i="23"/>
  <c r="H315" i="23"/>
  <c r="H316" i="23"/>
  <c r="H317" i="23"/>
  <c r="H318" i="23"/>
  <c r="H319" i="23"/>
  <c r="H320" i="23"/>
  <c r="H321" i="23"/>
  <c r="H323" i="23"/>
  <c r="H324" i="23"/>
  <c r="H325" i="23"/>
  <c r="H326" i="23"/>
  <c r="H327" i="23"/>
  <c r="H328" i="23"/>
  <c r="H329" i="23"/>
  <c r="H330" i="23"/>
  <c r="H331" i="23"/>
  <c r="H332" i="23"/>
  <c r="H333" i="23"/>
  <c r="I333" i="23"/>
  <c r="I332" i="23"/>
  <c r="I331" i="23"/>
  <c r="I330" i="23"/>
  <c r="I329" i="23"/>
  <c r="I328" i="23"/>
  <c r="I327" i="23"/>
  <c r="I326" i="23"/>
  <c r="I325" i="23"/>
  <c r="I324" i="23"/>
  <c r="I323" i="23"/>
  <c r="I322" i="23"/>
  <c r="I321" i="23"/>
  <c r="I320" i="23"/>
  <c r="I319" i="23"/>
  <c r="I318" i="23"/>
  <c r="I317" i="23"/>
  <c r="I316" i="23"/>
  <c r="I315" i="23"/>
  <c r="I314" i="23"/>
  <c r="I313" i="23"/>
  <c r="I312" i="23"/>
  <c r="I311" i="23"/>
  <c r="I310" i="23"/>
  <c r="I309" i="23"/>
  <c r="I308" i="23"/>
  <c r="I307" i="23"/>
  <c r="I306" i="23"/>
  <c r="I305" i="23"/>
  <c r="I304" i="23"/>
  <c r="I303" i="23"/>
  <c r="I302" i="23"/>
  <c r="I301" i="23"/>
  <c r="I300" i="23"/>
  <c r="I299" i="23"/>
  <c r="I298" i="23"/>
  <c r="I297" i="23"/>
  <c r="I296" i="23"/>
  <c r="I295" i="23"/>
  <c r="I294" i="23"/>
  <c r="I293" i="23"/>
  <c r="I292" i="23"/>
  <c r="I291" i="23"/>
  <c r="I290" i="23"/>
  <c r="I289" i="23"/>
  <c r="I288" i="23"/>
  <c r="I287" i="23"/>
  <c r="I286" i="23"/>
  <c r="I285" i="23"/>
  <c r="I284" i="23"/>
  <c r="I283" i="23"/>
  <c r="I282" i="23"/>
  <c r="I281" i="23"/>
  <c r="I280" i="23"/>
  <c r="I279" i="23"/>
  <c r="I278" i="23"/>
  <c r="I277" i="23"/>
  <c r="I276" i="23"/>
  <c r="I275" i="23"/>
  <c r="I274" i="23"/>
  <c r="I273" i="23"/>
  <c r="I272" i="23"/>
  <c r="I271" i="23"/>
  <c r="I270" i="23"/>
  <c r="I269" i="23"/>
  <c r="I268" i="23"/>
  <c r="I267" i="23"/>
  <c r="I266" i="23"/>
  <c r="I265" i="23"/>
  <c r="I264" i="23"/>
  <c r="I263" i="23"/>
  <c r="I262" i="23"/>
  <c r="I261" i="23"/>
  <c r="I260" i="23"/>
  <c r="I259" i="23"/>
  <c r="I258" i="23"/>
  <c r="I257" i="23"/>
  <c r="I256" i="23"/>
  <c r="I255" i="23"/>
  <c r="I254" i="23"/>
  <c r="I253" i="23"/>
  <c r="I252" i="23"/>
  <c r="I251" i="23"/>
  <c r="I250" i="23"/>
  <c r="I249" i="23"/>
  <c r="I248" i="23"/>
  <c r="I247" i="23"/>
  <c r="I246" i="23"/>
  <c r="I245" i="23"/>
  <c r="I244" i="23"/>
  <c r="I243" i="23"/>
  <c r="I242" i="23"/>
  <c r="I241" i="23"/>
  <c r="I240" i="23"/>
  <c r="I239" i="23"/>
  <c r="I238" i="23"/>
  <c r="I237" i="23"/>
  <c r="I236" i="23"/>
  <c r="I235" i="23"/>
  <c r="I234" i="23"/>
  <c r="I233" i="23"/>
  <c r="I232" i="23"/>
  <c r="I231" i="23"/>
  <c r="I230" i="23"/>
  <c r="I229" i="23"/>
  <c r="I228" i="23"/>
  <c r="I227" i="23"/>
  <c r="I226" i="23"/>
  <c r="I225" i="23"/>
  <c r="I224" i="23"/>
  <c r="I223" i="23"/>
  <c r="I222" i="23"/>
  <c r="I221" i="23"/>
  <c r="I220" i="23"/>
  <c r="I219" i="23"/>
  <c r="I218" i="23"/>
  <c r="I217" i="23"/>
  <c r="I216" i="23"/>
  <c r="I215" i="23"/>
  <c r="I214" i="23"/>
  <c r="I213" i="23"/>
  <c r="I212" i="23"/>
  <c r="I211" i="23"/>
  <c r="I210" i="23"/>
  <c r="I209" i="23"/>
  <c r="I208" i="23"/>
  <c r="I207" i="23"/>
  <c r="I206" i="23"/>
  <c r="I205" i="23"/>
  <c r="I204" i="23"/>
  <c r="I203" i="23"/>
  <c r="I202" i="23"/>
  <c r="I201" i="23"/>
  <c r="I200" i="23"/>
  <c r="I199" i="23"/>
  <c r="I198" i="23"/>
  <c r="I197" i="23"/>
  <c r="I196" i="23"/>
  <c r="I195" i="23"/>
  <c r="I194" i="23"/>
  <c r="I193" i="23"/>
  <c r="I192" i="23"/>
  <c r="I191" i="23"/>
  <c r="I190" i="23"/>
  <c r="I189" i="23"/>
  <c r="I188" i="23"/>
  <c r="I187" i="23"/>
  <c r="I186" i="23"/>
  <c r="I185" i="23"/>
  <c r="I184" i="23"/>
  <c r="I183" i="23"/>
  <c r="I182" i="23"/>
  <c r="I181" i="23"/>
  <c r="I180" i="23"/>
  <c r="I179" i="23"/>
  <c r="I178" i="23"/>
  <c r="I177" i="23"/>
  <c r="I176" i="23"/>
  <c r="I175" i="23"/>
  <c r="I174" i="23"/>
  <c r="I173" i="23"/>
  <c r="I172" i="23"/>
  <c r="I171" i="23"/>
  <c r="I170" i="23"/>
  <c r="I169" i="23"/>
  <c r="I168" i="23"/>
  <c r="I167" i="23"/>
  <c r="I166" i="23"/>
  <c r="I165" i="23"/>
  <c r="I164" i="23"/>
  <c r="I163" i="23"/>
  <c r="I162" i="23"/>
  <c r="I161" i="23"/>
  <c r="I160" i="23"/>
  <c r="I159" i="23"/>
  <c r="I158" i="23"/>
  <c r="I157" i="23"/>
  <c r="I156" i="23"/>
  <c r="I155" i="23"/>
  <c r="I154" i="23"/>
  <c r="I153" i="23"/>
  <c r="I152" i="23"/>
  <c r="I151" i="23"/>
  <c r="I150" i="23"/>
  <c r="I149" i="23"/>
  <c r="I148" i="23"/>
  <c r="I147" i="23"/>
  <c r="I146" i="23"/>
  <c r="I145" i="23"/>
  <c r="I143" i="23"/>
  <c r="I142" i="23"/>
  <c r="I141" i="23"/>
  <c r="I140" i="23"/>
  <c r="I139" i="23"/>
  <c r="I138" i="23"/>
  <c r="I137" i="23"/>
  <c r="I136" i="23"/>
  <c r="I135" i="23"/>
  <c r="I134" i="23"/>
  <c r="I133" i="23"/>
  <c r="I132" i="23"/>
  <c r="I131" i="23"/>
  <c r="I130" i="23"/>
  <c r="I129" i="23"/>
  <c r="I128" i="23"/>
  <c r="I127" i="23"/>
  <c r="I126" i="23"/>
  <c r="I125" i="23"/>
  <c r="I124" i="23"/>
  <c r="I123" i="23"/>
  <c r="I122" i="23"/>
  <c r="I121" i="23"/>
  <c r="I120" i="23"/>
  <c r="I119" i="23"/>
  <c r="I118" i="23"/>
  <c r="I117" i="23"/>
  <c r="I116" i="23"/>
  <c r="I115" i="23"/>
  <c r="I114" i="23"/>
  <c r="I113" i="23"/>
  <c r="I112" i="23"/>
  <c r="I111" i="23"/>
  <c r="I110" i="23"/>
  <c r="I109" i="23"/>
  <c r="I108" i="23"/>
  <c r="I107" i="23"/>
  <c r="I106" i="23"/>
  <c r="I105" i="23"/>
  <c r="I104" i="23"/>
  <c r="I103" i="23"/>
  <c r="I102" i="23"/>
  <c r="I101" i="23"/>
  <c r="I100" i="23"/>
  <c r="I99" i="23"/>
  <c r="I98" i="23"/>
  <c r="I97" i="23"/>
  <c r="I96" i="23"/>
  <c r="I95" i="23"/>
  <c r="I94"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I2"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2" i="23"/>
  <c r="G331" i="23" l="1"/>
  <c r="F331" i="23" s="1"/>
  <c r="G3" i="23"/>
  <c r="F3" i="23" s="1"/>
  <c r="G4" i="23"/>
  <c r="F4" i="23" s="1"/>
  <c r="G5" i="23"/>
  <c r="F5" i="23" s="1"/>
  <c r="G6" i="23"/>
  <c r="F6" i="23" s="1"/>
  <c r="G7" i="23"/>
  <c r="F7" i="23" s="1"/>
  <c r="G8" i="23"/>
  <c r="F8" i="23" s="1"/>
  <c r="G9" i="23"/>
  <c r="F9" i="23" s="1"/>
  <c r="G10" i="23"/>
  <c r="F10" i="23" s="1"/>
  <c r="G11" i="23"/>
  <c r="F11" i="23" s="1"/>
  <c r="G12" i="23"/>
  <c r="F12" i="23" s="1"/>
  <c r="G13" i="23"/>
  <c r="F13" i="23" s="1"/>
  <c r="G14" i="23"/>
  <c r="F14" i="23" s="1"/>
  <c r="G15" i="23"/>
  <c r="F15" i="23" s="1"/>
  <c r="G16" i="23"/>
  <c r="F16" i="23" s="1"/>
  <c r="G17" i="23"/>
  <c r="F17" i="23" s="1"/>
  <c r="G18" i="23"/>
  <c r="F18" i="23" s="1"/>
  <c r="G19" i="23"/>
  <c r="F19" i="23" s="1"/>
  <c r="G20" i="23"/>
  <c r="F20" i="23" s="1"/>
  <c r="G21" i="23"/>
  <c r="F21" i="23" s="1"/>
  <c r="G22" i="23"/>
  <c r="F22" i="23" s="1"/>
  <c r="G23" i="23"/>
  <c r="F23" i="23" s="1"/>
  <c r="G24" i="23"/>
  <c r="F24" i="23" s="1"/>
  <c r="G25" i="23"/>
  <c r="F25" i="23" s="1"/>
  <c r="G26" i="23"/>
  <c r="F26" i="23" s="1"/>
  <c r="G27" i="23"/>
  <c r="F27" i="23" s="1"/>
  <c r="G28" i="23"/>
  <c r="F28" i="23" s="1"/>
  <c r="G29" i="23"/>
  <c r="F29" i="23" s="1"/>
  <c r="G30" i="23"/>
  <c r="F30" i="23" s="1"/>
  <c r="G31" i="23"/>
  <c r="F31" i="23" s="1"/>
  <c r="G32" i="23"/>
  <c r="F32" i="23" s="1"/>
  <c r="G33" i="23"/>
  <c r="F33" i="23" s="1"/>
  <c r="G34" i="23"/>
  <c r="F34" i="23" s="1"/>
  <c r="G35" i="23"/>
  <c r="F35" i="23" s="1"/>
  <c r="G36" i="23"/>
  <c r="F36" i="23" s="1"/>
  <c r="G37" i="23"/>
  <c r="F37" i="23" s="1"/>
  <c r="G38" i="23"/>
  <c r="F38" i="23" s="1"/>
  <c r="G39" i="23"/>
  <c r="F39" i="23" s="1"/>
  <c r="G40" i="23"/>
  <c r="F40" i="23" s="1"/>
  <c r="G41" i="23"/>
  <c r="F41" i="23" s="1"/>
  <c r="G42" i="23"/>
  <c r="F42" i="23" s="1"/>
  <c r="G43" i="23"/>
  <c r="F43" i="23" s="1"/>
  <c r="G44" i="23"/>
  <c r="F44" i="23" s="1"/>
  <c r="G45" i="23"/>
  <c r="F45" i="23" s="1"/>
  <c r="G46" i="23"/>
  <c r="F46" i="23" s="1"/>
  <c r="G47" i="23"/>
  <c r="F47" i="23" s="1"/>
  <c r="G48" i="23"/>
  <c r="F48" i="23" s="1"/>
  <c r="G49" i="23"/>
  <c r="F49" i="23" s="1"/>
  <c r="G50" i="23"/>
  <c r="F50" i="23" s="1"/>
  <c r="G51" i="23"/>
  <c r="F51" i="23" s="1"/>
  <c r="G52" i="23"/>
  <c r="F52" i="23" s="1"/>
  <c r="G53" i="23"/>
  <c r="F53" i="23" s="1"/>
  <c r="G54" i="23"/>
  <c r="F54" i="23" s="1"/>
  <c r="G55" i="23"/>
  <c r="F55" i="23" s="1"/>
  <c r="G56" i="23"/>
  <c r="F56" i="23" s="1"/>
  <c r="G57" i="23"/>
  <c r="F57" i="23" s="1"/>
  <c r="G58" i="23"/>
  <c r="F58" i="23" s="1"/>
  <c r="G59" i="23"/>
  <c r="F59" i="23" s="1"/>
  <c r="G60" i="23"/>
  <c r="F60" i="23" s="1"/>
  <c r="G61" i="23"/>
  <c r="F61" i="23" s="1"/>
  <c r="G62" i="23"/>
  <c r="F62" i="23" s="1"/>
  <c r="G63" i="23"/>
  <c r="F63" i="23" s="1"/>
  <c r="G64" i="23"/>
  <c r="F64" i="23" s="1"/>
  <c r="G65" i="23"/>
  <c r="F65" i="23" s="1"/>
  <c r="G66" i="23"/>
  <c r="F66" i="23" s="1"/>
  <c r="G67" i="23"/>
  <c r="F67" i="23" s="1"/>
  <c r="G68" i="23"/>
  <c r="F68" i="23" s="1"/>
  <c r="G69" i="23"/>
  <c r="F69" i="23" s="1"/>
  <c r="G70" i="23"/>
  <c r="F70" i="23" s="1"/>
  <c r="G71" i="23"/>
  <c r="F71" i="23" s="1"/>
  <c r="G72" i="23"/>
  <c r="F72" i="23" s="1"/>
  <c r="G73" i="23"/>
  <c r="F73" i="23" s="1"/>
  <c r="G74" i="23"/>
  <c r="F74" i="23" s="1"/>
  <c r="G75" i="23"/>
  <c r="F75" i="23" s="1"/>
  <c r="G76" i="23"/>
  <c r="F76" i="23" s="1"/>
  <c r="G77" i="23"/>
  <c r="F77" i="23" s="1"/>
  <c r="G78" i="23"/>
  <c r="F78" i="23" s="1"/>
  <c r="G79" i="23"/>
  <c r="F79" i="23" s="1"/>
  <c r="G80" i="23"/>
  <c r="F80" i="23" s="1"/>
  <c r="G81" i="23"/>
  <c r="F81" i="23" s="1"/>
  <c r="G82" i="23"/>
  <c r="F82" i="23" s="1"/>
  <c r="G83" i="23"/>
  <c r="F83" i="23" s="1"/>
  <c r="G84" i="23"/>
  <c r="F84" i="23" s="1"/>
  <c r="G85" i="23"/>
  <c r="F85" i="23" s="1"/>
  <c r="G86" i="23"/>
  <c r="F86" i="23" s="1"/>
  <c r="G87" i="23"/>
  <c r="F87" i="23" s="1"/>
  <c r="G88" i="23"/>
  <c r="F88" i="23" s="1"/>
  <c r="G89" i="23"/>
  <c r="F89" i="23" s="1"/>
  <c r="G90" i="23"/>
  <c r="F90" i="23" s="1"/>
  <c r="G91" i="23"/>
  <c r="F91" i="23" s="1"/>
  <c r="G92" i="23"/>
  <c r="F92" i="23" s="1"/>
  <c r="G93" i="23"/>
  <c r="F93" i="23" s="1"/>
  <c r="G94" i="23"/>
  <c r="F94" i="23" s="1"/>
  <c r="G95" i="23"/>
  <c r="F95" i="23" s="1"/>
  <c r="G96" i="23"/>
  <c r="F96" i="23" s="1"/>
  <c r="G97" i="23"/>
  <c r="F97" i="23" s="1"/>
  <c r="G98" i="23"/>
  <c r="F98" i="23" s="1"/>
  <c r="G99" i="23"/>
  <c r="F99" i="23" s="1"/>
  <c r="G100" i="23"/>
  <c r="F100" i="23" s="1"/>
  <c r="G101" i="23"/>
  <c r="F101" i="23" s="1"/>
  <c r="G102" i="23"/>
  <c r="F102" i="23" s="1"/>
  <c r="G103" i="23"/>
  <c r="F103" i="23" s="1"/>
  <c r="G104" i="23"/>
  <c r="F104" i="23" s="1"/>
  <c r="G105" i="23"/>
  <c r="F105" i="23" s="1"/>
  <c r="G106" i="23"/>
  <c r="F106" i="23" s="1"/>
  <c r="G107" i="23"/>
  <c r="F107" i="23" s="1"/>
  <c r="G108" i="23"/>
  <c r="F108" i="23" s="1"/>
  <c r="G109" i="23"/>
  <c r="F109" i="23" s="1"/>
  <c r="G110" i="23"/>
  <c r="F110" i="23" s="1"/>
  <c r="G111" i="23"/>
  <c r="F111" i="23" s="1"/>
  <c r="G112" i="23"/>
  <c r="F112" i="23" s="1"/>
  <c r="G113" i="23"/>
  <c r="F113" i="23" s="1"/>
  <c r="G114" i="23"/>
  <c r="F114" i="23" s="1"/>
  <c r="G115" i="23"/>
  <c r="F115" i="23" s="1"/>
  <c r="G116" i="23"/>
  <c r="F116" i="23" s="1"/>
  <c r="G117" i="23"/>
  <c r="F117" i="23" s="1"/>
  <c r="G118" i="23"/>
  <c r="F118" i="23" s="1"/>
  <c r="G119" i="23"/>
  <c r="F119" i="23" s="1"/>
  <c r="G120" i="23"/>
  <c r="F120" i="23" s="1"/>
  <c r="G121" i="23"/>
  <c r="F121" i="23" s="1"/>
  <c r="G122" i="23"/>
  <c r="F122" i="23" s="1"/>
  <c r="G123" i="23"/>
  <c r="F123" i="23" s="1"/>
  <c r="G124" i="23"/>
  <c r="F124" i="23" s="1"/>
  <c r="G125" i="23"/>
  <c r="F125" i="23" s="1"/>
  <c r="G126" i="23"/>
  <c r="F126" i="23" s="1"/>
  <c r="G127" i="23"/>
  <c r="F127" i="23" s="1"/>
  <c r="G128" i="23"/>
  <c r="F128" i="23" s="1"/>
  <c r="G129" i="23"/>
  <c r="F129" i="23" s="1"/>
  <c r="G130" i="23"/>
  <c r="F130" i="23" s="1"/>
  <c r="G131" i="23"/>
  <c r="F131" i="23" s="1"/>
  <c r="G132" i="23"/>
  <c r="F132" i="23" s="1"/>
  <c r="G133" i="23"/>
  <c r="F133" i="23" s="1"/>
  <c r="G134" i="23"/>
  <c r="F134" i="23" s="1"/>
  <c r="G135" i="23"/>
  <c r="F135" i="23" s="1"/>
  <c r="G136" i="23"/>
  <c r="F136" i="23" s="1"/>
  <c r="G137" i="23"/>
  <c r="F137" i="23" s="1"/>
  <c r="G138" i="23"/>
  <c r="F138" i="23" s="1"/>
  <c r="G139" i="23"/>
  <c r="F139" i="23" s="1"/>
  <c r="G140" i="23"/>
  <c r="F140" i="23" s="1"/>
  <c r="G141" i="23"/>
  <c r="F141" i="23" s="1"/>
  <c r="G142" i="23"/>
  <c r="F142" i="23" s="1"/>
  <c r="G143" i="23"/>
  <c r="F143" i="23" s="1"/>
  <c r="G144" i="23"/>
  <c r="F144" i="23" s="1"/>
  <c r="G145" i="23"/>
  <c r="F145" i="23" s="1"/>
  <c r="G146" i="23"/>
  <c r="F146" i="23" s="1"/>
  <c r="G147" i="23"/>
  <c r="F147" i="23" s="1"/>
  <c r="G148" i="23"/>
  <c r="F148" i="23" s="1"/>
  <c r="G149" i="23"/>
  <c r="F149" i="23" s="1"/>
  <c r="G150" i="23"/>
  <c r="F150" i="23" s="1"/>
  <c r="G151" i="23"/>
  <c r="F151" i="23" s="1"/>
  <c r="G152" i="23"/>
  <c r="F152" i="23" s="1"/>
  <c r="G153" i="23"/>
  <c r="F153" i="23" s="1"/>
  <c r="G154" i="23"/>
  <c r="F154" i="23" s="1"/>
  <c r="G155" i="23"/>
  <c r="F155" i="23" s="1"/>
  <c r="G156" i="23"/>
  <c r="F156" i="23" s="1"/>
  <c r="G157" i="23"/>
  <c r="F157" i="23" s="1"/>
  <c r="G158" i="23"/>
  <c r="F158" i="23" s="1"/>
  <c r="G159" i="23"/>
  <c r="F159" i="23" s="1"/>
  <c r="G160" i="23"/>
  <c r="F160" i="23" s="1"/>
  <c r="G161" i="23"/>
  <c r="F161" i="23" s="1"/>
  <c r="G162" i="23"/>
  <c r="F162" i="23" s="1"/>
  <c r="G163" i="23"/>
  <c r="F163" i="23" s="1"/>
  <c r="G164" i="23"/>
  <c r="F164" i="23" s="1"/>
  <c r="G165" i="23"/>
  <c r="F165" i="23" s="1"/>
  <c r="G166" i="23"/>
  <c r="F166" i="23" s="1"/>
  <c r="G167" i="23"/>
  <c r="F167" i="23" s="1"/>
  <c r="G168" i="23"/>
  <c r="F168" i="23" s="1"/>
  <c r="G169" i="23"/>
  <c r="F169" i="23" s="1"/>
  <c r="G170" i="23"/>
  <c r="F170" i="23" s="1"/>
  <c r="G171" i="23"/>
  <c r="F171" i="23" s="1"/>
  <c r="G172" i="23"/>
  <c r="F172" i="23" s="1"/>
  <c r="G173" i="23"/>
  <c r="F173" i="23" s="1"/>
  <c r="G174" i="23"/>
  <c r="F174" i="23" s="1"/>
  <c r="G175" i="23"/>
  <c r="F175" i="23" s="1"/>
  <c r="G176" i="23"/>
  <c r="F176" i="23" s="1"/>
  <c r="G177" i="23"/>
  <c r="F177" i="23" s="1"/>
  <c r="G178" i="23"/>
  <c r="F178" i="23" s="1"/>
  <c r="G179" i="23"/>
  <c r="F179" i="23" s="1"/>
  <c r="G180" i="23"/>
  <c r="F180" i="23" s="1"/>
  <c r="G181" i="23"/>
  <c r="F181" i="23" s="1"/>
  <c r="G182" i="23"/>
  <c r="F182" i="23" s="1"/>
  <c r="G183" i="23"/>
  <c r="F183" i="23" s="1"/>
  <c r="G184" i="23"/>
  <c r="F184" i="23" s="1"/>
  <c r="G185" i="23"/>
  <c r="F185" i="23" s="1"/>
  <c r="G186" i="23"/>
  <c r="F186" i="23" s="1"/>
  <c r="G187" i="23"/>
  <c r="F187" i="23" s="1"/>
  <c r="G188" i="23"/>
  <c r="F188" i="23" s="1"/>
  <c r="G189" i="23"/>
  <c r="F189" i="23" s="1"/>
  <c r="G190" i="23"/>
  <c r="F190" i="23" s="1"/>
  <c r="G191" i="23"/>
  <c r="F191" i="23" s="1"/>
  <c r="G192" i="23"/>
  <c r="F192" i="23" s="1"/>
  <c r="G193" i="23"/>
  <c r="F193" i="23" s="1"/>
  <c r="G194" i="23"/>
  <c r="F194" i="23" s="1"/>
  <c r="G195" i="23"/>
  <c r="F195" i="23" s="1"/>
  <c r="G196" i="23"/>
  <c r="F196" i="23" s="1"/>
  <c r="G197" i="23"/>
  <c r="F197" i="23" s="1"/>
  <c r="G198" i="23"/>
  <c r="F198" i="23" s="1"/>
  <c r="G199" i="23"/>
  <c r="F199" i="23" s="1"/>
  <c r="G200" i="23"/>
  <c r="F200" i="23" s="1"/>
  <c r="G201" i="23"/>
  <c r="F201" i="23" s="1"/>
  <c r="G202" i="23"/>
  <c r="F202" i="23" s="1"/>
  <c r="G203" i="23"/>
  <c r="F203" i="23" s="1"/>
  <c r="G204" i="23"/>
  <c r="F204" i="23" s="1"/>
  <c r="G205" i="23"/>
  <c r="F205" i="23" s="1"/>
  <c r="G206" i="23"/>
  <c r="F206" i="23" s="1"/>
  <c r="G207" i="23"/>
  <c r="F207" i="23" s="1"/>
  <c r="G208" i="23"/>
  <c r="F208" i="23" s="1"/>
  <c r="G209" i="23"/>
  <c r="F209" i="23" s="1"/>
  <c r="G210" i="23"/>
  <c r="F210" i="23" s="1"/>
  <c r="G211" i="23"/>
  <c r="F211" i="23" s="1"/>
  <c r="G212" i="23"/>
  <c r="F212" i="23" s="1"/>
  <c r="G213" i="23"/>
  <c r="F213" i="23" s="1"/>
  <c r="G214" i="23"/>
  <c r="F214" i="23" s="1"/>
  <c r="G215" i="23"/>
  <c r="F215" i="23" s="1"/>
  <c r="G216" i="23"/>
  <c r="F216" i="23" s="1"/>
  <c r="G217" i="23"/>
  <c r="F217" i="23" s="1"/>
  <c r="G218" i="23"/>
  <c r="F218" i="23" s="1"/>
  <c r="G219" i="23"/>
  <c r="F219" i="23" s="1"/>
  <c r="G220" i="23"/>
  <c r="F220" i="23" s="1"/>
  <c r="G221" i="23"/>
  <c r="F221" i="23" s="1"/>
  <c r="G222" i="23"/>
  <c r="F222" i="23" s="1"/>
  <c r="G223" i="23"/>
  <c r="F223" i="23" s="1"/>
  <c r="G224" i="23"/>
  <c r="F224" i="23" s="1"/>
  <c r="G225" i="23"/>
  <c r="F225" i="23" s="1"/>
  <c r="G226" i="23"/>
  <c r="F226" i="23" s="1"/>
  <c r="G227" i="23"/>
  <c r="F227" i="23" s="1"/>
  <c r="G228" i="23"/>
  <c r="F228" i="23" s="1"/>
  <c r="G229" i="23"/>
  <c r="F229" i="23" s="1"/>
  <c r="G230" i="23"/>
  <c r="F230" i="23" s="1"/>
  <c r="G231" i="23"/>
  <c r="F231" i="23" s="1"/>
  <c r="G232" i="23"/>
  <c r="F232" i="23" s="1"/>
  <c r="G233" i="23"/>
  <c r="F233" i="23" s="1"/>
  <c r="G234" i="23"/>
  <c r="F234" i="23" s="1"/>
  <c r="G235" i="23"/>
  <c r="F235" i="23" s="1"/>
  <c r="G236" i="23"/>
  <c r="F236" i="23" s="1"/>
  <c r="G237" i="23"/>
  <c r="F237" i="23" s="1"/>
  <c r="G238" i="23"/>
  <c r="F238" i="23" s="1"/>
  <c r="G239" i="23"/>
  <c r="F239" i="23" s="1"/>
  <c r="G240" i="23"/>
  <c r="F240" i="23" s="1"/>
  <c r="G241" i="23"/>
  <c r="F241" i="23" s="1"/>
  <c r="G242" i="23"/>
  <c r="F242" i="23" s="1"/>
  <c r="G243" i="23"/>
  <c r="F243" i="23" s="1"/>
  <c r="G244" i="23"/>
  <c r="F244" i="23" s="1"/>
  <c r="G245" i="23"/>
  <c r="F245" i="23" s="1"/>
  <c r="G246" i="23"/>
  <c r="F246" i="23" s="1"/>
  <c r="G247" i="23"/>
  <c r="F247" i="23" s="1"/>
  <c r="G248" i="23"/>
  <c r="F248" i="23" s="1"/>
  <c r="G249" i="23"/>
  <c r="F249" i="23" s="1"/>
  <c r="G250" i="23"/>
  <c r="F250" i="23" s="1"/>
  <c r="G251" i="23"/>
  <c r="F251" i="23" s="1"/>
  <c r="G252" i="23"/>
  <c r="F252" i="23" s="1"/>
  <c r="G253" i="23"/>
  <c r="F253" i="23" s="1"/>
  <c r="G254" i="23"/>
  <c r="F254" i="23" s="1"/>
  <c r="G255" i="23"/>
  <c r="F255" i="23" s="1"/>
  <c r="G256" i="23"/>
  <c r="F256" i="23" s="1"/>
  <c r="G257" i="23"/>
  <c r="F257" i="23" s="1"/>
  <c r="G258" i="23"/>
  <c r="F258" i="23" s="1"/>
  <c r="G259" i="23"/>
  <c r="F259" i="23" s="1"/>
  <c r="G260" i="23"/>
  <c r="F260" i="23" s="1"/>
  <c r="G261" i="23"/>
  <c r="F261" i="23" s="1"/>
  <c r="G262" i="23"/>
  <c r="F262" i="23" s="1"/>
  <c r="G263" i="23"/>
  <c r="F263" i="23" s="1"/>
  <c r="G264" i="23"/>
  <c r="F264" i="23" s="1"/>
  <c r="G265" i="23"/>
  <c r="F265" i="23" s="1"/>
  <c r="G266" i="23"/>
  <c r="F266" i="23" s="1"/>
  <c r="G267" i="23"/>
  <c r="F267" i="23" s="1"/>
  <c r="G268" i="23"/>
  <c r="F268" i="23" s="1"/>
  <c r="G269" i="23"/>
  <c r="F269" i="23" s="1"/>
  <c r="G270" i="23"/>
  <c r="F270" i="23" s="1"/>
  <c r="G271" i="23"/>
  <c r="F271" i="23" s="1"/>
  <c r="G272" i="23"/>
  <c r="F272" i="23" s="1"/>
  <c r="G273" i="23"/>
  <c r="F273" i="23" s="1"/>
  <c r="G274" i="23"/>
  <c r="F274" i="23" s="1"/>
  <c r="G275" i="23"/>
  <c r="F275" i="23" s="1"/>
  <c r="G276" i="23"/>
  <c r="F276" i="23" s="1"/>
  <c r="G277" i="23"/>
  <c r="F277" i="23" s="1"/>
  <c r="G278" i="23"/>
  <c r="F278" i="23" s="1"/>
  <c r="G279" i="23"/>
  <c r="F279" i="23" s="1"/>
  <c r="G280" i="23"/>
  <c r="F280" i="23" s="1"/>
  <c r="G281" i="23"/>
  <c r="F281" i="23" s="1"/>
  <c r="G282" i="23"/>
  <c r="F282" i="23" s="1"/>
  <c r="G283" i="23"/>
  <c r="F283" i="23" s="1"/>
  <c r="G284" i="23"/>
  <c r="F284" i="23" s="1"/>
  <c r="G285" i="23"/>
  <c r="F285" i="23" s="1"/>
  <c r="G286" i="23"/>
  <c r="F286" i="23" s="1"/>
  <c r="G287" i="23"/>
  <c r="F287" i="23" s="1"/>
  <c r="G288" i="23"/>
  <c r="F288" i="23" s="1"/>
  <c r="G289" i="23"/>
  <c r="F289" i="23" s="1"/>
  <c r="G290" i="23"/>
  <c r="F290" i="23" s="1"/>
  <c r="G291" i="23"/>
  <c r="F291" i="23" s="1"/>
  <c r="G292" i="23"/>
  <c r="F292" i="23" s="1"/>
  <c r="G293" i="23"/>
  <c r="F293" i="23" s="1"/>
  <c r="G294" i="23"/>
  <c r="F294" i="23" s="1"/>
  <c r="G295" i="23"/>
  <c r="F295" i="23" s="1"/>
  <c r="G296" i="23"/>
  <c r="F296" i="23" s="1"/>
  <c r="G297" i="23"/>
  <c r="F297" i="23" s="1"/>
  <c r="G298" i="23"/>
  <c r="F298" i="23" s="1"/>
  <c r="G299" i="23"/>
  <c r="F299" i="23" s="1"/>
  <c r="G300" i="23"/>
  <c r="F300" i="23" s="1"/>
  <c r="G301" i="23"/>
  <c r="F301" i="23" s="1"/>
  <c r="G302" i="23"/>
  <c r="F302" i="23" s="1"/>
  <c r="G303" i="23"/>
  <c r="F303" i="23" s="1"/>
  <c r="G304" i="23"/>
  <c r="F304" i="23" s="1"/>
  <c r="G305" i="23"/>
  <c r="F305" i="23" s="1"/>
  <c r="G306" i="23"/>
  <c r="F306" i="23" s="1"/>
  <c r="G307" i="23"/>
  <c r="F307" i="23" s="1"/>
  <c r="G308" i="23"/>
  <c r="F308" i="23" s="1"/>
  <c r="G309" i="23"/>
  <c r="F309" i="23" s="1"/>
  <c r="G310" i="23"/>
  <c r="F310" i="23" s="1"/>
  <c r="G311" i="23"/>
  <c r="F311" i="23" s="1"/>
  <c r="G312" i="23"/>
  <c r="F312" i="23" s="1"/>
  <c r="G313" i="23"/>
  <c r="F313" i="23" s="1"/>
  <c r="G314" i="23"/>
  <c r="F314" i="23" s="1"/>
  <c r="G315" i="23"/>
  <c r="F315" i="23" s="1"/>
  <c r="G316" i="23"/>
  <c r="F316" i="23" s="1"/>
  <c r="G317" i="23"/>
  <c r="F317" i="23" s="1"/>
  <c r="G318" i="23"/>
  <c r="F318" i="23" s="1"/>
  <c r="G319" i="23"/>
  <c r="F319" i="23" s="1"/>
  <c r="G320" i="23"/>
  <c r="F320" i="23" s="1"/>
  <c r="G321" i="23"/>
  <c r="F321" i="23" s="1"/>
  <c r="G322" i="23"/>
  <c r="F322" i="23" s="1"/>
  <c r="G323" i="23"/>
  <c r="F323" i="23" s="1"/>
  <c r="G324" i="23"/>
  <c r="F324" i="23" s="1"/>
  <c r="G325" i="23"/>
  <c r="F325" i="23" s="1"/>
  <c r="G326" i="23"/>
  <c r="F326" i="23" s="1"/>
  <c r="G327" i="23"/>
  <c r="F327" i="23" s="1"/>
  <c r="G328" i="23"/>
  <c r="F328" i="23" s="1"/>
  <c r="G329" i="23"/>
  <c r="F329" i="23" s="1"/>
  <c r="G330" i="23"/>
  <c r="F330" i="23" s="1"/>
  <c r="G332" i="23"/>
  <c r="F332" i="23" s="1"/>
  <c r="G333" i="23"/>
  <c r="F333" i="23" s="1"/>
  <c r="G2" i="23"/>
  <c r="F2" i="23" s="1"/>
  <c r="N333" i="23" l="1"/>
  <c r="J333" i="23"/>
  <c r="B333" i="23"/>
  <c r="N332" i="23"/>
  <c r="J332" i="23"/>
  <c r="B332" i="23"/>
  <c r="N331" i="23"/>
  <c r="J331" i="23"/>
  <c r="B331" i="23"/>
  <c r="J330" i="23"/>
  <c r="B330" i="23"/>
  <c r="N329" i="23"/>
  <c r="J329" i="23"/>
  <c r="B329" i="23"/>
  <c r="N328" i="23"/>
  <c r="J328" i="23"/>
  <c r="B328" i="23"/>
  <c r="N327" i="23"/>
  <c r="J327" i="23"/>
  <c r="B327" i="23"/>
  <c r="J326" i="23"/>
  <c r="B326" i="23"/>
  <c r="N325" i="23"/>
  <c r="J325" i="23"/>
  <c r="B325" i="23"/>
  <c r="N324" i="23"/>
  <c r="J324" i="23"/>
  <c r="B324" i="23"/>
  <c r="N323" i="23"/>
  <c r="J323" i="23"/>
  <c r="B323" i="23"/>
  <c r="N322" i="23"/>
  <c r="J322" i="23"/>
  <c r="B322" i="23"/>
  <c r="N321" i="23"/>
  <c r="J321" i="23"/>
  <c r="B321" i="23"/>
  <c r="N320" i="23"/>
  <c r="J320" i="23"/>
  <c r="B320" i="23"/>
  <c r="N319" i="23"/>
  <c r="J319" i="23"/>
  <c r="B319" i="23"/>
  <c r="N318" i="23"/>
  <c r="J318" i="23"/>
  <c r="B318" i="23"/>
  <c r="N317" i="23"/>
  <c r="J317" i="23"/>
  <c r="B317" i="23"/>
  <c r="N316" i="23"/>
  <c r="J316" i="23"/>
  <c r="B316" i="23"/>
  <c r="N315" i="23"/>
  <c r="J315" i="23"/>
  <c r="B315" i="23"/>
  <c r="N314" i="23"/>
  <c r="J314" i="23"/>
  <c r="B314" i="23"/>
  <c r="N313" i="23"/>
  <c r="J313" i="23"/>
  <c r="B313" i="23"/>
  <c r="N312" i="23"/>
  <c r="J312" i="23"/>
  <c r="B312" i="23"/>
  <c r="N311" i="23"/>
  <c r="J311" i="23"/>
  <c r="B311" i="23"/>
  <c r="N310" i="23"/>
  <c r="J310" i="23"/>
  <c r="B310" i="23"/>
  <c r="N309" i="23"/>
  <c r="J309" i="23"/>
  <c r="B309" i="23"/>
  <c r="N308" i="23"/>
  <c r="J308" i="23"/>
  <c r="B308" i="23"/>
  <c r="N307" i="23"/>
  <c r="J307" i="23"/>
  <c r="B307" i="23"/>
  <c r="N306" i="23"/>
  <c r="J306" i="23"/>
  <c r="B306" i="23"/>
  <c r="N305" i="23"/>
  <c r="J305" i="23"/>
  <c r="B305" i="23"/>
  <c r="N304" i="23"/>
  <c r="J304" i="23"/>
  <c r="B304" i="23"/>
  <c r="N303" i="23"/>
  <c r="J303" i="23"/>
  <c r="B303" i="23"/>
  <c r="N302" i="23"/>
  <c r="J302" i="23"/>
  <c r="B302" i="23"/>
  <c r="N301" i="23"/>
  <c r="J301" i="23"/>
  <c r="B301" i="23"/>
  <c r="N300" i="23"/>
  <c r="J300" i="23"/>
  <c r="B300" i="23"/>
  <c r="N299" i="23"/>
  <c r="J299" i="23"/>
  <c r="B299" i="23"/>
  <c r="N298" i="23"/>
  <c r="J298" i="23"/>
  <c r="B298" i="23"/>
  <c r="N297" i="23"/>
  <c r="J297" i="23"/>
  <c r="B297" i="23"/>
  <c r="N296" i="23"/>
  <c r="J296" i="23"/>
  <c r="B296" i="23"/>
  <c r="N295" i="23"/>
  <c r="J295" i="23"/>
  <c r="B295" i="23"/>
  <c r="N294" i="23"/>
  <c r="J294" i="23"/>
  <c r="B294" i="23"/>
  <c r="N293" i="23"/>
  <c r="J293" i="23"/>
  <c r="B293" i="23"/>
  <c r="N292" i="23"/>
  <c r="J292" i="23"/>
  <c r="B292" i="23"/>
  <c r="N291" i="23"/>
  <c r="J291" i="23"/>
  <c r="B291" i="23"/>
  <c r="N290" i="23"/>
  <c r="J290" i="23"/>
  <c r="B290" i="23"/>
  <c r="N289" i="23"/>
  <c r="J289" i="23"/>
  <c r="B289" i="23"/>
  <c r="N288" i="23"/>
  <c r="J288" i="23"/>
  <c r="B288" i="23"/>
  <c r="N287" i="23"/>
  <c r="J287" i="23"/>
  <c r="B287" i="23"/>
  <c r="N286" i="23"/>
  <c r="J286" i="23"/>
  <c r="B286" i="23"/>
  <c r="N285" i="23"/>
  <c r="J285" i="23"/>
  <c r="B285" i="23"/>
  <c r="N284" i="23"/>
  <c r="J284" i="23"/>
  <c r="B284" i="23"/>
  <c r="N283" i="23"/>
  <c r="J283" i="23"/>
  <c r="B283" i="23"/>
  <c r="N282" i="23"/>
  <c r="J282" i="23"/>
  <c r="B282" i="23"/>
  <c r="N281" i="23"/>
  <c r="J281" i="23"/>
  <c r="B281" i="23"/>
  <c r="N280" i="23"/>
  <c r="J280" i="23"/>
  <c r="B280" i="23"/>
  <c r="N279" i="23"/>
  <c r="J279" i="23"/>
  <c r="B279" i="23"/>
  <c r="N278" i="23"/>
  <c r="J278" i="23"/>
  <c r="B278" i="23"/>
  <c r="N277" i="23"/>
  <c r="J277" i="23"/>
  <c r="B277" i="23"/>
  <c r="N276" i="23"/>
  <c r="J276" i="23"/>
  <c r="B276" i="23"/>
  <c r="N275" i="23"/>
  <c r="J275" i="23"/>
  <c r="B275" i="23"/>
  <c r="N274" i="23"/>
  <c r="J274" i="23"/>
  <c r="B274" i="23"/>
  <c r="N273" i="23"/>
  <c r="J273" i="23"/>
  <c r="B273" i="23"/>
  <c r="N272" i="23"/>
  <c r="J272" i="23"/>
  <c r="B272" i="23"/>
  <c r="N271" i="23"/>
  <c r="J271" i="23"/>
  <c r="B271" i="23"/>
  <c r="N270" i="23"/>
  <c r="J270" i="23"/>
  <c r="B270" i="23"/>
  <c r="N269" i="23"/>
  <c r="J269" i="23"/>
  <c r="B269" i="23"/>
  <c r="N268" i="23"/>
  <c r="J268" i="23"/>
  <c r="B268" i="23"/>
  <c r="N267" i="23"/>
  <c r="J267" i="23"/>
  <c r="B267" i="23"/>
  <c r="N266" i="23"/>
  <c r="J266" i="23"/>
  <c r="B266" i="23"/>
  <c r="N265" i="23"/>
  <c r="J265" i="23"/>
  <c r="B265" i="23"/>
  <c r="N264" i="23"/>
  <c r="J264" i="23"/>
  <c r="B264" i="23"/>
  <c r="N263" i="23"/>
  <c r="J263" i="23"/>
  <c r="B263" i="23"/>
  <c r="N262" i="23"/>
  <c r="J262" i="23"/>
  <c r="B262" i="23"/>
  <c r="N261" i="23"/>
  <c r="J261" i="23"/>
  <c r="B261" i="23"/>
  <c r="N260" i="23"/>
  <c r="J260" i="23"/>
  <c r="B260" i="23"/>
  <c r="N259" i="23"/>
  <c r="J259" i="23"/>
  <c r="B259" i="23"/>
  <c r="N258" i="23"/>
  <c r="J258" i="23"/>
  <c r="B258" i="23"/>
  <c r="N257" i="23"/>
  <c r="J257" i="23"/>
  <c r="B257" i="23"/>
  <c r="N256" i="23"/>
  <c r="J256" i="23"/>
  <c r="B256" i="23"/>
  <c r="N255" i="23"/>
  <c r="J255" i="23"/>
  <c r="B255" i="23"/>
  <c r="N254" i="23"/>
  <c r="J254" i="23"/>
  <c r="B254" i="23"/>
  <c r="N253" i="23"/>
  <c r="J253" i="23"/>
  <c r="B253" i="23"/>
  <c r="N252" i="23"/>
  <c r="J252" i="23"/>
  <c r="B252" i="23"/>
  <c r="N251" i="23"/>
  <c r="J251" i="23"/>
  <c r="B251" i="23"/>
  <c r="N250" i="23"/>
  <c r="J250" i="23"/>
  <c r="B250" i="23"/>
  <c r="N249" i="23"/>
  <c r="J249" i="23"/>
  <c r="B249" i="23"/>
  <c r="N248" i="23"/>
  <c r="J248" i="23"/>
  <c r="B248" i="23"/>
  <c r="N247" i="23"/>
  <c r="J247" i="23"/>
  <c r="B247" i="23"/>
  <c r="N246" i="23"/>
  <c r="J246" i="23"/>
  <c r="B246" i="23"/>
  <c r="N245" i="23"/>
  <c r="J245" i="23"/>
  <c r="B245" i="23"/>
  <c r="N244" i="23"/>
  <c r="J244" i="23"/>
  <c r="B244" i="23"/>
  <c r="N243" i="23"/>
  <c r="J243" i="23"/>
  <c r="B243" i="23"/>
  <c r="N242" i="23"/>
  <c r="J242" i="23"/>
  <c r="B242" i="23"/>
  <c r="N241" i="23"/>
  <c r="J241" i="23"/>
  <c r="B241" i="23"/>
  <c r="N240" i="23"/>
  <c r="J240" i="23"/>
  <c r="B240" i="23"/>
  <c r="N239" i="23"/>
  <c r="J239" i="23"/>
  <c r="B239" i="23"/>
  <c r="N238" i="23"/>
  <c r="J238" i="23"/>
  <c r="B238" i="23"/>
  <c r="N237" i="23"/>
  <c r="J237" i="23"/>
  <c r="B237" i="23"/>
  <c r="N236" i="23"/>
  <c r="J236" i="23"/>
  <c r="B236" i="23"/>
  <c r="N235" i="23"/>
  <c r="J235" i="23"/>
  <c r="B235" i="23"/>
  <c r="N234" i="23"/>
  <c r="J234" i="23"/>
  <c r="B234" i="23"/>
  <c r="N233" i="23"/>
  <c r="J233" i="23"/>
  <c r="B233" i="23"/>
  <c r="N232" i="23"/>
  <c r="J232" i="23"/>
  <c r="B232" i="23"/>
  <c r="N231" i="23"/>
  <c r="J231" i="23"/>
  <c r="B231" i="23"/>
  <c r="N230" i="23"/>
  <c r="J230" i="23"/>
  <c r="B230" i="23"/>
  <c r="N229" i="23"/>
  <c r="J229" i="23"/>
  <c r="B229" i="23"/>
  <c r="N228" i="23"/>
  <c r="J228" i="23"/>
  <c r="B228" i="23"/>
  <c r="N227" i="23"/>
  <c r="J227" i="23"/>
  <c r="B227" i="23"/>
  <c r="N226" i="23"/>
  <c r="J226" i="23"/>
  <c r="B226" i="23"/>
  <c r="N225" i="23"/>
  <c r="J225" i="23"/>
  <c r="B225" i="23"/>
  <c r="N224" i="23"/>
  <c r="J224" i="23"/>
  <c r="B224" i="23"/>
  <c r="N223" i="23"/>
  <c r="J223" i="23"/>
  <c r="B223" i="23"/>
  <c r="N222" i="23"/>
  <c r="J222" i="23"/>
  <c r="B222" i="23"/>
  <c r="N221" i="23"/>
  <c r="J221" i="23"/>
  <c r="B221" i="23"/>
  <c r="N220" i="23"/>
  <c r="J220" i="23"/>
  <c r="B220" i="23"/>
  <c r="N219" i="23"/>
  <c r="J219" i="23"/>
  <c r="B219" i="23"/>
  <c r="N218" i="23"/>
  <c r="J218" i="23"/>
  <c r="B218" i="23"/>
  <c r="N217" i="23"/>
  <c r="J217" i="23"/>
  <c r="B217" i="23"/>
  <c r="N216" i="23"/>
  <c r="J216" i="23"/>
  <c r="B216" i="23"/>
  <c r="N215" i="23"/>
  <c r="J215" i="23"/>
  <c r="B215" i="23"/>
  <c r="N214" i="23"/>
  <c r="J214" i="23"/>
  <c r="B214" i="23"/>
  <c r="N213" i="23"/>
  <c r="J213" i="23"/>
  <c r="B213" i="23"/>
  <c r="N212" i="23"/>
  <c r="J212" i="23"/>
  <c r="B212" i="23"/>
  <c r="N211" i="23"/>
  <c r="J211" i="23"/>
  <c r="B211" i="23"/>
  <c r="N210" i="23"/>
  <c r="J210" i="23"/>
  <c r="B210" i="23"/>
  <c r="N209" i="23"/>
  <c r="J209" i="23"/>
  <c r="B209" i="23"/>
  <c r="N208" i="23"/>
  <c r="J208" i="23"/>
  <c r="B208" i="23"/>
  <c r="N207" i="23"/>
  <c r="J207" i="23"/>
  <c r="B207" i="23"/>
  <c r="N206" i="23"/>
  <c r="J206" i="23"/>
  <c r="B206" i="23"/>
  <c r="N205" i="23"/>
  <c r="J205" i="23"/>
  <c r="B205" i="23"/>
  <c r="N204" i="23"/>
  <c r="J204" i="23"/>
  <c r="B204" i="23"/>
  <c r="N203" i="23"/>
  <c r="J203" i="23"/>
  <c r="B203" i="23"/>
  <c r="N202" i="23"/>
  <c r="J202" i="23"/>
  <c r="B202" i="23"/>
  <c r="N201" i="23"/>
  <c r="J201" i="23"/>
  <c r="B201" i="23"/>
  <c r="N200" i="23"/>
  <c r="J200" i="23"/>
  <c r="B200" i="23"/>
  <c r="N199" i="23"/>
  <c r="J199" i="23"/>
  <c r="B199" i="23"/>
  <c r="N198" i="23"/>
  <c r="J198" i="23"/>
  <c r="B198" i="23"/>
  <c r="N197" i="23"/>
  <c r="J197" i="23"/>
  <c r="B197" i="23"/>
  <c r="N196" i="23"/>
  <c r="J196" i="23"/>
  <c r="B196" i="23"/>
  <c r="N195" i="23"/>
  <c r="J195" i="23"/>
  <c r="B195" i="23"/>
  <c r="N194" i="23"/>
  <c r="J194" i="23"/>
  <c r="B194" i="23"/>
  <c r="N193" i="23"/>
  <c r="J193" i="23"/>
  <c r="B193" i="23"/>
  <c r="N192" i="23"/>
  <c r="J192" i="23"/>
  <c r="B192" i="23"/>
  <c r="N191" i="23"/>
  <c r="J191" i="23"/>
  <c r="B191" i="23"/>
  <c r="N190" i="23"/>
  <c r="J190" i="23"/>
  <c r="B190" i="23"/>
  <c r="N189" i="23"/>
  <c r="J189" i="23"/>
  <c r="B189" i="23"/>
  <c r="N188" i="23"/>
  <c r="J188" i="23"/>
  <c r="B188" i="23"/>
  <c r="N187" i="23"/>
  <c r="J187" i="23"/>
  <c r="B187" i="23"/>
  <c r="N186" i="23"/>
  <c r="J186" i="23"/>
  <c r="B186" i="23"/>
  <c r="N185" i="23"/>
  <c r="J185" i="23"/>
  <c r="B185" i="23"/>
  <c r="N184" i="23"/>
  <c r="J184" i="23"/>
  <c r="B184" i="23"/>
  <c r="N183" i="23"/>
  <c r="J183" i="23"/>
  <c r="B183" i="23"/>
  <c r="N182" i="23"/>
  <c r="J182" i="23"/>
  <c r="B182" i="23"/>
  <c r="N181" i="23"/>
  <c r="J181" i="23"/>
  <c r="B181" i="23"/>
  <c r="N180" i="23"/>
  <c r="J180" i="23"/>
  <c r="B180" i="23"/>
  <c r="N179" i="23"/>
  <c r="J179" i="23"/>
  <c r="B179" i="23"/>
  <c r="N178" i="23"/>
  <c r="J178" i="23"/>
  <c r="B178" i="23"/>
  <c r="N177" i="23"/>
  <c r="J177" i="23"/>
  <c r="B177" i="23"/>
  <c r="N176" i="23"/>
  <c r="J176" i="23"/>
  <c r="B176" i="23"/>
  <c r="N175" i="23"/>
  <c r="J175" i="23"/>
  <c r="B175" i="23"/>
  <c r="N174" i="23"/>
  <c r="J174" i="23"/>
  <c r="B174" i="23"/>
  <c r="N173" i="23"/>
  <c r="J173" i="23"/>
  <c r="B173" i="23"/>
  <c r="N172" i="23"/>
  <c r="J172" i="23"/>
  <c r="B172" i="23"/>
  <c r="N171" i="23"/>
  <c r="J171" i="23"/>
  <c r="B171" i="23"/>
  <c r="N170" i="23"/>
  <c r="J170" i="23"/>
  <c r="B170" i="23"/>
  <c r="N169" i="23"/>
  <c r="J169" i="23"/>
  <c r="B169" i="23"/>
  <c r="N168" i="23"/>
  <c r="J168" i="23"/>
  <c r="B168" i="23"/>
  <c r="N167" i="23"/>
  <c r="J167" i="23"/>
  <c r="B167" i="23"/>
  <c r="N166" i="23"/>
  <c r="J166" i="23"/>
  <c r="B166" i="23"/>
  <c r="N165" i="23"/>
  <c r="J165" i="23"/>
  <c r="B165" i="23"/>
  <c r="N164" i="23"/>
  <c r="J164" i="23"/>
  <c r="B164" i="23"/>
  <c r="N163" i="23"/>
  <c r="J163" i="23"/>
  <c r="B163" i="23"/>
  <c r="N162" i="23"/>
  <c r="J162" i="23"/>
  <c r="B162" i="23"/>
  <c r="N161" i="23"/>
  <c r="J161" i="23"/>
  <c r="B161" i="23"/>
  <c r="N160" i="23"/>
  <c r="J160" i="23"/>
  <c r="B160" i="23"/>
  <c r="N159" i="23"/>
  <c r="J159" i="23"/>
  <c r="B159" i="23"/>
  <c r="N158" i="23"/>
  <c r="J158" i="23"/>
  <c r="B158" i="23"/>
  <c r="N157" i="23"/>
  <c r="J157" i="23"/>
  <c r="B157" i="23"/>
  <c r="N156" i="23"/>
  <c r="J156" i="23"/>
  <c r="B156" i="23"/>
  <c r="N155" i="23"/>
  <c r="J155" i="23"/>
  <c r="B155" i="23"/>
  <c r="N154" i="23"/>
  <c r="J154" i="23"/>
  <c r="B154" i="23"/>
  <c r="N153" i="23"/>
  <c r="J153" i="23"/>
  <c r="B153" i="23"/>
  <c r="N152" i="23"/>
  <c r="J152" i="23"/>
  <c r="B152" i="23"/>
  <c r="N151" i="23"/>
  <c r="J151" i="23"/>
  <c r="B151" i="23"/>
  <c r="N150" i="23"/>
  <c r="J150" i="23"/>
  <c r="B150" i="23"/>
  <c r="N149" i="23"/>
  <c r="J149" i="23"/>
  <c r="B149" i="23"/>
  <c r="N148" i="23"/>
  <c r="J148" i="23"/>
  <c r="B148" i="23"/>
  <c r="N147" i="23"/>
  <c r="J147" i="23"/>
  <c r="B147" i="23"/>
  <c r="N146" i="23"/>
  <c r="J146" i="23"/>
  <c r="B146" i="23"/>
  <c r="N145" i="23"/>
  <c r="J145" i="23"/>
  <c r="B145" i="23"/>
  <c r="N144" i="23"/>
  <c r="J144" i="23"/>
  <c r="B144" i="23"/>
  <c r="N143" i="23"/>
  <c r="J143" i="23"/>
  <c r="B143" i="23"/>
  <c r="N142" i="23"/>
  <c r="J142" i="23"/>
  <c r="B142" i="23"/>
  <c r="N141" i="23"/>
  <c r="J141" i="23"/>
  <c r="B141" i="23"/>
  <c r="N140" i="23"/>
  <c r="J140" i="23"/>
  <c r="B140" i="23"/>
  <c r="N139" i="23"/>
  <c r="J139" i="23"/>
  <c r="B139" i="23"/>
  <c r="N138" i="23"/>
  <c r="J138" i="23"/>
  <c r="B138" i="23"/>
  <c r="N137" i="23"/>
  <c r="J137" i="23"/>
  <c r="B137" i="23"/>
  <c r="N136" i="23"/>
  <c r="J136" i="23"/>
  <c r="B136" i="23"/>
  <c r="N135" i="23"/>
  <c r="J135" i="23"/>
  <c r="B135" i="23"/>
  <c r="N134" i="23"/>
  <c r="J134" i="23"/>
  <c r="B134" i="23"/>
  <c r="N133" i="23"/>
  <c r="J133" i="23"/>
  <c r="B133" i="23"/>
  <c r="N132" i="23"/>
  <c r="J132" i="23"/>
  <c r="B132" i="23"/>
  <c r="N131" i="23"/>
  <c r="J131" i="23"/>
  <c r="B131" i="23"/>
  <c r="N130" i="23"/>
  <c r="J130" i="23"/>
  <c r="B130" i="23"/>
  <c r="N129" i="23"/>
  <c r="J129" i="23"/>
  <c r="B129" i="23"/>
  <c r="N128" i="23"/>
  <c r="J128" i="23"/>
  <c r="B128" i="23"/>
  <c r="N127" i="23"/>
  <c r="J127" i="23"/>
  <c r="B127" i="23"/>
  <c r="N126" i="23"/>
  <c r="J126" i="23"/>
  <c r="B126" i="23"/>
  <c r="N125" i="23"/>
  <c r="J125" i="23"/>
  <c r="B125" i="23"/>
  <c r="N124" i="23"/>
  <c r="J124" i="23"/>
  <c r="B124" i="23"/>
  <c r="N123" i="23"/>
  <c r="J123" i="23"/>
  <c r="B123" i="23"/>
  <c r="N122" i="23"/>
  <c r="J122" i="23"/>
  <c r="B122" i="23"/>
  <c r="N121" i="23"/>
  <c r="J121" i="23"/>
  <c r="B121" i="23"/>
  <c r="N120" i="23"/>
  <c r="J120" i="23"/>
  <c r="B120" i="23"/>
  <c r="N119" i="23"/>
  <c r="J119" i="23"/>
  <c r="B119" i="23"/>
  <c r="N118" i="23"/>
  <c r="J118" i="23"/>
  <c r="B118" i="23"/>
  <c r="N117" i="23"/>
  <c r="J117" i="23"/>
  <c r="B117" i="23"/>
  <c r="N116" i="23"/>
  <c r="J116" i="23"/>
  <c r="B116" i="23"/>
  <c r="N115" i="23"/>
  <c r="J115" i="23"/>
  <c r="B115" i="23"/>
  <c r="N114" i="23"/>
  <c r="J114" i="23"/>
  <c r="B114" i="23"/>
  <c r="N113" i="23"/>
  <c r="J113" i="23"/>
  <c r="B113" i="23"/>
  <c r="N112" i="23"/>
  <c r="J112" i="23"/>
  <c r="B112" i="23"/>
  <c r="N111" i="23"/>
  <c r="J111" i="23"/>
  <c r="B111" i="23"/>
  <c r="N110" i="23"/>
  <c r="J110" i="23"/>
  <c r="B110" i="23"/>
  <c r="N109" i="23"/>
  <c r="J109" i="23"/>
  <c r="B109" i="23"/>
  <c r="J108" i="23"/>
  <c r="B108" i="23"/>
  <c r="N107" i="23"/>
  <c r="J107" i="23"/>
  <c r="B107" i="23"/>
  <c r="N106" i="23"/>
  <c r="J106" i="23"/>
  <c r="B106" i="23"/>
  <c r="N105" i="23"/>
  <c r="J105" i="23"/>
  <c r="B105" i="23"/>
  <c r="N104" i="23"/>
  <c r="J104" i="23"/>
  <c r="B104" i="23"/>
  <c r="N103" i="23"/>
  <c r="J103" i="23"/>
  <c r="B103" i="23"/>
  <c r="N102" i="23"/>
  <c r="J102" i="23"/>
  <c r="B102" i="23"/>
  <c r="N101" i="23"/>
  <c r="J101" i="23"/>
  <c r="B101" i="23"/>
  <c r="N100" i="23"/>
  <c r="J100" i="23"/>
  <c r="B100" i="23"/>
  <c r="N99" i="23"/>
  <c r="J99" i="23"/>
  <c r="B99" i="23"/>
  <c r="N98" i="23"/>
  <c r="J98" i="23"/>
  <c r="B98" i="23"/>
  <c r="N97" i="23"/>
  <c r="J97" i="23"/>
  <c r="B97" i="23"/>
  <c r="N96" i="23"/>
  <c r="J96" i="23"/>
  <c r="B96" i="23"/>
  <c r="N95" i="23"/>
  <c r="J95" i="23"/>
  <c r="B95" i="23"/>
  <c r="N94" i="23"/>
  <c r="J94" i="23"/>
  <c r="B94" i="23"/>
  <c r="N93" i="23"/>
  <c r="J93" i="23"/>
  <c r="B93" i="23"/>
  <c r="N92" i="23"/>
  <c r="J92" i="23"/>
  <c r="B92" i="23"/>
  <c r="N91" i="23"/>
  <c r="J91" i="23"/>
  <c r="B91" i="23"/>
  <c r="N90" i="23"/>
  <c r="J90" i="23"/>
  <c r="B90" i="23"/>
  <c r="N89" i="23"/>
  <c r="J89" i="23"/>
  <c r="B89" i="23"/>
  <c r="N88" i="23"/>
  <c r="J88" i="23"/>
  <c r="B88" i="23"/>
  <c r="N87" i="23"/>
  <c r="J87" i="23"/>
  <c r="B87" i="23"/>
  <c r="N86" i="23"/>
  <c r="J86" i="23"/>
  <c r="B86" i="23"/>
  <c r="N85" i="23"/>
  <c r="J85" i="23"/>
  <c r="B85" i="23"/>
  <c r="N84" i="23"/>
  <c r="J84" i="23"/>
  <c r="B84" i="23"/>
  <c r="N83" i="23"/>
  <c r="J83" i="23"/>
  <c r="B83" i="23"/>
  <c r="N82" i="23"/>
  <c r="J82" i="23"/>
  <c r="B82" i="23"/>
  <c r="N81" i="23"/>
  <c r="J81" i="23"/>
  <c r="B81" i="23"/>
  <c r="N80" i="23"/>
  <c r="J80" i="23"/>
  <c r="B80" i="23"/>
  <c r="N79" i="23"/>
  <c r="J79" i="23"/>
  <c r="B79" i="23"/>
  <c r="N78" i="23"/>
  <c r="J78" i="23"/>
  <c r="B78" i="23"/>
  <c r="N77" i="23"/>
  <c r="J77" i="23"/>
  <c r="B77" i="23"/>
  <c r="N76" i="23"/>
  <c r="J76" i="23"/>
  <c r="B76" i="23"/>
  <c r="N75" i="23"/>
  <c r="J75" i="23"/>
  <c r="B75" i="23"/>
  <c r="N74" i="23"/>
  <c r="J74" i="23"/>
  <c r="B74" i="23"/>
  <c r="N73" i="23"/>
  <c r="J73" i="23"/>
  <c r="B73" i="23"/>
  <c r="N72" i="23"/>
  <c r="J72" i="23"/>
  <c r="B72" i="23"/>
  <c r="N71" i="23"/>
  <c r="J71" i="23"/>
  <c r="B71" i="23"/>
  <c r="N70" i="23"/>
  <c r="J70" i="23"/>
  <c r="B70" i="23"/>
  <c r="N69" i="23"/>
  <c r="J69" i="23"/>
  <c r="B69" i="23"/>
  <c r="N68" i="23"/>
  <c r="J68" i="23"/>
  <c r="B68" i="23"/>
  <c r="N67" i="23"/>
  <c r="J67" i="23"/>
  <c r="B67" i="23"/>
  <c r="N66" i="23"/>
  <c r="J66" i="23"/>
  <c r="B66" i="23"/>
  <c r="N65" i="23"/>
  <c r="J65" i="23"/>
  <c r="B65" i="23"/>
  <c r="N64" i="23"/>
  <c r="J64" i="23"/>
  <c r="B64" i="23"/>
  <c r="N63" i="23"/>
  <c r="J63" i="23"/>
  <c r="B63" i="23"/>
  <c r="N62" i="23"/>
  <c r="J62" i="23"/>
  <c r="B62" i="23"/>
  <c r="N61" i="23"/>
  <c r="J61" i="23"/>
  <c r="B61" i="23"/>
  <c r="N60" i="23"/>
  <c r="J60" i="23"/>
  <c r="B60" i="23"/>
  <c r="N59" i="23"/>
  <c r="J59" i="23"/>
  <c r="B59" i="23"/>
  <c r="N58" i="23"/>
  <c r="J58" i="23"/>
  <c r="B58" i="23"/>
  <c r="N57" i="23"/>
  <c r="J57" i="23"/>
  <c r="B57" i="23"/>
  <c r="N56" i="23"/>
  <c r="J56" i="23"/>
  <c r="B56" i="23"/>
  <c r="N55" i="23"/>
  <c r="J55" i="23"/>
  <c r="B55" i="23"/>
  <c r="N54" i="23"/>
  <c r="J54" i="23"/>
  <c r="B54" i="23"/>
  <c r="N53" i="23"/>
  <c r="J53" i="23"/>
  <c r="B53" i="23"/>
  <c r="N52" i="23"/>
  <c r="J52" i="23"/>
  <c r="B52" i="23"/>
  <c r="N51" i="23"/>
  <c r="J51" i="23"/>
  <c r="B51" i="23"/>
  <c r="N50" i="23"/>
  <c r="J50" i="23"/>
  <c r="B50" i="23"/>
  <c r="N49" i="23"/>
  <c r="J49" i="23"/>
  <c r="B49" i="23"/>
  <c r="N48" i="23"/>
  <c r="J48" i="23"/>
  <c r="B48" i="23"/>
  <c r="N47" i="23"/>
  <c r="J47" i="23"/>
  <c r="B47" i="23"/>
  <c r="N46" i="23"/>
  <c r="J46" i="23"/>
  <c r="B46" i="23"/>
  <c r="N45" i="23"/>
  <c r="J45" i="23"/>
  <c r="B45" i="23"/>
  <c r="N44" i="23"/>
  <c r="J44" i="23"/>
  <c r="B44" i="23"/>
  <c r="N43" i="23"/>
  <c r="J43" i="23"/>
  <c r="B43" i="23"/>
  <c r="N42" i="23"/>
  <c r="J42" i="23"/>
  <c r="B42" i="23"/>
  <c r="N41" i="23"/>
  <c r="J41" i="23"/>
  <c r="B41" i="23"/>
  <c r="N40" i="23"/>
  <c r="J40" i="23"/>
  <c r="B40" i="23"/>
  <c r="N39" i="23"/>
  <c r="J39" i="23"/>
  <c r="B39" i="23"/>
  <c r="N38" i="23"/>
  <c r="J38" i="23"/>
  <c r="B38" i="23"/>
  <c r="N37" i="23"/>
  <c r="J37" i="23"/>
  <c r="B37" i="23"/>
  <c r="N36" i="23"/>
  <c r="J36" i="23"/>
  <c r="B36" i="23"/>
  <c r="N35" i="23"/>
  <c r="J35" i="23"/>
  <c r="B35" i="23"/>
  <c r="N34" i="23"/>
  <c r="J34" i="23"/>
  <c r="B34" i="23"/>
  <c r="N33" i="23"/>
  <c r="J33" i="23"/>
  <c r="B33" i="23"/>
  <c r="N32" i="23"/>
  <c r="J32" i="23"/>
  <c r="B32" i="23"/>
  <c r="N31" i="23"/>
  <c r="J31" i="23"/>
  <c r="B31" i="23"/>
  <c r="N30" i="23"/>
  <c r="J30" i="23"/>
  <c r="B30" i="23"/>
  <c r="N29" i="23"/>
  <c r="J29" i="23"/>
  <c r="B29" i="23"/>
  <c r="N28" i="23"/>
  <c r="J28" i="23"/>
  <c r="B28" i="23"/>
  <c r="N27" i="23"/>
  <c r="J27" i="23"/>
  <c r="B27" i="23"/>
  <c r="N26" i="23"/>
  <c r="J26" i="23"/>
  <c r="B26" i="23"/>
  <c r="N25" i="23"/>
  <c r="J25" i="23"/>
  <c r="B25" i="23"/>
  <c r="N24" i="23"/>
  <c r="J24" i="23"/>
  <c r="B24" i="23"/>
  <c r="N23" i="23"/>
  <c r="J23" i="23"/>
  <c r="B23" i="23"/>
  <c r="N22" i="23"/>
  <c r="J22" i="23"/>
  <c r="B22" i="23"/>
  <c r="J21" i="23"/>
  <c r="B21" i="23"/>
  <c r="N20" i="23"/>
  <c r="J20" i="23"/>
  <c r="B20" i="23"/>
  <c r="N19" i="23"/>
  <c r="J19" i="23"/>
  <c r="B19" i="23"/>
  <c r="N18" i="23"/>
  <c r="J18" i="23"/>
  <c r="B18" i="23"/>
  <c r="N17" i="23"/>
  <c r="J17" i="23"/>
  <c r="B17" i="23"/>
  <c r="N16" i="23"/>
  <c r="J16" i="23"/>
  <c r="B16" i="23"/>
  <c r="N15" i="23"/>
  <c r="J15" i="23"/>
  <c r="B15" i="23"/>
  <c r="N14" i="23"/>
  <c r="J14" i="23"/>
  <c r="B14" i="23"/>
  <c r="N13" i="23"/>
  <c r="J13" i="23"/>
  <c r="B13" i="23"/>
  <c r="N12" i="23"/>
  <c r="J12" i="23"/>
  <c r="B12" i="23"/>
  <c r="N11" i="23"/>
  <c r="J11" i="23"/>
  <c r="B11" i="23"/>
  <c r="N10" i="23"/>
  <c r="J10" i="23"/>
  <c r="B10" i="23"/>
  <c r="N9" i="23"/>
  <c r="J9" i="23"/>
  <c r="B9" i="23"/>
  <c r="N8" i="23"/>
  <c r="J8" i="23"/>
  <c r="B8" i="23"/>
  <c r="N7" i="23"/>
  <c r="J7" i="23"/>
  <c r="B7" i="23"/>
  <c r="N6" i="23"/>
  <c r="J6" i="23"/>
  <c r="B6" i="23"/>
  <c r="N5" i="23"/>
  <c r="J5" i="23"/>
  <c r="B5" i="23"/>
  <c r="N4" i="23"/>
  <c r="J4" i="23"/>
  <c r="B4" i="23"/>
  <c r="N3" i="23"/>
  <c r="J3" i="23"/>
  <c r="B3" i="23"/>
  <c r="N2" i="23"/>
  <c r="J2" i="23"/>
  <c r="B2" i="23"/>
  <c r="I31" i="3" l="1"/>
</calcChain>
</file>

<file path=xl/sharedStrings.xml><?xml version="1.0" encoding="utf-8"?>
<sst xmlns="http://schemas.openxmlformats.org/spreadsheetml/2006/main" count="3224" uniqueCount="1831">
  <si>
    <t>TRƯỜNG ĐẠI HỌC SƯ PHẠM KỸ THUẬT</t>
  </si>
  <si>
    <t>CỘNG HÒA XÃ HỘI CHỦ NGHĨA VIỆT NAM</t>
  </si>
  <si>
    <t>THÀNH PHỐ HỒ CHÍ MINH</t>
  </si>
  <si>
    <t>Độc lập-Tự do-Hạnh phúc</t>
  </si>
  <si>
    <t>KHOA KHOA HỌC ỨNG DỤNG</t>
  </si>
  <si>
    <t>STT</t>
  </si>
  <si>
    <t>Tên đề tài</t>
  </si>
  <si>
    <t>Mục tiêu và nội dung chính</t>
  </si>
  <si>
    <t>Kinh phí (VNĐ)</t>
  </si>
  <si>
    <t>Ghi chú</t>
  </si>
  <si>
    <t>PHÒNG KHOA HỌC CÔNG NGHỆ</t>
  </si>
  <si>
    <t xml:space="preserve"> </t>
  </si>
  <si>
    <t>DANH MỤC ĐĂNG KÝ ĐỀ TÀI NGHIÊN CỨU KHOA HỌC SINH VIÊN NĂM 2026</t>
  </si>
  <si>
    <t>Chủ nhiệm đề tài 
 MSSV</t>
  </si>
  <si>
    <t>Thành viên đề tài
 MSSV</t>
  </si>
  <si>
    <t>Giáo viên hướng dẫn</t>
  </si>
  <si>
    <t>Đơn vị công tác GVHD</t>
  </si>
  <si>
    <t>Dự kiến kết quả đạt được</t>
  </si>
  <si>
    <t>Khoa KHUD: 22 đề tài</t>
  </si>
  <si>
    <t>Chế tạo vật liệu Ga2O3 pha tạp Sn bằng phương pháp SILAR cải tiến</t>
  </si>
  <si>
    <t>Đoàn Lê Trung Hậu
23130015</t>
  </si>
  <si>
    <t>Nguyễn Minh Đức 24130022
Nguyễn Đặng Minh Huy 23130022</t>
  </si>
  <si>
    <t>TS. Đỗ Huy Bình</t>
  </si>
  <si>
    <t xml:space="preserve">Khoa Khoa học ứng dụng - Bộ môn Công nghệ vật liệu </t>
  </si>
  <si>
    <t>- Nghiên cứu và chế tạo màng mỏng Ga2O3 pha tạp Sn bằng phương pháp SILAR cải tiến công nghệ, với các thông số công nghệ có thể điều chỉnh được.
- Khảo sát ảnh hưởng của đặc tính cải tiến và nồng độ pha tạp đến đặc trưng cấu trúc (XRD), hình thái bề mặt (SEM, AFM) và đặc tính quang học của vật liệu Ga2O3:Sn.</t>
  </si>
  <si>
    <t>01 Bài báo cáo tổng kết
01 Bài báo khoa học đăng trên tạp chí trong nước trong danh mục của Hội đồng Giáo sư Nhà nước tính 0.5 điểm trở lên hoặc tạp chí quốc tế có chỉ số xuất bản ISBN</t>
  </si>
  <si>
    <t>Chế tạo vật liệu Ga2O3 pha tạp Sn bằng phương pháp SILAR.</t>
  </si>
  <si>
    <t>Phạm Quang Đạt
22130006</t>
  </si>
  <si>
    <t>Trần Đức Thanh Khoa 23130026
Bùi Xuân Đạt 23130069</t>
  </si>
  <si>
    <t xml:space="preserve">Khoa Khoa học ứng dụng  - Bộ môn Công nghệ vật liệu </t>
  </si>
  <si>
    <t>- Nghiên cứu chế tạo vật liệu Ga2O3 pha tạp bằng phương pháp SILAR. 
- Khảo sát các tính chất của vật liệu Ga2O3 pha tạp Sn.</t>
  </si>
  <si>
    <t>Nghiên cứu tổng hợp vật liệu M–Prussian Blue analogs làm cathode cho pin sodium-ion hiệu năng cao</t>
  </si>
  <si>
    <t>Phan Anh Huy 
22130010</t>
  </si>
  <si>
    <t>Ngô Thị Mỹ Dung 
21130056</t>
  </si>
  <si>
    <t>TS. Ngô Hải Đăng</t>
  </si>
  <si>
    <t xml:space="preserve">- Tổng hợp vật liệu M-Prussian Blue analogs (M2+= Cu2+,Ni2+, Co2+,..) có kiểm soát kích thước hạt bằng PVP để tối ưu tính chất điện hóa.
- Nghiên cứu ảnh hưởng của tỷ lệ PVP đến cấu trúc, hình thái hạt và hiệu suất lưu trữ năng lượng của vật liệu khi ứng dụng làm cathode cho sodium-ion. </t>
  </si>
  <si>
    <t>Chế tạo SERS bằng phương pháp tổng hợp xanh ZnO/Ag ứng dụng phát hiện thuốc diệt cỏ</t>
  </si>
  <si>
    <t>Trương Văn Phước 
23130040</t>
  </si>
  <si>
    <t xml:space="preserve">Lê Thanh Lâm 21130079 
Huỳnh Hà Hoàng Khải 18130021 
Lê Minh Triết 21130102 </t>
  </si>
  <si>
    <t>TS. Nguyễn Thụy Ngọc Thủy</t>
  </si>
  <si>
    <t>Khoa Khoa học ứng dụng - Bộ môn Công nghệ vật liệu</t>
  </si>
  <si>
    <t>- Tổng hợp vật liệu ZnO/Ag bằng phương pháp tổng hợp xanh
- Khảo sát ảnh hưởng của hàm lượng Ag đến quá trình hình thành và cấu trúc vật liệu.
- Phân tích đặc trưng vật liệu bằng XRD, SEM và UV-Vis.</t>
  </si>
  <si>
    <t>Chế tạo vật liệu nanocomposite GO/Ga2O3 pha tạp Sn</t>
  </si>
  <si>
    <t>Hoàng Nguyễn Quỳnh Anh
22130001</t>
  </si>
  <si>
    <t>Nguyễn Lê Nhật Tân 21130097
Trần Văn Khoa 23130027</t>
  </si>
  <si>
    <t>- Nghiên cứu chế tạo vật liệu Graphene oxide (GO) bằng phương pháp điện hóa. 
- Nghiên cứu chế tạo vật liệu nanocomposite GO/Ga2O3 pha tạp Sn.
- Khảo sát các tính chất của vật liệu nanocomposite GO/Ga2O3 pha tạp Sn.</t>
  </si>
  <si>
    <t>Tổng hợp vật liệu Gallium Oxide pha tạp Sn bằng phương pháp thủy nhiệt</t>
  </si>
  <si>
    <t>Nguyễn Thị Thanh Thảo
22130022</t>
  </si>
  <si>
    <t>Lê Thị Kim Thanh 22130021 Nguyễn Ngọc Anh 23130003 Nguyễn Huỳnh Hải Duy 23130009</t>
  </si>
  <si>
    <t>- Nghiên cứu chế tạo vật liệu Ga2O3 pha tạp bằng phương pháp thủy nhiệt. 
- Khảo sát các tính chất của vật liệu Ga2O3 pha tạp Sn.</t>
  </si>
  <si>
    <t>Nghiên cứu chế tạo màng polymer phân hủy sinh học trên nền PVA/Chitosan và dịch chiết trà xanh ứng dụng làm màng bao bì thực phẩm</t>
  </si>
  <si>
    <t>Nguyễn Văn Bình
23130006</t>
  </si>
  <si>
    <t>Huỳnh Tấn Phát 22130018  Trịnh Thị Hương 21130065</t>
  </si>
  <si>
    <t>TS. Nguyễn Vũ Việt Linh</t>
  </si>
  <si>
    <t xml:space="preserve">-  Khảo sát ảnh hưởng của tỉ lệ PVA, chitosan và hàm lượng chất đóng rắn lên các tính chất của màng polymer
-  Phân tích màu, độ hòa tan trong nước, độ ẩm, khả năng chặn UV, khả năng chống oxy hóa
-  Phân tích các tính chất cơ tính, độ trương nở và khả năng bảo quản thực phẩm của sản phẩm
</t>
  </si>
  <si>
    <t>01 Bài báo cáo tổng kết
01 Bài báo khoa học đăng trên tạp chí trong nước trong danh mục của Hội đồng Giáo sư Nhà nước tính 0.5 điểm trở lên</t>
  </si>
  <si>
    <t>Nghiên cứu vật liệu vải cotton kháng khuẩn sử dụng chitosan nà nano bạc ứng dụng trong ngành dệt may</t>
  </si>
  <si>
    <t>Huỳnh Tấn Phát 
22130018</t>
  </si>
  <si>
    <t>Phùng Minh Khánh Hào 21130065</t>
  </si>
  <si>
    <t>01 Bài báo cáo tổng kết</t>
  </si>
  <si>
    <t>Khảo sát ảnh hưởng của thông số chế tạo lên hình thái và tính chất sợi in 3D từ PLA phế liệu</t>
  </si>
  <si>
    <t>Võ Hữu Nghĩa 
22130017</t>
  </si>
  <si>
    <t>Trần Thái Trung Tuấn 21130104</t>
  </si>
  <si>
    <t xml:space="preserve">Nghiên cứu chế tạo vật liệu hấp thụ dầu từ đầu lọc thuốc lá hiệu Thăng Long đã qua sử dụng </t>
  </si>
  <si>
    <t>Nguyễn Trường Tiến
21130101</t>
  </si>
  <si>
    <t>Trần Văn Lợi 23130033</t>
  </si>
  <si>
    <t>- Nghiên cứu chế tạo vật liệu hấp thụ dầu từ đầu lọc thuốc lá đã qua sử dụng
- Phân tích độ hấp phụ dầu của đầu lọc thuốc lá đã qua xử lý</t>
  </si>
  <si>
    <t>Ứng dụng kỹ thuật SEIRA sử dụng dây nano bạc để phát hiện dư lượng thuốc trừ sâu</t>
  </si>
  <si>
    <t>Lê Thị Phương Nhi 
23130037</t>
  </si>
  <si>
    <t>Vũ Như Ý 23130068
Nguyễn Quang Duy 23130010
Trương Lê Minh Khánh 24130044</t>
  </si>
  <si>
    <t>TS. Phạm Thị Kim Hằng</t>
  </si>
  <si>
    <t>- Nghiên cứu tổng hợp dây nano bạc
- Nghiên cứu và khảo sát thuốc trừ sâu với tín hiệu SEIRA</t>
  </si>
  <si>
    <t>Nghiên cứu vật liệu Oxit kim loại bọc Ag nanowire tăng cường tín hiệu SEIRA</t>
  </si>
  <si>
    <t>Trần Đình Tuấn
22130025</t>
  </si>
  <si>
    <t>Trần Mỹ Hân – 23130014  
Lê Thị Phương Nhi – 23130037 
Đỗ Thụy Như Ý – 23130067 
Vũ Như Ý - 23130068</t>
  </si>
  <si>
    <t xml:space="preserve">- Tổng hợp AgNW, sử dụng phương pháp sol-gel bọc TiO2 bên ngoài AgNW
- Nghiên cứu khả năng tăng cường tín hiệu SEIRA của AgNW@TiO2
</t>
  </si>
  <si>
    <t>Chế tạo và khảo sát cấu trúc và tính chất của nano đồng</t>
  </si>
  <si>
    <t>Lê Minh Tiến 23130053</t>
  </si>
  <si>
    <t>Trần Mỹ Hân 23130014
Nguyễn Minh Tiến-23130054
Đỗ Thụy Như Ý-23130067</t>
  </si>
  <si>
    <t xml:space="preserve"> - Nghiên cứu quy trình tổng hợp nano đồng.
- Nghiên cứu và khảo sát các cấu trúc nano đồng và oxide đồng được nghiên cứu tổng hợp và khảo sát, đánh giá cấu trúc tinh thể cùng với đặc tính hình thái bằng một số phương pháp như quang phổ hấp thụ UV-Vis, kính hiển vi điện tử quét (SEM) và nhiễu xạ tia X (XRD).
</t>
  </si>
  <si>
    <t>Chế tạo và khảo sát các tính chất của màng mỏng Ta2O5</t>
  </si>
  <si>
    <t>Thạch Bảo Khang
22130014</t>
  </si>
  <si>
    <t>Nguyễn Quang Duy 23130010
Nguyễn Minh Tiến 23130054
Phạm Lê Trung 23130058
Vũ Như Ý 23130068</t>
  </si>
  <si>
    <t>- Chế tạo màng mỏng Ta2O5 trên đế thạch anh ở nhiệt độ ủ và lưu lượng khí oxy khác nhau bằng phương pháp phún xạ RF
- Khảo sát sự kết tinh và cấu trúc tinh thể của màng mỏng Ta2O5 sau khi mọc mẫu
- Tổng hợp và so sánh các tính chất của các màng Ta2O5 theo nhiệt độ ủ và lưu lượng khí oxy khác nhau</t>
  </si>
  <si>
    <t>Ảnh hưởng của pha tạp đến tính chất quang xúc tác của vật liệu FeOOH</t>
  </si>
  <si>
    <t>Phạm Thị Bích Diệp
22130005</t>
  </si>
  <si>
    <t>Lê Minh Tiến - 23130053
Nguyễn Quang Duy - 23130010
Trần Mỹ Hân - 23130014
Trương Lê Minh Khánh - 24130044</t>
  </si>
  <si>
    <t>Khoa Khoa học ứng dụng  - Bộ môn Công nghệ vật liệu</t>
  </si>
  <si>
    <t xml:space="preserve">- Chế tạo vật liệu α – FeOOH thuần và vật liệu α – FeOOH pha tạp bằng phương pháp thủy nhiệt. 
- Khảo sát khả năng quang xúc tác của vật liệu α – FeOOH thuần và vật liệu α – FeOOH pha tạp với các nồng độ và độ pH khác nhau vào thuốc nhuộm. 
- Khảo sát sự ảnh hưởng của việc pha tạp các kim loại khác nhau vào α – FeOOH đến cấu trúc, tính chất quang học và ứng dụng.
</t>
  </si>
  <si>
    <t>SEIRA - C-DOTs trên giấy lọc</t>
  </si>
  <si>
    <t>Nguyễn Quang Duy
23130010</t>
  </si>
  <si>
    <t>Lê Thị Phương Nhi - 23130037
Phạm Lê Trung - 23130058
Vũ Như Ý - 23130068
Trương Lê Minh Khánh - 24130044</t>
  </si>
  <si>
    <t>- Tìm hiểu cơ sở lý thuyết về hiện tượng SEIRA đặc tính quang học của chấm lượng tử carbon (CDOTs) và khả năng ứng dụng trên nền giấy lọc.
- Tổng hợp và chế tạo vật liệu SEIRA–CDOTs trên nền giấy lọc xây dựng quy trình thực nghiệm phù hợp và thân thiện môi trường.
- Phân tích đặc trưng cấu trúc và tính chất quang học của vật liệu bằng các phương pháp phổ FTIR, UV–Vis, Raman
- Đánh giá hiệu ứng và hiệu suất tăng cường SEIRA khi kết hợp với C-DOTs trên giấy lọc</t>
  </si>
  <si>
    <t>Ảnh hưởng của điều kiện chế tạo đến tính chất màng mỏng Tungstentrioxide (WO3)</t>
  </si>
  <si>
    <t>Dương Hồng Dịu Thơ
22130023</t>
  </si>
  <si>
    <t>Lê Thị Phương Nhi 23130037
Nguyễn Minh Tiến 23130054
Trương Lê Minh Khánh 24130044   
Đỗ Thụy Như Ý - 23130067</t>
  </si>
  <si>
    <t>Nghiên cứu tổng hợp bê tông xanh sử dụng rác thải vỏ trứng gà</t>
  </si>
  <si>
    <t>Nguyễn Minh Tiến 
23130054</t>
  </si>
  <si>
    <t>Nguyễn Quang Duy 23130010
Vũ Như Ý 23130068</t>
  </si>
  <si>
    <t xml:space="preserve">- Nghiên cứu lý thuyết liên quan đến đặc tính của bột vỏ trứng gà
- Nghiên cứu quy trình tổng hợp bê tông xanh sử dụng bột vỏ trứng  gà
</t>
  </si>
  <si>
    <t xml:space="preserve">Nghiên cứu chế tạo vật liệu biochar từ phế phẩm nông nghiệp </t>
  </si>
  <si>
    <t>Đặng Tô Hoài Vy
22130026</t>
  </si>
  <si>
    <t>Võ Văn Chương - 24130009</t>
  </si>
  <si>
    <t>TS. Nguyễn Chí Thanh</t>
  </si>
  <si>
    <t>Chế tạo vật liệu cellulose aerogel thân thiện với môi trường từ phế thải giấy</t>
  </si>
  <si>
    <t>Phạm Thị Kim Hiên
24130029</t>
  </si>
  <si>
    <t>Huỳnh Ngọc Mỹ Duyên - 24130016</t>
  </si>
  <si>
    <t>- Chế tạo thành công vật liệu cellulose Aerogel từ phế thải giấy.
- Phân tích được các đặc tính hoá lý của vật liệu cellulose Aerogel chế tạo được.</t>
  </si>
  <si>
    <t>Nghiên cứu chế tạo vật liệu microcellulose từ giấy phế liệu-định hướng ứng dụng làm vật liệu hấp phụ ion kim loại nặng</t>
  </si>
  <si>
    <t xml:space="preserve">Võ Văn Chương - 24130009
</t>
  </si>
  <si>
    <t>- Chế tạo thành công vật liệu microcellulose từ giấy phế liệu
- Đánh giá các đặc tính hóa lý và khả năng ứng dụng làm vật liệu hấp phụ ion kim loại nặng của vật liệu microcellulose chế tạo được</t>
  </si>
  <si>
    <t>Tối ưu hóa quy trình trích ly vật liệu cellulose từ đài sen</t>
  </si>
  <si>
    <t>- Chế tạo thành công vật liệu cellulose từ đài sen
- Khảo sát sự ảnh hưởng của các điều kiện trích ly lên đặc tính hóa lý của vật liệu cellulose thu được</t>
  </si>
  <si>
    <t xml:space="preserve">TỔNG </t>
  </si>
  <si>
    <t>Bằng chữ: Ba trăm mười lăm triệu đồng</t>
  </si>
  <si>
    <t>TP. HCM, ngày 6  tháng 12  năm 2024</t>
  </si>
  <si>
    <t>TS. Phan Gia Anh Vũ</t>
  </si>
  <si>
    <t>- Nghiên cứu chế tạo lớp phủ từ chitosan và nano bạc lên vải cotton.  
Tạo lớp phủ cải thiện cơ tính của vải cotton (Độ bền kéo và độ bền xé theo chiều dọc và chiều ngang của vải).
Đánh giá khả năng kháng khuẩn của vải cotton phủ chitosan và nano bạc (Đối với chủng vi khuẩn Gram âm và vi khuẩn Gram dương).</t>
  </si>
  <si>
    <t>- Khảo sát ảnh hưởng của thông số chế tạo lên hình thái và tính chất sợi in 3D từ PLA phế liệu 
- Đánh giá quá trình giảm cấp sợi vật liệu in 3D qua sự thay đổi cơ tính và thành phần hoá học</t>
  </si>
  <si>
    <t>- Chế tạo màng mỏng WO3 trên đế thạch anh với các tỷ lệ lưu lượng khí O2 và nhiệt độ ủ khác nhau.
- Khảo sát cấu trúc tinh thể, hình thái bề mặt, độ truyền qua và năng lượng vùng cấm của màng mỏng WO3 sau khi mọc màng.
- Tổng hợp và so sánh tính chất của màng mỏng WO3 theo nhiệt độ ủ và tỷ lệ lưu lượng khí O2 khác nhau.</t>
  </si>
  <si>
    <t>- Tổng hợp thành công biochar từ các phế phẩm nông nghiệp.
- Đánh giá tính chất lý – hóa học của biochar.</t>
  </si>
  <si>
    <t>Ứng dụng mô hình học sâu đa nguồn trong mô hình chẩn đoán bệnh ung thư</t>
  </si>
  <si>
    <t>Hoàng Văn Dũng</t>
  </si>
  <si>
    <t>- Bài báo khoa học đăng trên tạp chí trong nước trong danh mục của HĐ GSNN tính từ 0,5 điểm trở lên
- Chương trình máy tính
- Báo cáo tổng kết</t>
  </si>
  <si>
    <t>Xây dựng mô hình Reasoning Language Model cho việc giải quyết các bài toán cấp trung học phổ thông</t>
  </si>
  <si>
    <t>- Chương trình máy tính
- Báo cáo tổng kết</t>
  </si>
  <si>
    <t>Bùi Mạnh Quân</t>
  </si>
  <si>
    <t>Lê Quang Sang 23110701 
Vũ Minh Hiếu 23110218</t>
  </si>
  <si>
    <t>- Chương trình máy tính
- Báo cáo tổng kết
-Bài báo toàn văn trong hội thảo khoa học có chỉ số xuất bản ISBN/ISSN</t>
  </si>
  <si>
    <t>Nguyễn Thành Sơn</t>
  </si>
  <si>
    <t>Xây dựng mô phỏng 3D bằng mô hình học sâu</t>
  </si>
  <si>
    <t>Phương pháp so khớp hồ sơ ứng viên và mô tả công việc dựa trên học sâu.</t>
  </si>
  <si>
    <t>Huỳnh Thanh Duy 22110118
Nguyễn Chí Thanh 22110226</t>
  </si>
  <si>
    <t>Lê Văn Vinh</t>
  </si>
  <si>
    <t>Nguyễn Thị Thanh Vân</t>
  </si>
  <si>
    <t xml:space="preserve">Xây dựng công cụ phân tích mã độc Hybrid (kết hợp tĩnh và động) có sử dụng AI </t>
  </si>
  <si>
    <t>Phát hiện các tấn công web XSS và SQL Injection bị che giấu payload dựa trên mô hình học sâu</t>
  </si>
  <si>
    <t>Nguyễn Thanh Tuấn</t>
  </si>
  <si>
    <t>Phan Thị Huyền Trang</t>
  </si>
  <si>
    <t>Nguyễn Thủy An</t>
  </si>
  <si>
    <t>Bảo mật dữ liệu trên Web3 với công nghệ Blockchain</t>
  </si>
  <si>
    <t>Trần Quốc Trường 24162136
Nguyễn Minh Thiện 24162120</t>
  </si>
  <si>
    <t>Lê Thị Minh Châu</t>
  </si>
  <si>
    <t>Improving the Efficiency of Spatial Attention in Bottleneck Attention Modules with Depthwise Convolution</t>
  </si>
  <si>
    <t>Phan Thị Thể</t>
  </si>
  <si>
    <t>Xây dựng chatbot tư vấn thuốc thông minh tích hợp gợi ý liều lượng cá nhân hóa và cảnh báo tương tác giữa các thuốc</t>
  </si>
  <si>
    <t>Trần Quang Khải</t>
  </si>
  <si>
    <t>Lê Vĩnh Thịnh</t>
  </si>
  <si>
    <t>Phan Văn Quân 22110214</t>
  </si>
  <si>
    <t>Trịnh Hửu Thọ 22110238</t>
  </si>
  <si>
    <t>Trần Tiến Đức</t>
  </si>
  <si>
    <t>Thuật toán khai thác mẫu tối đại trên CSDL định lượng</t>
  </si>
  <si>
    <t>Trương Thị Ngọc Phượng</t>
  </si>
  <si>
    <t>Nghiên cứu ứng dụng mô hình ngôn ngữ lớn xây dựng trợ lý ảo hỗ trợ sinh viên</t>
  </si>
  <si>
    <t>Quách Đình Hoàng</t>
  </si>
  <si>
    <t>Nghiên cứu ứng dụng cellulose vi sinh vật (Scoby) trong sản xuất vật liệu thời trang sinh thái</t>
  </si>
  <si>
    <t>Nghiên cứu quy trình sản xuất vải giả da từ cellulose vi sinh vật (Scoby)</t>
  </si>
  <si>
    <t>Phùng Lê Thanh Quân 23110145	
Vũ Minh Đức 23110094
Nguyễn Đức Thịnh 23110156</t>
  </si>
  <si>
    <t>Thái Quang Huy 23110228
Trần Hồng Quang Lê 23110251</t>
  </si>
  <si>
    <t>Tạ Nghĩa Nhân 22110388</t>
  </si>
  <si>
    <t>Phạm Đăng Quang 23110143</t>
  </si>
  <si>
    <t xml:space="preserve">Trần Đình Đan Trường 24162135
Nguyễn Đăng Khoa 24162063
Lý Văn Hữu Hòa 24162038
</t>
  </si>
  <si>
    <t>Dương Đình Ngọc Khang 23162036</t>
  </si>
  <si>
    <t>Trần Như Quỳnh 22110218</t>
  </si>
  <si>
    <t>Bùi Lê Đông Quân 22110213</t>
  </si>
  <si>
    <t>Nguyễn Phúc Bảo 22110285</t>
  </si>
  <si>
    <t>Lê Quang Minh 24162072</t>
  </si>
  <si>
    <t>Mai Quốc Thái 23133071</t>
  </si>
  <si>
    <t>Trần Thị Trung Đoan 22110130</t>
  </si>
  <si>
    <t>Hồ Việt Anh 23133002</t>
  </si>
  <si>
    <t>Võ Thị Kim Ngân 24164024
Hà Phương Thảo 24164038
Ngô Hoàng Thanh Trúc 24164049
Đỗ Nguyễn Thanh Vy 24164057</t>
  </si>
  <si>
    <t>Ứng dụng và phát huy nghệ thuật tranh Đông Hồ vào các sản phẩm thiết kế đồ họa</t>
  </si>
  <si>
    <t>Nguyễn Thị Ngọc Châu</t>
  </si>
  <si>
    <t>Nghiên cứu khả năng trộn của bột inox và polypropylene (PP) để tạo feedstock cho công nghệ ép phun</t>
  </si>
  <si>
    <t>Nguyễn Văn Thức</t>
  </si>
  <si>
    <t xml:space="preserve">
- 01 Báo cáo tổng kết:Đạt yêu cầu của báo cáo khoa học.</t>
  </si>
  <si>
    <t xml:space="preserve">Nghiên cứu thiết kế chế tạo Drone sử dụng thuật toán điều khiển Fuzzy trong PX4 </t>
  </si>
  <si>
    <t>Hà Lê Như Ngọc Thành</t>
  </si>
  <si>
    <t>Khảo sát hiện tượng dao động cán dao phay tại thời điểm vào dao</t>
  </si>
  <si>
    <t>Nguyễn Văn Sơn</t>
  </si>
  <si>
    <t>Nghiên cứu, thiết kế, cải tiến hệ thống điều khiển máy thử mỏi.</t>
  </si>
  <si>
    <t>Trần Thanh Lam</t>
  </si>
  <si>
    <t>Phân tích dữ liệu và tối ưu hóa thông số giảm chấn cho cán dao phay theo phương pháp Taguchi - ANOVA</t>
  </si>
  <si>
    <t>Nguyễn Văn Minh (THN)</t>
  </si>
  <si>
    <t>Nghiên cứu DSC và FTIR của vật liệu Polymers</t>
  </si>
  <si>
    <t>Đặng Hùng Sơn</t>
  </si>
  <si>
    <t>- Báo cáo tổng kết: 	Đạt yêu cầu báo cáo khoa học</t>
  </si>
  <si>
    <t>Dương Thị Vân Anh</t>
  </si>
  <si>
    <t>Lê Thanh Tùng</t>
  </si>
  <si>
    <t>Nghiên cứu giải thuật nhận diện đối tượng và vật cản bằng Stereo Camera cho bộ điều khiển trên tàu tự hành trên mặt nước.</t>
  </si>
  <si>
    <t>Trần Minh Thiên</t>
  </si>
  <si>
    <t>Thiết kế mô hình chân của robot dạng chó</t>
  </si>
  <si>
    <t>Trần Minh Thế Uyên</t>
  </si>
  <si>
    <t>Chế tạo mô hình hỗ trợ lực nâng cho cánh tay</t>
  </si>
  <si>
    <t>Phân tích dữ liệu và tối ưu hóa thông số phun ép đến độ bền xoắn của mẫu thử</t>
  </si>
  <si>
    <t>Đoàn  Tất Linh</t>
  </si>
  <si>
    <t>Cái Việt Anh Dũng</t>
  </si>
  <si>
    <t>-Mô hình thiết bị
- Bản vẽ mô hình
- Báo cáo tổng kết: Đạt yêu cầu báo cáo khoa học</t>
  </si>
  <si>
    <t>Ngô Trần Trọng Khôi	 23146099
Phương Tiến Hiệp	 23146076
Huỳnh Đạt	 23146063
Trần Thạch Tuân	 23146160</t>
  </si>
  <si>
    <t>Nguyễn Hoài Nam</t>
  </si>
  <si>
    <t>Thực nghiệm và phân tích kết quả về khả năng tải của mô hình cơ nhân tạo (so sánh với mô hình của Festo)</t>
  </si>
  <si>
    <t>Huỳnh Đỗ Song Toàn</t>
  </si>
  <si>
    <t>Nghiên cứu ứng dụng phương pháp tạo hình theo lớp trong chế tạo các mẫu thử độ bền</t>
  </si>
  <si>
    <t>Vũ Quang Huy</t>
  </si>
  <si>
    <t>Chế tạo khuôn nghiên cứu độ bền uốn sản phẩm nhựa với các mức nhiệt độ khuôn khác nhau</t>
  </si>
  <si>
    <t>Chế tạo mô hình khảo sát dao động cán dao phay</t>
  </si>
  <si>
    <t>Thiết kế, chế tạo máy phay gỗ CNC mini ứng dụng trong nghiên cứu và giảng dạy</t>
  </si>
  <si>
    <t>Nguyễn Trà Kim Quyên</t>
  </si>
  <si>
    <t>- 01 Bài báo khoa học (đăng trên tạp chí trong nước trong danh mục của Hội đồng Giáo sư Nhà nước tính 0,5 điểm trở lên)
- Báo cáo tổng kết đề tài</t>
  </si>
  <si>
    <t>Trạm điều khiển xe Robot tự hành QCAR.</t>
  </si>
  <si>
    <t>Trần Thụy Uyên Phương</t>
  </si>
  <si>
    <t>Thiết kế chế tạo tủ bếp thông minh</t>
  </si>
  <si>
    <t>Nguyễn Văn Đoàn</t>
  </si>
  <si>
    <t>Phân tích và tối ưu độ bền uốn của đường hàn của sản phẩm nhựa</t>
  </si>
  <si>
    <t>Võ Kim Hằng</t>
  </si>
  <si>
    <t>Ứng dụng phương pháp tạo hình theo lớp trong chế tạo các mẫu thử xoắn</t>
  </si>
  <si>
    <t>Phạm Sơn Minh</t>
  </si>
  <si>
    <t>Nghiên cứu tăng cường liên kết trong feedstock composite bằng pha wax /soluble cho công nghệ ép phun</t>
  </si>
  <si>
    <t xml:space="preserve">Thiết kế và điều khiển mô hình tời trợ lực truyền động bằng cáp </t>
  </si>
  <si>
    <t>Tưởng Phước Thọ</t>
  </si>
  <si>
    <t xml:space="preserve">Chế tạo mô hình thí nghiệm cơ nhân tạo sử dụng khí nén </t>
  </si>
  <si>
    <t>Nghiên cứu, thiết kế cải tiến và mô phỏng hộp số Harmonic phục vụ học tập bảo dưỡng cơ khí</t>
  </si>
  <si>
    <t xml:space="preserve">Nghiên cứu và ứng dụng công nghệ in 3D trong chế tạo khuôn uốn ống </t>
  </si>
  <si>
    <t>Trần Ngọc Thiện</t>
  </si>
  <si>
    <t>Ứng dụng lý thuyết đồ thị trong bài toán tính lượng dư gia công cắt gọt kim loại</t>
  </si>
  <si>
    <t>Nghiên cứu, thiết kế và thực nghiệm hệ thống phân loại sản phẩm sử dụng trí tuệ nhân tạo đúc trên băng chuyền chi phí thấp.</t>
  </si>
  <si>
    <t>Nguyễn Lê Đăng Hải</t>
  </si>
  <si>
    <t>Phạm Thị Hồng Nga</t>
  </si>
  <si>
    <t>Nghiên cứu ảnh hưởng áp suất đến lực kéo của mô hình cơ nhân tạo ứng với các thiết kế khác nhau</t>
  </si>
  <si>
    <t>Trần Thái Sơn</t>
  </si>
  <si>
    <t>Nghiên cứu lắp ráp hệ thống điều khiển mô hình chân 3 bậc tự do cho chân của robot</t>
  </si>
  <si>
    <t>Chế tạo và lắp ráp mô hình  robot 4 chân</t>
  </si>
  <si>
    <t>Phan Công Bình</t>
  </si>
  <si>
    <t>Phan Thị Đăng Thư</t>
  </si>
  <si>
    <t>Chế tạo mô hình điều khiển cơ nhân tạo hỗ trợ lực nâng cho cánh tay</t>
  </si>
  <si>
    <t>Lê Minh Tài</t>
  </si>
  <si>
    <t>Xe robot tự cân bằng</t>
  </si>
  <si>
    <t>Nguyễn Lê Tường</t>
  </si>
  <si>
    <t>Thiết kế, chế tạo, điều khiển hệ thống lưu kho tự động</t>
  </si>
  <si>
    <t>-Mô hình hệ thống lưu kho tự động
- Bản vẽ của hệ thống: Đúng chuẩn TCVN
- Báo cáo tổng kết:  Đạt yêu cầu báo cáo khoa học</t>
  </si>
  <si>
    <t>Nghiên cứu, tính toán và tối ưu dòng chảy cho khuôn đúc áp lực bằng phần mềm Magmasoft</t>
  </si>
  <si>
    <t>Võ Xuân Tiến</t>
  </si>
  <si>
    <t>Mô phỏng quá trình gia nhiệt bằng từ trường cho insert của khuôn</t>
  </si>
  <si>
    <t>Thực nghiệm độ bền xoắn cho chi tiết nhựa</t>
  </si>
  <si>
    <t>Nghiên cứu qui trình chế tạo tấm khuôn bằng phương pháp tạo hình theo lớp</t>
  </si>
  <si>
    <t>Nghiên cứu qui trình phun ép ống composite</t>
  </si>
  <si>
    <t>Lê Bá Tân</t>
  </si>
  <si>
    <t>Cải tiến thiết kế và chế tạo bộ truyền bánh răng trong công nghệ hàn ống tự động (dạng hồ quang kín)</t>
  </si>
  <si>
    <t xml:space="preserve">- Mô hình bộ truyền động bánh răng
- Tập bản vẽ
- Báo cáo tổng kết
</t>
  </si>
  <si>
    <t>Nghiên cứu thiết kế chế tạo eVTOL dùng trong vận tải</t>
  </si>
  <si>
    <t>- Mô hình máy bay eVTOL
- Thuật toán điều khiển máy bay eVTOL
- Mô phỏng và điều khiển trên Matlab Simulink
- Báo cáo tổng kết: Đạt yêu cầu báo cáo khoa học</t>
  </si>
  <si>
    <t>Giải thuật phát hiện đường đi và chướng ngại vật cho xe tự hành</t>
  </si>
  <si>
    <t>Thiết kế mô hình robot 4 chân</t>
  </si>
  <si>
    <t>Mô hình hóa và thiết kế bộ điều khiển cho Robot SCARA đánh cờ Caro với quỹ đạo là tín hiệu tham chiếu từ camera</t>
  </si>
  <si>
    <t>Phân tích dữ liệu và tối ưu hóa thông số giảm chấn cho cán dao phay theo phương pháp Taguchi - ANOVA trong trường hợp phay góc cong</t>
  </si>
  <si>
    <t>Nguyễn Lê Hồng Sơn</t>
  </si>
  <si>
    <t>Nghiên cứu cơ tính của chất dẻo sinh học tinh bột bắp và PVA</t>
  </si>
  <si>
    <t>Nguyễn Văn Minh (CNC)</t>
  </si>
  <si>
    <t>Thiết kế chế tạo bàn gỗ gấp mở tự động</t>
  </si>
  <si>
    <t>- Mô hình bàn gỗ gấp mở tự động
- Bản vẽ bàn gỗ gấp mở tự động
- Báo cáo tổng kết: :Đạt yêu cầu báo cáo khoa học</t>
  </si>
  <si>
    <t>Hoàng Văn Hướng</t>
  </si>
  <si>
    <t>Thiết kế và mô phỏng hệ thống rót cho chi tiết đồ lưu niệm trong công nghệ đúc mẫu chảy</t>
  </si>
  <si>
    <t>Nghiên cứu cơ tính của hỗn hợp vật liệu PP/PBT/PA6/EVA</t>
  </si>
  <si>
    <t>Trạm điều khiển drone</t>
  </si>
  <si>
    <t>Thiết kế chế tạo máy tạo rung động</t>
  </si>
  <si>
    <t>Trương Thành Công</t>
  </si>
  <si>
    <t>Nghiên cứu và phát triển thuật toán điều khiển xe tự lái sử dụng mô hình học sâu End-to-End</t>
  </si>
  <si>
    <t>Bùi Hà Đức</t>
  </si>
  <si>
    <t>Thiết kế khuôn phun ép được chế tạo bằng phương pháp tạo hình theo lớp</t>
  </si>
  <si>
    <t>Nguyễn Trọng Hiếu</t>
  </si>
  <si>
    <t>Mô hình hóa và thiết kế bộ điều khiển đáp ứng quỹ đạo ba chiều trong không gian cho Robot Manipulator ba bậc tự do</t>
  </si>
  <si>
    <t>Chế tạo mô hình điều khiển góc xoay thông qua module cơ nhân tạo</t>
  </si>
  <si>
    <t>Nghiên cứu độ bền của cơ cấu mềm được chế tạo bằng phương pháp in 3D</t>
  </si>
  <si>
    <t>Thực nghiệm quá trình tiện có giảm chấn với các vật liệu phôi có độ cứng khác nhau</t>
  </si>
  <si>
    <t>Thiết kế chế tạo robot 4 bậc tự do.</t>
  </si>
  <si>
    <t>Đặng Thiện Ngôn</t>
  </si>
  <si>
    <t>Nghiên cứu độ bền của kết cấu lattic</t>
  </si>
  <si>
    <t>Thiết kế khuôn phun ép mẫu thử xoắn</t>
  </si>
  <si>
    <t>Đỗ Thành Trung</t>
  </si>
  <si>
    <t>Nguyễn Trần Phú</t>
  </si>
  <si>
    <t>Thiết kế UAV cứu nạn vùng lũ sử dụng dẫn đường GPS và phát hiện người tự động, tích hợp bản đồ trực tuyến</t>
  </si>
  <si>
    <t>Lê Mỹ Hà</t>
  </si>
  <si>
    <t>Chế tạo mô hình đo khả năng tải của cơ nhân tạo</t>
  </si>
  <si>
    <t>Chế tạo mô hình 3 bậc tự do dùng cơ nhân tạo</t>
  </si>
  <si>
    <t>Chế tạo chi tiết ống composite bằng phương pháp phun ép</t>
  </si>
  <si>
    <t>Võ Minh Tâm</t>
  </si>
  <si>
    <t>Thiết kế và chế tạo bộ truyền động mang điện cực hàn TIG trong quá trình hàn ống tự động dạng hở</t>
  </si>
  <si>
    <t>Thực nghiệm chế tạo mẫu thử độ bền bằng phương pháp phun ép có gia nhiệt cho lòng khuôn</t>
  </si>
  <si>
    <t>Thực nghiệm đo dao động của cán dao phay khi phay góc cong ứng với các thông số gia công khác nhau (S,T,V)</t>
  </si>
  <si>
    <t>Thực nghiệm đo dao động của cán dao phay khi vào dao ứng với các thông số gia công khác nhau</t>
  </si>
  <si>
    <t>Nghiên cứu, thực nghiệm và mô hình hoá ảnh hưởng của thông số đúc áp lực cao đến cơ tính vật liệu nhôm đúc thông qua mô phỏng bằng Magmasoft và thực nghiệm.</t>
  </si>
  <si>
    <t xml:space="preserve">Võ Xuân Tiến </t>
  </si>
  <si>
    <t>Khảo sát độ bóng bề mặt tiện trụ khi gia công với cán dao tiện có giảm chấn (thay đổi thông số cắt khác nhau)</t>
  </si>
  <si>
    <t>Thực nghiệm đo lực nâng của mô hình hỗ trợ cánh tay</t>
  </si>
  <si>
    <t>Nguyễn Thị Ánh Tuyết</t>
  </si>
  <si>
    <t>Nghiên cứu điều khiển vị trí thông qua mô hình cơ nhân tạo</t>
  </si>
  <si>
    <t>Thực nghiệm thiết bị giảm chấn cho cán dao phay</t>
  </si>
  <si>
    <t>Nghiên cứu thử nghiệm mô hình "Cơ nhân tạo" cho robot 4 chân</t>
  </si>
  <si>
    <t>Giải thuật AI phát hiện chuyển động nhóm cơ, ứng dụng cho chi giả robot</t>
  </si>
  <si>
    <t>Chế tạo mô hình giảm chấn cho cán dao phay</t>
  </si>
  <si>
    <t>Thực nghiệm khảo sát hiện tượng dao động của cán dao phay</t>
  </si>
  <si>
    <t>Nghiên cứu, thiết kế, chế tạo Drone bay theo đội hình</t>
  </si>
  <si>
    <t xml:space="preserve">Nghiên cứu, thiết kế và chế tạo hệ thống điều khiển máy cân bằng động cỡ nhỏ </t>
  </si>
  <si>
    <t>Chế tạo mô hình giảm chấn cho cán dao tiện</t>
  </si>
  <si>
    <t>Thực nghiệm đo dao động của cán dao phay ứng với các vật liệu cắt khác nhau</t>
  </si>
  <si>
    <t>Phạm Quân Anh</t>
  </si>
  <si>
    <t xml:space="preserve">Thiết kế mô hình quấn băng keo tự động cho sản phẩm thương mại điện tử. </t>
  </si>
  <si>
    <t>Nguyễn Thanh Tân</t>
  </si>
  <si>
    <t>Tối ưu hóa cấu trúc CDPR 3 bậc tự do</t>
  </si>
  <si>
    <t>Tưởng Phước Thọ</t>
  </si>
  <si>
    <t>Nghiên cứu và ứng dụng mô hình trí tuệ nhân tạo End-to-End trong nhận diện Bàn cờ và quy luật chơi cờ Vua</t>
  </si>
  <si>
    <t>Nghiên cứu ảnh hưởng thông số tạo hình theo lớp đến độ bền xoắn của chi tiết</t>
  </si>
  <si>
    <t>Trần Khánh Khoa	 21144395</t>
  </si>
  <si>
    <t>Thực nghiệm khả năng hoạt động của mô hình module 3 bậc tự do dùng cơ nhân tạo</t>
  </si>
  <si>
    <t>Nghiên cứu chế tạo mô hình chân 3 bậc tự do cho robot dạng chó</t>
  </si>
  <si>
    <t>Hệ thống đo lực dao động bể nước</t>
  </si>
  <si>
    <t>Thực nghiệm độ bền xoắn cho chi tiết được chế tạo bằng phương pháp phun ép nhựa</t>
  </si>
  <si>
    <t>Đặng Quang Khoa</t>
  </si>
  <si>
    <t>Thiết kế mô hình 3 bậc tự do dùng cơ nhân tạo</t>
  </si>
  <si>
    <t>Mô phỏng phân bố nhiệt độ cho lòng khuôn phun ép</t>
  </si>
  <si>
    <t>Thực nghiệm đo dao động của cán dao phay ứng với các thông số gia công khác nhau (S,T,V)</t>
  </si>
  <si>
    <t>Nghiên cứu, đề xuất giải pháp và chế tạo mô hình điều chỉnh khe hở bộ truyền bánh răng hộp số một cấp áp dụng trong lĩnh vực bảo trì, bảo dưỡng thiết bị công nghiệp</t>
  </si>
  <si>
    <t>- Mô hình điều chỉnh khe hở bộ truyền bánh răng hộp số một cấp
- Báo cáo tổng kết: Đạt yêu cầu báo cáo khoa học</t>
  </si>
  <si>
    <t>Nghiên cứu độ bền của tấm composite được chế tạo bằng phương pháp phun ép</t>
  </si>
  <si>
    <t>Huỳnh Văn Hưỡng 23144091</t>
  </si>
  <si>
    <t>Nghiên cứu, thiết kế và chế tạo thiết bị nung dây bù kim loại trong quy trình hàn TIG tự động có bù dây</t>
  </si>
  <si>
    <t>-Mô hình thiết bị gia nhiệt dây  bù kim loại 
- Tập bản vẽ
- 01 Báo cáo tổng kết: Đạt yêu cầu báo cáo khoa học</t>
  </si>
  <si>
    <t>Nghiên cứu thiết kế chế tạo máy bay không người lái bám theo đối tượng động dùng camera và xử lý ảnh</t>
  </si>
  <si>
    <t>Thiết kế và chế tạo máy mài chép hình cho chi tiết dạng trục cam</t>
  </si>
  <si>
    <t>Đỗ Đại Quý 22144176</t>
  </si>
  <si>
    <t>- Mô hình máy Mài Chép Hình Trục Cam cho chi tiết dạng trục cam
- Tập bản vẽ
- Báo cáo tổng kết</t>
  </si>
  <si>
    <t>Nghiên cứu ảnh hưởng của nhiệt độ buồng in đến độ bền kéo của vật liệu PETG bằng phương pháp in 3D FDM.</t>
  </si>
  <si>
    <t>Nguyễn Cảnh Khánh 22143115</t>
  </si>
  <si>
    <t>Trần Trung Hậu 23144070</t>
  </si>
  <si>
    <t>- 01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t>
  </si>
  <si>
    <t>Ứng dụng Machine Learning và công nghệ QR Code trong kiểm tra chất lượng rau củ quả</t>
  </si>
  <si>
    <t>Trần Thị Thanh Xuân 24104070</t>
  </si>
  <si>
    <t>Đoàn Trọng Chỉnh</t>
  </si>
  <si>
    <t>Tập quán pháp trong hoạt động kinh doanh thương mại</t>
  </si>
  <si>
    <t>Trương Thị Tường Vi</t>
  </si>
  <si>
    <t>01 Báo cáo tổng kết
01 Bài báo đăng trên tạp chí chuyên ngành trong nước được HĐ GSNN tính 0,5 điểm</t>
  </si>
  <si>
    <t>Tội phạm thực hiện dưới hình thức lợi dụng công nghệ trí tuệ nhân tạo</t>
  </si>
  <si>
    <t>Nguyễn Thị Như Thúy</t>
  </si>
  <si>
    <t>Phạm Huỳnh Thế</t>
  </si>
  <si>
    <t>Lê Thị Hồng Lam</t>
  </si>
  <si>
    <t>Nghiên cứu xây dựng mô hình hệ thống điện sử dụng năng lượng mặt trời kết hợp điện gió cho hộ gia đình</t>
  </si>
  <si>
    <t>Châu Ngọc Tính 23151187</t>
  </si>
  <si>
    <t>Nguyễn Thới</t>
  </si>
  <si>
    <t>01 Chương trình máy tính
01 Báo cáo tổng kết</t>
  </si>
  <si>
    <t>Nguyễn Minh Tâm</t>
  </si>
  <si>
    <t>Nghiên cứu điều khiển thích nghi robot di động tự hành (AMR) sử dụng mạng Actor–Critic hồi tiếp giá trị PID</t>
  </si>
  <si>
    <t>Đào Nhất Huy 23151247</t>
  </si>
  <si>
    <t>Phan Viết Hai 23151241
Võ Trung Kiên 23151268</t>
  </si>
  <si>
    <t>Trần Vi Đô</t>
  </si>
  <si>
    <t>01 Mô hình xe AMR tự hành
01 Báo cáo tổng kết</t>
  </si>
  <si>
    <t>Ứng dụng điều khiển trượt siêu xoắn cho bộ chuyển đổi DC/DC hai chiều trong hệ thống DC Microgrid</t>
  </si>
  <si>
    <t>Đào Phước Hưng 23151113</t>
  </si>
  <si>
    <t>Nguyễn Trí Phát 23151155
Lâm Bảo Khang 23151119</t>
  </si>
  <si>
    <t>Phạm Hữu Thái</t>
  </si>
  <si>
    <t>01 Bài báo khoa học đăng toàn văn trong kỷ yếu hội nghị, hội thảo có chỉ số ISSN/ISBN
01 Báo cáo tổng kết</t>
  </si>
  <si>
    <t>Thiết kế bộ điều khiển chuyển động Fuzzy - LQR cho Robot hai bánh tự cân bằng với tải trọng thay đổi trên ROS2</t>
  </si>
  <si>
    <t>Đoàn Văn Hây 21151103</t>
  </si>
  <si>
    <t>Lương Hoàng Ân 21151071
Huỳnh Thanh Tuấn 23151198
Phạm Thanh Tùng 23151202</t>
  </si>
  <si>
    <t>Trần Đức Thiện</t>
  </si>
  <si>
    <t>Phát triển mô hình Digital Twin cho Robot UR3 4 bậc tự do sử dụng ROS 2 và thị giác máy tính</t>
  </si>
  <si>
    <t>Hồ Lê Tuấn 22151158</t>
  </si>
  <si>
    <t>Trần Hải Nam 22151120</t>
  </si>
  <si>
    <t>Quản lý trạm sạc xe điện dùng công nghệ IoT</t>
  </si>
  <si>
    <t>Hồ Minh Quân 23161171</t>
  </si>
  <si>
    <t>Lê Minh Thành</t>
  </si>
  <si>
    <t>Huỳnh Nhật Tân 23142203</t>
  </si>
  <si>
    <t>Nguyễn Thanh Thành Đạt 23142108
Hồ Hoàng Phát 23142173
Lê Minh Sơn 23142199
Lê Phạm Minh Thắng 23142210</t>
  </si>
  <si>
    <t>Nguyễn Phan Thanh</t>
  </si>
  <si>
    <t>01 Báo cáo tổng kết</t>
  </si>
  <si>
    <t>Đặng Phước Hải Trang</t>
  </si>
  <si>
    <t>Thiết kế thi công tủ thuốc thông minh cho người lớn tuổi</t>
  </si>
  <si>
    <t>Huỳnh Thế Vinh 22161336</t>
  </si>
  <si>
    <t>Huỳnh Nguyễn Trọng Phúc 22161304</t>
  </si>
  <si>
    <t>Nguyễn Văn Hiệp</t>
  </si>
  <si>
    <t>01 Mô hình tủ thuốc thông minh
01 Báo cáo nghiên cứu khoa học</t>
  </si>
  <si>
    <t>Nguyễn Văn Vinh 22151161</t>
  </si>
  <si>
    <t>Phùng Sơn Thanh</t>
  </si>
  <si>
    <t>01 Bài báo đăng trên hội thảo quốc tế có chỉ số xuất bản ISBN/ISSN
01 Báo cáo tổng kết</t>
  </si>
  <si>
    <t>Thiết kế bộ điều khiển Backstepping bám quỹ đạo cho hệ con lắc ngược trên xe</t>
  </si>
  <si>
    <t>Lê Hoàng Linh 20151391</t>
  </si>
  <si>
    <t>Xây dựng hệ thống nhận dạng drone bằng xử lý ảnh và IoT để lưu trữ hình ảnh</t>
  </si>
  <si>
    <t>Lê Hữu Lộc 23161148</t>
  </si>
  <si>
    <t>Mai Tuấn Anh 23161093
Hồ Gia Bảo 23161099
Võ Gia Bảo 23161102
Phan Canh Phương Nam 23161157</t>
  </si>
  <si>
    <t>Nguyễn Ngô Lâm</t>
  </si>
  <si>
    <t>01 Hệ thống phát hiện và cảnh báo drone 
01 Bản báo cáo tổng kết</t>
  </si>
  <si>
    <t>Triển khai và kiểm chứng thời gian thực thuật toán MPPT cho hệ thống PV/Battery trên nền tảng mô phỏng Hardware-In-the-Loop</t>
  </si>
  <si>
    <t>Thiết kế và thi công công tắc điện thông minh</t>
  </si>
  <si>
    <t>Lê Trung Huy 23161125</t>
  </si>
  <si>
    <t>Nguyễn Quang Huy 23161126
Trần Tiến Tài 23161183
Phan Minh Khoa 23161141
Phùng Thị Bảo Trâm 23161201</t>
  </si>
  <si>
    <t>Nguyễn Văn Phúc</t>
  </si>
  <si>
    <t xml:space="preserve">01 Mô hình công tắc điện thông minh 
01 Báo cáo tổng kết </t>
  </si>
  <si>
    <t>Thiết kế hệ thống báo cháy cho xe điện</t>
  </si>
  <si>
    <t>Lê Văn Đức 23161121</t>
  </si>
  <si>
    <t>Nguyễn Hoàng Minh Duy 23161113
Bùi Lê Đình 23161119</t>
  </si>
  <si>
    <t>Lê Minh Thành</t>
  </si>
  <si>
    <t>Nghiên cứu phương pháp quản lý năng lượng tối ưu cho xe điện chạy bằng pin nhiên liệu hydrogen (FCEV)</t>
  </si>
  <si>
    <t>Lưu Công Thành 23151175</t>
  </si>
  <si>
    <t>Đông Minh Hoàng 23151099
Nguyễn Lê Đức Hoàng 23151091</t>
  </si>
  <si>
    <t>Trịnh Hoài Ân</t>
  </si>
  <si>
    <t>Thiết kế xe tự hành theo lộ trình định trước</t>
  </si>
  <si>
    <t>Lý Chí Kiện 22161145</t>
  </si>
  <si>
    <t>Võ Quang Triết 22161197
Trần Minh Nguyệt 22161161
Nguyễn Thị Phương Lan 22161147
Phạm Đăng Khoa 22161139</t>
  </si>
  <si>
    <t xml:space="preserve">01 Mô hình xe tự hành theo lộ trình định trước
01 Báo cáo tổng kết </t>
  </si>
  <si>
    <t>Phát triển mô hình robot di động chăm sóc người bệnh ứng dụng trí tuệ nhân tạo</t>
  </si>
  <si>
    <t>Mai Nhật Nam 22151118</t>
  </si>
  <si>
    <t>Nguyễn Tấn Dũng 22151065
Đặng Minh Hoàng 22151086
Phạm Lê Huy Trực 22151155</t>
  </si>
  <si>
    <t>Dương Minh Thiện</t>
  </si>
  <si>
    <t>Thiết kế mô hình giám sát động cơ dc sử dụng công nghệ song sinh kỹ thuật số (Digital Twin)</t>
  </si>
  <si>
    <t>Mai Văn Hưng 23151116</t>
  </si>
  <si>
    <t>Nguyễn Quang Huy 23151104
Nguyễn Tuấn Kiệt 23151133
Nguyễn Thanh Sang 23151168
Nguyễn Đặng Vũ Hoàng 23151090</t>
  </si>
  <si>
    <t>Nguyễn Tử Đức</t>
  </si>
  <si>
    <t>Tối ưu hoá thông lượng trong mạng viễn thông bằng NOMA kết hợp RIS</t>
  </si>
  <si>
    <t>Ngô Phạm Quốc Anh 23161003</t>
  </si>
  <si>
    <t>Ngô Quang Hải 23151242</t>
  </si>
  <si>
    <t>Trương Quang Phúc</t>
  </si>
  <si>
    <t xml:space="preserve">Thiết kế mô hình mặt nạ điều trị bệnh da liễu sử dụng trí tuệ nhân tạo </t>
  </si>
  <si>
    <t>Nguyễn Gia Huy 24119137</t>
  </si>
  <si>
    <t>Phạm Ngọc Công 24119116</t>
  </si>
  <si>
    <t>Nghiên cứu ứng dụng AI trên thiết bị biên</t>
  </si>
  <si>
    <t>Nguyễn Gia Khánh 23161280</t>
  </si>
  <si>
    <t>Võ Minh Huân</t>
  </si>
  <si>
    <t>Nghiên cứu bộ chuyển đổi DC-DC tăng giảm áp không cách ly</t>
  </si>
  <si>
    <t>Nguyễn Khải Đạt 23142272</t>
  </si>
  <si>
    <t>Lê Đình Vĩnh Hào 23142286</t>
  </si>
  <si>
    <t>Trương Việt Anh</t>
  </si>
  <si>
    <t>01 Bài báo khoa học đăng trên tạp chí trong nước trong danh mục của Hội đồng Giáo sư Nhà nước tính 0,5 điểm trở lên
01 Mô hình thực nghiệm</t>
  </si>
  <si>
    <t>Điều khiển trượt thích nghi cho bộ chuyển đổi DC–DC tăng áp cấp cho tải công suất không đổi trong hệ thống DC microgrid</t>
  </si>
  <si>
    <t>Nguyễn Linh Tâm 23161185</t>
  </si>
  <si>
    <t>Trần Lê Khánh Dung 23161112
Nguyễn Quang Sáng 23161176
Dương Quốc Thắng 23161037</t>
  </si>
  <si>
    <t>Thiết kế hệ thống điều khiển và giám sát đèn giao thông từ RTL đến GDSII</t>
  </si>
  <si>
    <t>Nguyễn Phan Thái Sơn 23161177</t>
  </si>
  <si>
    <t>Nguyễn Nhật Hào 23161123
Nguyễn Hữu Bình 23161106
Lý Hoàng Khang 23161133
Lý Vĩnh Khang 23161134</t>
  </si>
  <si>
    <t>01 File RTL và file layout đầy đủ của hệ thống điều khiển đèn giao thông hoàn chỉnh
01 Bản báo cáo tổng kết</t>
  </si>
  <si>
    <t>Nguyễn Thanh Nghĩa</t>
  </si>
  <si>
    <t>Thiết kế chiến lược quản lý năng lượng trên xe điện hydrogen (FCEV) sử dụng thuật toán mờ loại 2</t>
  </si>
  <si>
    <t>Nguyễn Quốc Sang 23151166</t>
  </si>
  <si>
    <t>Trương Quốc Khánh 23151125
Trần Lê Huy 23151107
Đặng Trần Nhật 23151152</t>
  </si>
  <si>
    <t>Lê Trọng Hiếu</t>
  </si>
  <si>
    <t>Thiết kế bộ truyền nhận UART tự động điều chỉnh cấu hình truyền</t>
  </si>
  <si>
    <t>Nguyễn Thái An 23119045</t>
  </si>
  <si>
    <t>Phạm Thanh Phúc 23119096
Nguyễn Quốc Khôi 23119075
Trần Minh Phước 23119098
Dương Minh Thông 23119111</t>
  </si>
  <si>
    <t>Đỗ Duy Tân</t>
  </si>
  <si>
    <t xml:space="preserve">Xây dựng hệ thống quản lý mượn và trả sách tại thư viện </t>
  </si>
  <si>
    <t>Nguyễn Hoàng Trọng Phúc 23161166
Nguyễn Mạnh Quang 23161170
Phạm Hoàng Khánh Duy 23161114
Võ Như Thế 23161194</t>
  </si>
  <si>
    <t>01 Mô hình hệ thống quản lý mượn và trả sách tại thư viện
01 Báo cáo tổng kết</t>
  </si>
  <si>
    <t>Thiết kế hệ thống nhận diện thông minh điều khiển xe lăn điện hỗ trợ bệnh nhân bại liệt</t>
  </si>
  <si>
    <t>Nguyễn Thị Mỹ Thường 23129052</t>
  </si>
  <si>
    <t>Cao Quang Thái 23129047
Thượng Thị Thanh Vân 23129064</t>
  </si>
  <si>
    <t>Ngô Bá Việt</t>
  </si>
  <si>
    <t>Thiết kế chiến lược tối thiểu mức nhiên liệu tiêu thụ tương đương (ECMS) cho xe máy điện chạy bằng pin nhiên liệu hydrogen</t>
  </si>
  <si>
    <t>Nguyễn Thiên Phú 22161169</t>
  </si>
  <si>
    <t>Dương Quang Lộc 22161149</t>
  </si>
  <si>
    <t>01 Bài báo khoa học đăng trên tạp chí trong nước trong danh mục của HĐ GSNN tính từ 0,5 điểm trở lên
01 Báo cáo tổng kết</t>
  </si>
  <si>
    <t>Nghiên cứu, thiết kế và thi công thiết bị đo đường huyết dựa vào tín hiệu cận hồng ngoại</t>
  </si>
  <si>
    <t>Nguyễn Văn Ngọc Trình 23129055</t>
  </si>
  <si>
    <t>Nguyễn Anh Kiệt 23129014
Nguyễn Đức Tài 23129045
Nguyễn Bá Anh Tùng 23129060</t>
  </si>
  <si>
    <t>01 Mô hình thiết bị đo đường huyết bằng tín hiệu hồng ngoại
01 Báo cáo phân tích</t>
  </si>
  <si>
    <t xml:space="preserve">Thiết kế bộ điều khiển cân bằng cho robot hai chân bánh xe thay đổi chiều cao </t>
  </si>
  <si>
    <t>Nguyễn Văn Tấn Đạt 23151234</t>
  </si>
  <si>
    <t>Nguyễn Chế Thiện 23151313</t>
  </si>
  <si>
    <t>01 Mô hình robot hai chân bánh xe thay đổi được chiều cao
01 Báo cáo phân tích tính hiệu quả của bộ điều khiển</t>
  </si>
  <si>
    <t>Nghiên cứu kỹ thuật nạp firmware từ xa cho vi điều khiển</t>
  </si>
  <si>
    <t>Phạm Quốc Thắng 23161193</t>
  </si>
  <si>
    <t>Nguyễn Thuý Hiền 22129014
Đặng Thành Dương 23161117</t>
  </si>
  <si>
    <t>Nghiên cứu và phát triển gậy thông minh đa chức năng: định vị – phát hiện vật cản – cảnh báo an toàn</t>
  </si>
  <si>
    <t>Phạm Võ Thiện Bảo 23161101</t>
  </si>
  <si>
    <t>Cao Văn Tài 23161179
Nguyễn Tuấn Cường 23161109
Lê Quang Trung 23161206</t>
  </si>
  <si>
    <t>Ước lượng công suất hoạt động của động cơ xe điện tự hành dựa vào nhận dạng môi trường vận hành sử dụng công nghệ xử lý ảnh và cảm biến IMU</t>
  </si>
  <si>
    <t>Phan Thị Liệu 23151136</t>
  </si>
  <si>
    <t>Điều khiển bám quỹ đạo cho robot tự hành sử dụng PID – Mạng nơ-ron nhân tạo</t>
  </si>
  <si>
    <t>Phùng Anh Tuấn 23151201</t>
  </si>
  <si>
    <t>Lê Trần Minh Trí 23151190
Nguyễn Lê Thanh Trọng 23151192
Trần Văn Vinh 23151205</t>
  </si>
  <si>
    <t>Nghiên cứu và xây dựng hệ thống cảnh báo trẻ em bị bỏ quên trên xe ô tô ứng dụng Trí tuệ nhân tạo (AI) và cơ chế cập nhật firmware từ xa (FOTA)</t>
  </si>
  <si>
    <t>Tạ Phú Thành 22144188</t>
  </si>
  <si>
    <t>Trần Nguyễn Thành Tài 22119129
Trần Đoàn Trung 22119144
Bùi Huỳnh Nhật Quang 22119121</t>
  </si>
  <si>
    <t>Nghiên cứu và chế tạo thiết bị nhận biết mệnh giá tiền với các chức năng phục vụ cho người khiếm thị</t>
  </si>
  <si>
    <t>Thái Gia Bảo	 24119113</t>
  </si>
  <si>
    <t>Từ Lễ An 24119106
Bùi Ngọc Đăng Khoa 24119147
Đậu Đình Khánh 24119145</t>
  </si>
  <si>
    <t>Thiết kế SoC RISC-V tích hợp bộ gia tốc trí tuệ nhân tạo, tối ưu hóa toán tử GEMM/Convolution trong Deep Learning</t>
  </si>
  <si>
    <t>Thái Hoàng Phi 23119091</t>
  </si>
  <si>
    <t>Nguyễn Xuân Khôi 23119076
Nguyễn Chính Ân 23119047</t>
  </si>
  <si>
    <t>Phạm Văn Khoa</t>
  </si>
  <si>
    <t>Điều khiển bộ chuyển đổi DC – DC converter tăng áp cho thiết bị nghịch lưu một pha dựa trên học tăng cường sâu</t>
  </si>
  <si>
    <t>Trần Anh Khôi 23151267</t>
  </si>
  <si>
    <t>Nguyễn Minh Đức 23151238
Mai Đình Phong 23151294</t>
  </si>
  <si>
    <t>01 Bộ mô hình mạch nghịch lưu tăng áp công suất nhỏ phục vụ thí nghiệm
01 Báo cáo phân tích so sánh các thuật toán</t>
  </si>
  <si>
    <t>Nghiên cứu phương pháp cải thiện công suất cho hệ thống pin quang điện trong đô thị dưới ảnh hưởng của bóng che</t>
  </si>
  <si>
    <t>Lê Cao Kiên 23142145</t>
  </si>
  <si>
    <t>Thiết kế và thi công thiết bị bàn đạp phục hồi chức năng chi dưới</t>
  </si>
  <si>
    <t>Trần Mỹ Duyên 22129009</t>
  </si>
  <si>
    <t>Nguyễn Thị Thùy Dương 22129010
Nguyễn Huỳnh Bình Minh 21129020</t>
  </si>
  <si>
    <t>01 Thiết bị bàn đạp phục hồi chức năng chi dưới
01 Báo cáo tổng kết</t>
  </si>
  <si>
    <t>Thiết kế và thi công hệ thống giữ xe ô tô tự động</t>
  </si>
  <si>
    <t>Trần Quang Bình 22161095</t>
  </si>
  <si>
    <t>Lê Khắc Duy 22161104
Dương Ngọc Vinh 22161214
Vũ Tiến Lực 22161151
Trương Minh Khôi 22161143</t>
  </si>
  <si>
    <t>01 Mô hình bãi giữ xe tự động
01 Báo cáo tổng kết</t>
  </si>
  <si>
    <t>Nghiên cứu hệ thống dự đoán trạng thái bất thường của động cơ xe điện dựa trên kỹ thuật song sinh kỹ thuật số</t>
  </si>
  <si>
    <t>Nguyễn Minh Huy 23151102
Dương Cường Sáng 23151169
Tăng Đàm Song 23151170
Lâm Hoàng Vũ 23151208</t>
  </si>
  <si>
    <t>Thiết kế và thi công hệ thống quản lý thiết bị y tế trong bệnh viện bằng công nghệ không dây</t>
  </si>
  <si>
    <t>Trương Đông Quân 23129040</t>
  </si>
  <si>
    <t>Phát triển các chiến lược điều khiển FOC cho động cơ PMSM ứng dụng trên xe điện</t>
  </si>
  <si>
    <t>Từ Thái Đạt 22161238</t>
  </si>
  <si>
    <t>Nguyễn Minh Hiển 22161251</t>
  </si>
  <si>
    <t>Ứng dụng thuật toán tối ưu hóa phi tuyến để tối ưu quỹ đạo cục bộ cho Robot Mecanum</t>
  </si>
  <si>
    <t>Văng Công Quỳnh 23151305</t>
  </si>
  <si>
    <t>Trần Nhật Phúc 23151299
Nguyễn Phúc Qui 23151304</t>
  </si>
  <si>
    <t>Báo cáo phân tích, so sánh, ứng dụng thuật toán tối ưu hóa phi tuyến để tối ưu quỹ đạo cục bộ</t>
  </si>
  <si>
    <t>Nghiên cứu và triển khai điều khiển bộ chuyển đổi DC–DC hai chiều trong hệ vi lưới sử dụng phương pháp trượt siêu xoắn kết hợp mạng nơ-ron</t>
  </si>
  <si>
    <t>Võ Minh Thành 23151177</t>
  </si>
  <si>
    <t>Đỗ Đình Thắng 23151179
Lê Đức Tấn 23151174</t>
  </si>
  <si>
    <t>Võ Ngọc Trai 24119206</t>
  </si>
  <si>
    <t>Lê Tiến Thịnh 24119200</t>
  </si>
  <si>
    <t>01 Chương trình máy tính mô phỏng, mô hình camera nhận diện hành vi.
01 Báo cáo tổng kết</t>
  </si>
  <si>
    <t>Thiết kế thi công bãi giữ xe quy mô nhỏ (áp dụng RFID, smartphone…)</t>
  </si>
  <si>
    <t>Võ Tấn Hưng 22161264</t>
  </si>
  <si>
    <t>Lê Văn Hoàn 22142305</t>
  </si>
  <si>
    <t>01 Mô hình bãi giữ xe
01 Báo cáo nghiên cứu</t>
  </si>
  <si>
    <t>Ảnh hưởng của spirulina đến chất lượng sữa đậu nành lên men</t>
  </si>
  <si>
    <t>Tổng hợp vật liệu nano silica cầu rỗng bằng phương pháp khuôn cứng polystyrene từ nguồn xốp bao bì thải</t>
  </si>
  <si>
    <t>Tổng hợp vật liệu graphene oxide khử</t>
  </si>
  <si>
    <t>Chế tạo micelle vận chuyển thuốc kỵ nước từ polysaccharide biến tính octenyl succinic anhydride</t>
  </si>
  <si>
    <t>Đánh giá tác động của Sodium Alginate đến đặc tính của double network hydrogel trên cơ sở PVA định hướng ứng dụng làm chất mang Urea</t>
  </si>
  <si>
    <t>Tổng hợp và đánh giá hiệu quả của vật liệu đất sét kết hợp bùn thải và bã đậu trong xử lý nước thải dệt nhuộm</t>
  </si>
  <si>
    <t>Thiết kế bộ điều khiển PID ổn định thiết bị phản ứng khuấy trộn liên tục tổng hợp glycerol (C3H6O2) từ phản ứng hydrat hóa 2,3-expoxy-1-propanol (C3H8O3)</t>
  </si>
  <si>
    <t>Nghiên cứu chế tạo và đánh giá hiệu quả xử lý nước thải sinh hoạt của bể lọc màng sinh học (MBR)</t>
  </si>
  <si>
    <t>Thiết kế, xây dựng mô hình bể keo tụ - tạo bông kết hợp bể lắng nhanh và xác định các thông số vận hành tối ưu xử lý nước sông Đồng Nai</t>
  </si>
  <si>
    <t xml:space="preserve">Thiết kế và xây dựng mô hình của hệ thống lọc nhanh kết hợp khử trùng quy mô phòng thí nghiệm và xác định các thông số vận hành tối ưu xử lý nước sông Đồng Nai </t>
  </si>
  <si>
    <t>Nghiên cứu chế tạo màng bọc thực phẩm có khả năng đổi màu giúp nhận diện thực phẩm hư hỏng</t>
  </si>
  <si>
    <t>Khảo sát quá trình tách polysaccharide từ nấm linh chi trúc bằng phương pháp trích ly hai pha nước</t>
  </si>
  <si>
    <t>Xác định một số tính chất lý hóa của polysaccharide trích ly từ nấm linh chi trúc (Ganoderma neo-japonicum)</t>
  </si>
  <si>
    <t>Chế tạo cảm biến cơ học biến dạng trên cơ sở vật liệu graphene oxide khử</t>
  </si>
  <si>
    <t>Nghiên cứu quá trình lên men trà Kombucha phụ phẩm mắt dứa</t>
  </si>
  <si>
    <t>Nghiên cứu tổng hợp hạt nano carbon dots trên nền màng polymer PVA/Chitosan cho ứng dụng công nghệ bảo quản thực phẩm</t>
  </si>
  <si>
    <t>Điều chế, đánh giá khả năng hấp phụ và quang xúc tác loại bỏ thuốc nhuộm của vật liệu CoFe2O4 pha tạp đất hiếm</t>
  </si>
  <si>
    <t>Tổng hợp NiErxFe2-xO4 bằng phương pháp đồng kết tủa và ứng dụng quang xúc tác trong phản ứng phân hủy Rhodamine B.</t>
  </si>
  <si>
    <t>Bùi Phạm Đức Tường</t>
  </si>
  <si>
    <t xml:space="preserve">Ứng dụng học máy dự đoán hư hại kết cấu dưới tác dụng tải trọng động đất </t>
  </si>
  <si>
    <t xml:space="preserve">01 Báo cáo tổng kết
  </t>
  </si>
  <si>
    <t>Ứng dụng AI và mô hình hệ thống động trong đánh giá tác động quy hoạch nhà cao tầng đến giao thông nội đô khu vực TP. Hồ Chí Minh</t>
  </si>
  <si>
    <t>Nguyễn Văn Tiếp</t>
  </si>
  <si>
    <t>Hà Duy Khánh</t>
  </si>
  <si>
    <t xml:space="preserve">01 Báo cáo tổng kết
01 bài báo được đăng trên các tạp chí uy tín trong ước nằm trong danh mục của Hội đồng giáo sư nhà nước tính điểm tối thiểu 0.5 điểm. </t>
  </si>
  <si>
    <t>Nghiên cứu tổ chức không gian kiến trúc và khả năng thích ứng của chợ truyền thống trong bối cảnh đô thị đương đại</t>
  </si>
  <si>
    <t>Đỗ Duy Thịnh</t>
  </si>
  <si>
    <t>01 Báo cáo tổng kết
01 Bài báo khoa học đăng trên tạp chí trong nước trong danh mục của Hội đồng Giáo sư Nhà nước tính 0,5 điểm trở lên hoặc sản phẩm mô hình, thiết bị có hợp đồng chuyển giao công nghệ phục vụ cộng đồng.</t>
  </si>
  <si>
    <t>Nghiên cứu tác động và giải pháp đô thị thích ứng với ngập lụt tại khu vực trung tâm TP.HCM</t>
  </si>
  <si>
    <t>Mô phỏng và tối ưu hóa luồng giao thông tại nút giao thông đô thị</t>
  </si>
  <si>
    <t>Lâm Phát Thuận</t>
  </si>
  <si>
    <t xml:space="preserve">01 Báo cáo tổng kết
01 bài báo được đăng trên các tạp chí uy tín trong ước nằm trong danh mục của Hội đồng giáo sư nhà nước tính điểm tối thiểu 0,5 điểm. </t>
  </si>
  <si>
    <t>Tối ưu hóa bố trí mặt bằng công trường bằng thuật toán metaheuristic</t>
  </si>
  <si>
    <t xml:space="preserve">01 Báo cáo tổng kết
01 bài báo được đăng trên các tạp chí uy tín trong ước nằm trong danh mục của Hội đồng giáo sư nhà nước ính điểm tối thiểu 0,5 điểm. </t>
  </si>
  <si>
    <t>Phân tích ứng xử uốn của tấm composite nhiều lớp sử dụng phương pháp đẳng hình học và lý thuyết biến dạng cắt bậc cao.</t>
  </si>
  <si>
    <t>Nguyễn Thị Bích Liễu</t>
  </si>
  <si>
    <t xml:space="preserve">01 Báo cáo tổng kết
01 bài báo được đăng trên các tạp chí uy tín trong ước nằm trong danh mục của Hội đồng giáo sư nhà nước tính điểm tối thiểu 0,75 điểm. </t>
  </si>
  <si>
    <t>Giải pháp tổ chức không gian thích ứng ngập lụt cho khu vực chợ Thủ Đức - hướng đến mô hình chợ đô thị bền vững</t>
  </si>
  <si>
    <t>Đỗ Xuân Sơn</t>
  </si>
  <si>
    <t>01 Báo cáo tổng kết
01 Bài báo khoa học đăng trên tạp chí trong nước trong danh mục của Hội đồng Giáo sư Nhà nước tính 0,5 điểm trở lên.</t>
  </si>
  <si>
    <t>Nghiên cứu dao động của dầm FG-TPMS bằng phương pháp đẳng hình học</t>
  </si>
  <si>
    <t>Phạm Tấn Hùng</t>
  </si>
  <si>
    <t>Nghiên cứu đặc trưng kiến trúc nhà ở khu vực Nam Bộ cuối thế kỉ XIX - đầu thế kỉ XX, Trường hợp tỉnh Tiền Giang và tỉnh Đồng Tháp.</t>
  </si>
  <si>
    <t>Nguyễn Văn Hoan</t>
  </si>
  <si>
    <t>Nghiên cứu mối quan hệ giữa lưu lượng giao thông với độ bụi và tiếng ồn trên đường lê văn chí, TP. Hồ Chí Minh.</t>
  </si>
  <si>
    <t>Trần Vũ Tự</t>
  </si>
  <si>
    <t>Nghiên cứu đánh giá các phương án nút giao thông ở TP Hồ Chí Minh trên cơ sở xem xét mức hiệu quả kinh tế - kỹ thuật</t>
  </si>
  <si>
    <t>Nghiên cứu ảnh hưởng của kích thước đảo vòng xuyến đến khả năng thông hành cho nút giao ngã tư bằng phương pháp mô phỏng</t>
  </si>
  <si>
    <t>Nguyễn Văn Chúng</t>
  </si>
  <si>
    <t>Phân tích các yếu tố ảnh hưởng đến sức chịu tải cọc trong nền đất cát</t>
  </si>
  <si>
    <t>Ứng dụng BIM Tự động Thiết kế hệ thống Cấp nước Công trình Theo Tiêu Chuẩn Việt Nam</t>
  </si>
  <si>
    <t>Phan Thành Chiến</t>
  </si>
  <si>
    <t>01 Báo cáo tổng kết
01 Bài báo khoa học đăng trên tạp chí trong nước, trong danh mục của HĐ GSNN tính điểm từ 0.5 điểm trở lên.</t>
  </si>
  <si>
    <t>Trịnh Ngọc Thành</t>
  </si>
  <si>
    <t>Tác động của đặc điểm Hội đồng quản trị đến hành vi quản trị lợi nhuận của các công ty niêm yết ngành nguyên vật liệu tại Việt Nam</t>
  </si>
  <si>
    <t>Cao Thị Nhân Anh</t>
  </si>
  <si>
    <t>Tác động của thiền định đến chất lượng làm việc của nhân viên văn phòng tại Thành phố Hồ Chí Minh</t>
  </si>
  <si>
    <t>Hồ Thị Hồng Xuyên</t>
  </si>
  <si>
    <t>1 báo cáo tổng hợp</t>
  </si>
  <si>
    <t>Nguyễn Phan Anh Huy</t>
  </si>
  <si>
    <t>Phân tích các yếu tố tác động tâm lý FOMO đến ý định mua hàng của GenZ trên nền tảng TikTok tại Thành phố Hồ Chí Minh</t>
  </si>
  <si>
    <t>Lại Thị Tường Vi</t>
  </si>
  <si>
    <t>Lê Thị Tuyết Thanh</t>
  </si>
  <si>
    <t>Phan Văn Hồng Thắng</t>
  </si>
  <si>
    <t>Nguyễn Thị Lan Anh</t>
  </si>
  <si>
    <t>Trần Thụy Ái Phương</t>
  </si>
  <si>
    <t>Phân tích các yếu tố quyết định sự thành công của việc triển khai Bảo trì năng suất toàn diện (TPM) trong môi trường sản xuất</t>
  </si>
  <si>
    <t>Nguyễn Phương Quang</t>
  </si>
  <si>
    <t>Nguyễn Danh Hà Thái</t>
  </si>
  <si>
    <t>Ảnh hưởng của hội đồng quản trị bận rộn đến tính thận trọng trong kế toán: bằng chứng thực nghiệm tại Việt Nam</t>
  </si>
  <si>
    <t xml:space="preserve">Bùi Tiến Thịnh </t>
  </si>
  <si>
    <t>Tác động của đánh giá trực tuyến đến ý định mua hàng của giới trẻ trên các sàn thương mại điện tử tại thành phố Hồ Chí Minh</t>
  </si>
  <si>
    <t>Các yếu tố ảnh hưởng đến hành vi chuyển đổi sử dụng dịch vụ xe buýt điện của học sinh, sinh viên trên địa bàn TP.HCM</t>
  </si>
  <si>
    <t>Các nhân tố ảnh hưởng đến hành vi tài chính của sinh viên</t>
  </si>
  <si>
    <t>1 bài báo cáo tổng kết phân tích</t>
  </si>
  <si>
    <t xml:space="preserve"> Ảnh hưởng của Trò chơi hóa (Gamification) đến ý định mua hàng trực tuyến đối với Sinh viên sử dụng Ứng dụng Shopee tại TP. Hồ Chí Minh</t>
  </si>
  <si>
    <t>Nguyễn Khắc Hiếu</t>
  </si>
  <si>
    <t>Nghiên cứu ảnh hưởng của đặc điểm Hội đông quản trị đến hành vi tránh thuế: Nghiên cứu trường hợp các công ty niêm yết ở Việt Nam.</t>
  </si>
  <si>
    <t>1 báo cáo phân tích</t>
  </si>
  <si>
    <t>Nghiên Cứu Sự Kết Hợp Phân Tích Cảm Xúc Và Dự Đoán Hành Vi Rời Bỏ Của Khách Hàng Bằng Mô Hình Máy Học Machine Learning Với Nghiên Cứu Thực Nghiệm Trên Dữ Liệu Của Các Sàn Thương Mại Điện Tử Việt Nam.</t>
  </si>
  <si>
    <t>Trần Kim Toại</t>
  </si>
  <si>
    <t>Mô hình máy học tích hợp; Báo cáo nghiên cứu khoa học; Giao diện thử nghiệm (prototype), Chương trình máy tính</t>
  </si>
  <si>
    <t>Các yếu tố ảnh hưởng đến ý định tham gia các hoạt động tình nguyện của sinh viên</t>
  </si>
  <si>
    <t>Nguyễn Phan Như Ngọc</t>
  </si>
  <si>
    <t xml:space="preserve">Nguyễn Danh Hà Thái </t>
  </si>
  <si>
    <t>Các yếu tố tác động đến ý định mua mỹ phẩm xanh của sinh viên tại TP. Hồ Chí Minh</t>
  </si>
  <si>
    <t>Lê Thị Thu Hà 23124073</t>
  </si>
  <si>
    <t>Tô Trần Lam Giang</t>
  </si>
  <si>
    <t>Tác Động Của Chatbot AI Trong Thương Mại Điện Tử Đến Sự Hài Lòng Của Người Tiêu Dùng Tại Thành Phố Hồ Chí Minh</t>
  </si>
  <si>
    <t>Các yếu tố ảnh hưởng đến hành vi mua hàng xanh của người tiêu dùng trên địa bàn Thành phố Hồ Chí Minh</t>
  </si>
  <si>
    <t>Trương Thị Hòa</t>
  </si>
  <si>
    <t>Các nhân tố ảnh hưởng đến ý định mua hàng tại các cửa hàng ảo: Nghiên cứu thực nghiệm tại Việt Nam</t>
  </si>
  <si>
    <t>Thiết kế và chế tạo thiết bị cảnh báo buồn ngủ cho tài</t>
  </si>
  <si>
    <t>Trần Hữu Quy</t>
  </si>
  <si>
    <t>Thiết kế và chế tạo mô hình xe tự hành thông qua việc xử lý hình ảnh thông minh bằng thị giác máy tính.</t>
  </si>
  <si>
    <t>Nghiên cứu tác động của chất lỏng đến tính bền của xi téc và tính ổn định vận hành của ô tô chữa cháy nhãn hiệu FM8JN7A-R/VINHTHINHXCC1</t>
  </si>
  <si>
    <t>Thiết kế và lập trình mạch điều khiển máy bơm lốp tự động cho xe máy, ô tô.</t>
  </si>
  <si>
    <t>Nghiên cứu lý thuyết và thực nghiệm bộ trao đổi nhiệt ghép tầng R134a /CO2 với công suất là 6kW</t>
  </si>
  <si>
    <t>Tính toán lý thuyết và thực nghiệm dàn lạnh CO2 trong hệ thống lạnh ghép tầng R134a có năng suất lạnh 5kW.</t>
  </si>
  <si>
    <t>Thiết kế hệ thống IoT giám sát năng lượng mặt trời và gió</t>
  </si>
  <si>
    <t>Nguyễn Văn Trung</t>
  </si>
  <si>
    <t>Lê Thanh Phúc</t>
  </si>
  <si>
    <t>Sổ tay Kiến thức Vật lý – Toán học cho Sinh viên Năng lượng Tái tạo</t>
  </si>
  <si>
    <t>Cải thiện hiệu suất của turbine Savonius tích hợp cánh dẫn đa hướng (ODGV) bằng phương pháp Taguchi kết hợp mô phỏng CFD cho ứng dụng đô thị.</t>
  </si>
  <si>
    <t>Nghiên cứu thiết kế cải tiến phương pháp điều khiển nhiệt độ điều hòa ô tô ứng dụng trợ lý ảo giọng nói trên Toyota Vios 2007.</t>
  </si>
  <si>
    <t>Thiết kế, chế tạo mô hình xe tự hành cỡ nhỏ</t>
  </si>
  <si>
    <t>Thiết kế, chế tạo mô hình pin và hệ thống quản lý pin trên xe máy điện</t>
  </si>
  <si>
    <t>Thiết kế bộ điều khiển cho mô hình tàu thủy</t>
  </si>
  <si>
    <t>Robot tự động đi theo người dùng để vận chuyển ba lô cho học sinh</t>
  </si>
  <si>
    <t>Nguyễn Ngọc Phương Thảo 23116033</t>
  </si>
  <si>
    <t xml:space="preserve">Điều hướng robot giao hàng tự động sử dụng đa cảm biến và thuật toán học tăng cường </t>
  </si>
  <si>
    <t>Lê Minh Tân 23119033</t>
  </si>
  <si>
    <t>Khảo sát điều khiển tuyến tính và phi tuyến cho hệ bóng và thanh trục lệch.</t>
  </si>
  <si>
    <t>Route Optimization through Real-time Traffic Density and Water Level Estimation Using Traffic Cameras</t>
  </si>
  <si>
    <t>Nguyễn Châu Tấn Cường 23146007</t>
  </si>
  <si>
    <t>Nghiên cứu ảnh hưởng của rung động tần số thấp ứng dụng cơ cấu đàn hồi trong gia công tiện thép SUS 304</t>
  </si>
  <si>
    <t>Đỗ Minh Huy 22145026</t>
  </si>
  <si>
    <t>Nghiên cứu, mô phỏng và thi công mô hình giảng dạy hệ thống chiếu sáng tự động điều khiển bằng BCM.</t>
  </si>
  <si>
    <t>Nguyễn Thành Tài 23151029</t>
  </si>
  <si>
    <t>Hệ thống giám sát an toàn công trình xây dựng thông minh sử dụng AI đa tác nhân</t>
  </si>
  <si>
    <t>Lê Vũ Khang 23110029</t>
  </si>
  <si>
    <t xml:space="preserve">Ứng dụng camera để phân tích các chuyển động trong việc luyện tập thể dục thể thao </t>
  </si>
  <si>
    <t>Giải pháp chẩn đoán, cảnh báo và điều khiển cho hệ thống năng lượng mặt trời</t>
  </si>
  <si>
    <t>Nền tảng Bản sao số cho hệ thống Phân loại Đối tượng bằng Robot dựa trên Thị giác máy tính.</t>
  </si>
  <si>
    <t>Hoàng Ngọc An 22151003</t>
  </si>
  <si>
    <t>Nghiên cứu ảnh hưởng của xỉ lò cao đến cường độ chịu nén của bê tông rỗng</t>
  </si>
  <si>
    <t>Đỗ Đình Phong 23149029</t>
  </si>
  <si>
    <t>Nghiên cứu quá trình đúc hai kim loại(Al/Cu)</t>
  </si>
  <si>
    <t>Trần Gia Lâm 23144021</t>
  </si>
  <si>
    <t xml:space="preserve">Thực nghiệm, đánh giá độ bền kéo và tổ chức tế vi của mối hàn GMAW dưới sự hỗ trợ rung động tần số thấp
</t>
  </si>
  <si>
    <t>Ngô Thanh Tuấn 24143158</t>
  </si>
  <si>
    <t>Khảo sát hàm lượng tinh bột kháng trong sản phẩm bánh mì khi thay thế một phần bột mì bằng tinh bột chuối xanh</t>
  </si>
  <si>
    <t>Đánh giá quá trình đúc thỏi hợp kim nhôm kẽm thông qua mô phỏng</t>
  </si>
  <si>
    <t>01 Báo cáo phân tích</t>
  </si>
  <si>
    <t>01 Chương trình máy tính xe tự hành giám sát khuôn viên trường bằng trí tuệ nhân tạo
01 Báo cáo tổng kết</t>
  </si>
  <si>
    <t>Thiết kế mạch bandgap hiệu năng cao dùng công nghệ 65nm</t>
  </si>
  <si>
    <t>Lê Nhật Tân 23119034</t>
  </si>
  <si>
    <t>Nghiên cứu đánh giá độ thấm khí của vật liệu làm khuôn</t>
  </si>
  <si>
    <t>Lê Đình Mạnh 22144028</t>
  </si>
  <si>
    <t>Nghiên cứu áp dung AI trong chẩn đoán tuổi thọ của máy biến áp điện lực</t>
  </si>
  <si>
    <t>Nghiên cứu và phát triển hệ thống đo điện năng và đưa ra cảnh báo khi phát hiện có tải lớn bất thường dựa trên công nghệ IoT</t>
  </si>
  <si>
    <t>Huỳnh Cao Tiến 20142248</t>
  </si>
  <si>
    <t>Máy bay không người lái tự động theo dõi con người bằng trí tuệ nhân tạo</t>
  </si>
  <si>
    <t>Áp dụng hệ thống Smart IoT giám sát côn trùng/ động vật gây hại cho kho bãi của doanh nghiệp</t>
  </si>
  <si>
    <t>Trương Minh Quân 21161262</t>
  </si>
  <si>
    <t>Nghiên cứu các chiến lược tối ưu hóa hiệu quả biểu diễn cảnh 3D thời gian thực</t>
  </si>
  <si>
    <t>Nghiên cứu ảnh hưởng của một số phương pháp sấy đến chất lượng hạt tiêu thu hoạch tại Bà Rịa, TP Hồ Chí Minh</t>
  </si>
  <si>
    <t>Study on the Evaluation of the Effects of TIG Welding Parameters on SUS-304 Stainless Steel in the WAAM Process</t>
  </si>
  <si>
    <t>Sử dụng học tăng cường (RL) để nâng cao phương pháp cửa sổ động (DWA) cho việc điều hướng Robot di động trong Mujoco</t>
  </si>
  <si>
    <t>Nghiên cứu và Phát triển hệ thống Robot tự hành dưới nước ứng dụng Trí tuệ Nhân tạo để giám sát và nhận diện lỗi cáp quang.</t>
  </si>
  <si>
    <t>Tìm kiếm người thất lạc bằng việc sử dụng mô hình tạo sinh ảnh</t>
  </si>
  <si>
    <t>Ứng dụng thị giác máy tính trong định vị và dẫn đường cho drone.</t>
  </si>
  <si>
    <t>Nguyễn Thị Thanh Kiều 20142222</t>
  </si>
  <si>
    <t>Nghiên cứu chế tạo thiết bị cảnh báo nguy hiểm cho người lái qua điện thoại.</t>
  </si>
  <si>
    <t>Phân tích đặc tính động lực học và quy trình kĩ thuật của hệ thống truyền động trên xe điện Vinfast VF9</t>
  </si>
  <si>
    <t>Thiết kế và nâng cấp máy đóng gói tự động</t>
  </si>
  <si>
    <t>Nghiên cứu bộ biến đổi DC-DC dựa trên kỹ thuật chuyển cuộn dây</t>
  </si>
  <si>
    <t>Nghiên cứu và triển khai mô hình Deep Learning cho ước lượng tư thế người 3D (3D Human Pose Estimation)</t>
  </si>
  <si>
    <t>Thiết kế và chế tạo mô hình xe nâng cẩu hàng đa dụng dùng cơ cấu thủy lực thu nhỏ</t>
  </si>
  <si>
    <t>Trần Thanh Tài</t>
  </si>
  <si>
    <t>Phạm Duy Linh 23119017</t>
  </si>
  <si>
    <t>Trần Gia Bảo 20142198
Phạm Phúc Trường 20142005  
Phan Nhật Anh 20142027
Huỳnh Thị Quỳnh Phương 22161067</t>
  </si>
  <si>
    <t>01 Bài báo cáo thực tế
01 Bản vẻ khuôn đúc
01 Kết quả mô phỏng
01 mô hình thực nghiệm</t>
  </si>
  <si>
    <t>01 Báo cáo tổng kết
02 Bánh mì từ tinh bột chuối xanh</t>
  </si>
  <si>
    <t>- 01 Bài báo khoa học đăng trên hội thảo quốc tế có chỉ số xuất bản ISBN/ISSN.
- 01 Chương trình máy tính
- 01 Báo cáo tổng kết</t>
  </si>
  <si>
    <t>- 01 Bài báo khoa học (Được chấp nhận đăng trên tạp chí trong nước trong danh mục của HĐ GSNN tính từ 0,5 điểm trở lên hoặc tạp chí quốc tế có chỉ số ISSN)
- 01 Báo cáo tổng kết</t>
  </si>
  <si>
    <t>1 Báo cáo tổng kết
1 Mô hình nghiên cứu</t>
  </si>
  <si>
    <t>1 Báo cáo tổng quan tài liệu
1 Mô hình sinh hình ảnh (AI Model)
1 Web/App tìm kiếm người thất lạc
1 Báo cáo tổng kết</t>
  </si>
  <si>
    <t>01 Báo cáo tổng kết
01 bản vẽ lắp DWG
01 mô hình máy đo nhiệt độ khuôn</t>
  </si>
  <si>
    <t>01 Mô hình phun sơn tự động
01 Báo cáo tổng kết</t>
  </si>
  <si>
    <t>01 Thiết bị máy móc
01 Báo cáo tổng kết</t>
  </si>
  <si>
    <t>01 Mô hình thực nghiệm
01 Báo cáo tổng kết</t>
  </si>
  <si>
    <t>Phan Thị Anh Đào</t>
  </si>
  <si>
    <t>Đỗ Đức Trí</t>
  </si>
  <si>
    <t>Nguyễn Vinh Tiến</t>
  </si>
  <si>
    <t>Trương Đình Nhơn</t>
  </si>
  <si>
    <t>Tạ Văn Phương</t>
  </si>
  <si>
    <t>Đặng Thị Diệu Hiền</t>
  </si>
  <si>
    <t>Diệp Phương Chi</t>
  </si>
  <si>
    <t>Đỗ Huy Bình</t>
  </si>
  <si>
    <t>Đỗ Thị Mỹ Trang</t>
  </si>
  <si>
    <t>Dương Tuấn Tùng</t>
  </si>
  <si>
    <t>Dương Tuấn Tùng</t>
  </si>
  <si>
    <t>Hoàng Anh</t>
  </si>
  <si>
    <t>Hoàng Văn Chuyển</t>
  </si>
  <si>
    <t>Huỳnh Nguyễn Anh Tuấn</t>
  </si>
  <si>
    <t>Huỳnh Thị Minh Thư</t>
  </si>
  <si>
    <t>Lý Tấn Nhiệm</t>
  </si>
  <si>
    <t>Ngô Hải Đăng</t>
  </si>
  <si>
    <t>Ngô Quang Thành</t>
  </si>
  <si>
    <t>Nguyễn Chí Thanh</t>
  </si>
  <si>
    <t>Nguyễn Đăng Quang</t>
  </si>
  <si>
    <t>Nguyễn Duy Đạt</t>
  </si>
  <si>
    <t>Nguyễn Minh Hải</t>
  </si>
  <si>
    <t>Nguyễn Quang Trãi</t>
  </si>
  <si>
    <t>Nguyễn Thanh Sang</t>
  </si>
  <si>
    <t>Nguyễn Thành Tuyên</t>
  </si>
  <si>
    <t>Nguyễn Thụy Ngọc Thủy</t>
  </si>
  <si>
    <t>Nguyễn Trung Hiếu</t>
  </si>
  <si>
    <t>Nguyễn Tuấn Anh</t>
  </si>
  <si>
    <t>Nguyễn Văn Quý</t>
  </si>
  <si>
    <t xml:space="preserve">Nguyễn Văn Thái </t>
  </si>
  <si>
    <t>Nguyễn Vũ Việt Linh</t>
  </si>
  <si>
    <t>Phạm Khánh Dung</t>
  </si>
  <si>
    <t>Phạm Thị Hoàn</t>
  </si>
  <si>
    <t>Phạm Thị Kim Hằng</t>
  </si>
  <si>
    <t>Thái Huy Phát</t>
  </si>
  <si>
    <t>Trần Mạnh Sơn</t>
  </si>
  <si>
    <t>Trần Thị Cẩm Tú</t>
  </si>
  <si>
    <t>Trần Thị Kim Anh</t>
  </si>
  <si>
    <t xml:space="preserve">Trần Thị Nhung </t>
  </si>
  <si>
    <t>Văn Ánh Dương</t>
  </si>
  <si>
    <t>Vũ Chí Cường</t>
  </si>
  <si>
    <t>Trần Thị Khánh Chi</t>
  </si>
  <si>
    <t>Đoàn Minh Trí</t>
  </si>
  <si>
    <t>Trần Chí Thiên</t>
  </si>
  <si>
    <t>Nguyễn Tiến Anh 23146047</t>
  </si>
  <si>
    <t>SV2026-01</t>
  </si>
  <si>
    <t>SV2026-03</t>
  </si>
  <si>
    <t>SV2026-02</t>
  </si>
  <si>
    <t>SV2026-07</t>
  </si>
  <si>
    <t>SV2026-08</t>
  </si>
  <si>
    <t>SV2026-10</t>
  </si>
  <si>
    <t>SV2026-11</t>
  </si>
  <si>
    <t>SV2026-13</t>
  </si>
  <si>
    <t>SV2026-14</t>
  </si>
  <si>
    <t>SV2026-15</t>
  </si>
  <si>
    <t>SV2026-19</t>
  </si>
  <si>
    <t>SV2026-21</t>
  </si>
  <si>
    <t>SV2026-25</t>
  </si>
  <si>
    <t>SV2026-26</t>
  </si>
  <si>
    <t>SV2026-28</t>
  </si>
  <si>
    <t>SV2026-31</t>
  </si>
  <si>
    <t>SV2026-32</t>
  </si>
  <si>
    <t>SV2026-36</t>
  </si>
  <si>
    <t>SV2026-37</t>
  </si>
  <si>
    <t>SV2026-38</t>
  </si>
  <si>
    <t>SV2026-44</t>
  </si>
  <si>
    <t>SV2026-45</t>
  </si>
  <si>
    <t>SV2026-46</t>
  </si>
  <si>
    <t>SV2026-47</t>
  </si>
  <si>
    <t>SV2026-48</t>
  </si>
  <si>
    <t>SV2026-49</t>
  </si>
  <si>
    <t>SV2026-50</t>
  </si>
  <si>
    <t>SV2026-51</t>
  </si>
  <si>
    <t>SV2026-52</t>
  </si>
  <si>
    <t>SV2026-53</t>
  </si>
  <si>
    <t>SV2026-55</t>
  </si>
  <si>
    <t>SV2026-56</t>
  </si>
  <si>
    <t>SV2026-57</t>
  </si>
  <si>
    <t>SV2026-58</t>
  </si>
  <si>
    <t>SV2026-60</t>
  </si>
  <si>
    <t>SV2026-62</t>
  </si>
  <si>
    <t>SV2026-63</t>
  </si>
  <si>
    <t>SV2026-64</t>
  </si>
  <si>
    <t>SV2026-65</t>
  </si>
  <si>
    <t>SV2026-66</t>
  </si>
  <si>
    <t>SV2026-68</t>
  </si>
  <si>
    <t>SV2026-69</t>
  </si>
  <si>
    <t>SV2026-70</t>
  </si>
  <si>
    <t>SV2026-71</t>
  </si>
  <si>
    <t>SV2026-72</t>
  </si>
  <si>
    <t>SV2026-73</t>
  </si>
  <si>
    <t>SV2026-74</t>
  </si>
  <si>
    <t>SV2026-75</t>
  </si>
  <si>
    <t>SV2026-77</t>
  </si>
  <si>
    <t>SV2026-78</t>
  </si>
  <si>
    <t>SV2026-79</t>
  </si>
  <si>
    <t>SV2026-80</t>
  </si>
  <si>
    <t>SV2026-83</t>
  </si>
  <si>
    <t>SV2026-85</t>
  </si>
  <si>
    <t>SV2026-86</t>
  </si>
  <si>
    <t>SV2026-87</t>
  </si>
  <si>
    <t>SV2026-88</t>
  </si>
  <si>
    <t>SV2026-90</t>
  </si>
  <si>
    <t>SV2026-91</t>
  </si>
  <si>
    <t>SV2026-92</t>
  </si>
  <si>
    <t>SV2026-94</t>
  </si>
  <si>
    <t>SV2026-95</t>
  </si>
  <si>
    <t>SV2026-96</t>
  </si>
  <si>
    <t>SV2026-98</t>
  </si>
  <si>
    <t>SV2026-99</t>
  </si>
  <si>
    <t>SV2026-100</t>
  </si>
  <si>
    <t>SV2026-101</t>
  </si>
  <si>
    <t>SV2026-102</t>
  </si>
  <si>
    <t>SV2026-103</t>
  </si>
  <si>
    <t>SV2026-104</t>
  </si>
  <si>
    <t>SV2026-105</t>
  </si>
  <si>
    <t>SV2026-106</t>
  </si>
  <si>
    <t>SV2026-108</t>
  </si>
  <si>
    <t>SV2026-109</t>
  </si>
  <si>
    <t>SV2026-110</t>
  </si>
  <si>
    <t>SV2026-111</t>
  </si>
  <si>
    <t>SV2026-112</t>
  </si>
  <si>
    <t>SV2026-113</t>
  </si>
  <si>
    <t>SV2026-115</t>
  </si>
  <si>
    <t>SV2026-116</t>
  </si>
  <si>
    <t>SV2026-117</t>
  </si>
  <si>
    <t>SV2026-118</t>
  </si>
  <si>
    <t>SV2026-119</t>
  </si>
  <si>
    <t>SV2026-120</t>
  </si>
  <si>
    <t>SV2026-121</t>
  </si>
  <si>
    <t>SV2026-122</t>
  </si>
  <si>
    <t>SV2026-123</t>
  </si>
  <si>
    <t>SV2026-124</t>
  </si>
  <si>
    <t>SV2026-125</t>
  </si>
  <si>
    <t>SV2026-126</t>
  </si>
  <si>
    <t>SV2026-127</t>
  </si>
  <si>
    <t>SV2026-128</t>
  </si>
  <si>
    <t>SV2026-129</t>
  </si>
  <si>
    <t>SV2026-130</t>
  </si>
  <si>
    <t>SV2026-131</t>
  </si>
  <si>
    <t>SV2026-132</t>
  </si>
  <si>
    <t>SV2026-133</t>
  </si>
  <si>
    <t>SV2026-134</t>
  </si>
  <si>
    <t>SV2026-135</t>
  </si>
  <si>
    <t>SV2026-136</t>
  </si>
  <si>
    <t>SV2026-137</t>
  </si>
  <si>
    <t>SV2026-138</t>
  </si>
  <si>
    <t>SV2026-139</t>
  </si>
  <si>
    <t>SV2026-140</t>
  </si>
  <si>
    <t>SV2026-141</t>
  </si>
  <si>
    <t>SV2026-143</t>
  </si>
  <si>
    <t>SV2026-144</t>
  </si>
  <si>
    <t>SV2026-145</t>
  </si>
  <si>
    <t>SV2026-146</t>
  </si>
  <si>
    <t>SV2026-147</t>
  </si>
  <si>
    <t>SV2026-148</t>
  </si>
  <si>
    <t>SV2026-149</t>
  </si>
  <si>
    <t>SV2026-150</t>
  </si>
  <si>
    <t>SV2026-151</t>
  </si>
  <si>
    <t>SV2026-152</t>
  </si>
  <si>
    <t>SV2026-154</t>
  </si>
  <si>
    <t>SV2026-155</t>
  </si>
  <si>
    <t>SV2026-157</t>
  </si>
  <si>
    <t>SV2026-161</t>
  </si>
  <si>
    <t>SV2026-162</t>
  </si>
  <si>
    <t>SV2026-163</t>
  </si>
  <si>
    <t>SV2026-165</t>
  </si>
  <si>
    <t>SV2026-166</t>
  </si>
  <si>
    <t>SV2026-167</t>
  </si>
  <si>
    <t>SV2026-169</t>
  </si>
  <si>
    <t>SV2026-170</t>
  </si>
  <si>
    <t>SV2026-172</t>
  </si>
  <si>
    <t>SV2026-174</t>
  </si>
  <si>
    <t>SV2026-176</t>
  </si>
  <si>
    <t>SV2026-179</t>
  </si>
  <si>
    <t>SV2026-180</t>
  </si>
  <si>
    <t>SV2026-181</t>
  </si>
  <si>
    <t>SV2026-184</t>
  </si>
  <si>
    <t>SV2026-185</t>
  </si>
  <si>
    <t>SV2026-186</t>
  </si>
  <si>
    <t>SV2026-189</t>
  </si>
  <si>
    <t>SV2026-190</t>
  </si>
  <si>
    <t>SV2026-192</t>
  </si>
  <si>
    <t>SV2026-193</t>
  </si>
  <si>
    <t>SV2026-194</t>
  </si>
  <si>
    <t>SV2026-196</t>
  </si>
  <si>
    <t>SV2026-197</t>
  </si>
  <si>
    <t>SV2026-198</t>
  </si>
  <si>
    <t>SV2026-200</t>
  </si>
  <si>
    <t>SV2026-204</t>
  </si>
  <si>
    <t>SV2026-205</t>
  </si>
  <si>
    <t>SV2026-206</t>
  </si>
  <si>
    <t>SV2026-207</t>
  </si>
  <si>
    <t>SV2026-210</t>
  </si>
  <si>
    <t>SV2026-212</t>
  </si>
  <si>
    <t>SV2026-213</t>
  </si>
  <si>
    <t>SV2026-214</t>
  </si>
  <si>
    <t>SV2026-219</t>
  </si>
  <si>
    <t>SV2026-222</t>
  </si>
  <si>
    <t>SV2026-223</t>
  </si>
  <si>
    <t>SV2026-226</t>
  </si>
  <si>
    <t>SV2026-227</t>
  </si>
  <si>
    <t>SV2026-228</t>
  </si>
  <si>
    <t>SV2026-232</t>
  </si>
  <si>
    <t>SV2026-234</t>
  </si>
  <si>
    <t>SV2026-235</t>
  </si>
  <si>
    <t>SV2026-236</t>
  </si>
  <si>
    <t>SV2026-237</t>
  </si>
  <si>
    <t>SV2026-238</t>
  </si>
  <si>
    <t>SV2026-239</t>
  </si>
  <si>
    <t>SV2026-241</t>
  </si>
  <si>
    <t>SV2026-243</t>
  </si>
  <si>
    <t>SV2026-244</t>
  </si>
  <si>
    <t>SV2026-245</t>
  </si>
  <si>
    <t>SV2026-246</t>
  </si>
  <si>
    <t>SV2026-249</t>
  </si>
  <si>
    <t>SV2026-250</t>
  </si>
  <si>
    <t>SV2026-254</t>
  </si>
  <si>
    <t>SV2026-255</t>
  </si>
  <si>
    <t>SV2026-259</t>
  </si>
  <si>
    <t>SV2026-261</t>
  </si>
  <si>
    <t>SV2026-263</t>
  </si>
  <si>
    <t>SV2026-268</t>
  </si>
  <si>
    <t>SV2026-270</t>
  </si>
  <si>
    <t>SV2026-271</t>
  </si>
  <si>
    <t>SV2026-272</t>
  </si>
  <si>
    <t>SV2026-274</t>
  </si>
  <si>
    <t>SV2026-275</t>
  </si>
  <si>
    <t>SV2026-277</t>
  </si>
  <si>
    <t>SV2026-280</t>
  </si>
  <si>
    <t>SV2026-283</t>
  </si>
  <si>
    <t>SV2026-285</t>
  </si>
  <si>
    <t>SV2026-286</t>
  </si>
  <si>
    <t>SV2026-287</t>
  </si>
  <si>
    <t>SV2026-288</t>
  </si>
  <si>
    <t>SV2026-289</t>
  </si>
  <si>
    <t>SV2026-290</t>
  </si>
  <si>
    <t>SV2026-292</t>
  </si>
  <si>
    <t>SV2026-293</t>
  </si>
  <si>
    <t>SV2026-295</t>
  </si>
  <si>
    <t>SV2026-296</t>
  </si>
  <si>
    <t>SV2026-299</t>
  </si>
  <si>
    <t>SV2026-300</t>
  </si>
  <si>
    <t>SV2026-302</t>
  </si>
  <si>
    <t>SV2026-305</t>
  </si>
  <si>
    <t>SV2026-306</t>
  </si>
  <si>
    <t>SV2026-307</t>
  </si>
  <si>
    <t>SV2026-308</t>
  </si>
  <si>
    <t>SV2026-309</t>
  </si>
  <si>
    <t>SV2026-311</t>
  </si>
  <si>
    <t>SV2026-313</t>
  </si>
  <si>
    <t>SV2026-316</t>
  </si>
  <si>
    <t>SV2026-318</t>
  </si>
  <si>
    <t>SV2026-323</t>
  </si>
  <si>
    <t>SV2026-324</t>
  </si>
  <si>
    <t>SV2026-326</t>
  </si>
  <si>
    <t>SV2026-327</t>
  </si>
  <si>
    <t>SV2026-328</t>
  </si>
  <si>
    <t>SV2026-329</t>
  </si>
  <si>
    <t>SV2026-332</t>
  </si>
  <si>
    <t>SV2026-333</t>
  </si>
  <si>
    <t>SV2026-334</t>
  </si>
  <si>
    <t>SV2026-336</t>
  </si>
  <si>
    <t>SV2026-337</t>
  </si>
  <si>
    <t>SV2026-339</t>
  </si>
  <si>
    <t>SV2026-340</t>
  </si>
  <si>
    <t>SV2026-342</t>
  </si>
  <si>
    <t>SV2026-344</t>
  </si>
  <si>
    <t>SV2026-345</t>
  </si>
  <si>
    <t>SV2026-347</t>
  </si>
  <si>
    <t>SV2026-348</t>
  </si>
  <si>
    <t>SV2026-349</t>
  </si>
  <si>
    <t>SV2026-350</t>
  </si>
  <si>
    <t>SV2026-355</t>
  </si>
  <si>
    <t>SV2026-356</t>
  </si>
  <si>
    <t>SV2026-359</t>
  </si>
  <si>
    <t>SV2026-360</t>
  </si>
  <si>
    <t>SV2026-364</t>
  </si>
  <si>
    <t>SV2026-365</t>
  </si>
  <si>
    <t>SV2026-366</t>
  </si>
  <si>
    <t>SV2026-367</t>
  </si>
  <si>
    <t>SV2026-368</t>
  </si>
  <si>
    <t>SV2026-369</t>
  </si>
  <si>
    <t>SV2026-370</t>
  </si>
  <si>
    <t>SV2026-371</t>
  </si>
  <si>
    <t>SV2026-372</t>
  </si>
  <si>
    <t>SV2026-373</t>
  </si>
  <si>
    <t>SV2026-374</t>
  </si>
  <si>
    <t>SV2026-376</t>
  </si>
  <si>
    <t>SV2026-378</t>
  </si>
  <si>
    <t>SV2026-381</t>
  </si>
  <si>
    <t>SV2026-382</t>
  </si>
  <si>
    <t>SV2026-385</t>
  </si>
  <si>
    <t>SV2026-386</t>
  </si>
  <si>
    <t>SV2026-387</t>
  </si>
  <si>
    <t>SV2026-388</t>
  </si>
  <si>
    <t>SV2026-389</t>
  </si>
  <si>
    <t>SV2026-391</t>
  </si>
  <si>
    <t>SV2026-392</t>
  </si>
  <si>
    <t>SV2026-393</t>
  </si>
  <si>
    <t>SV2026-394</t>
  </si>
  <si>
    <t>SV2026-395</t>
  </si>
  <si>
    <t>SV2026-396</t>
  </si>
  <si>
    <t>SV2026-397</t>
  </si>
  <si>
    <t>SV2026-398</t>
  </si>
  <si>
    <t>SV2026-399</t>
  </si>
  <si>
    <t>SV2026-400</t>
  </si>
  <si>
    <t>SV2026-401</t>
  </si>
  <si>
    <t>SV2026-402</t>
  </si>
  <si>
    <t>SV2026-403</t>
  </si>
  <si>
    <t>SV2026-406</t>
  </si>
  <si>
    <t>SV2026-408</t>
  </si>
  <si>
    <t>SV2026-409</t>
  </si>
  <si>
    <t>SV2026-410</t>
  </si>
  <si>
    <t>SV2026-412</t>
  </si>
  <si>
    <t>SV2026-413</t>
  </si>
  <si>
    <t>SV2026-414</t>
  </si>
  <si>
    <t>SV2026-415</t>
  </si>
  <si>
    <t>SV2026-417</t>
  </si>
  <si>
    <t>SV2026-418</t>
  </si>
  <si>
    <t>SV2026-419</t>
  </si>
  <si>
    <t>SV2026-420</t>
  </si>
  <si>
    <t>SV2026-425</t>
  </si>
  <si>
    <t>SV2026-426</t>
  </si>
  <si>
    <t>SV2026-427</t>
  </si>
  <si>
    <t>SV2026-428</t>
  </si>
  <si>
    <t>SV2026-430</t>
  </si>
  <si>
    <t>SV2026-436</t>
  </si>
  <si>
    <t>SV2026-438</t>
  </si>
  <si>
    <t>SV2026-439</t>
  </si>
  <si>
    <t>SV2026-440</t>
  </si>
  <si>
    <t>SV2026-444</t>
  </si>
  <si>
    <t>SV2026-445</t>
  </si>
  <si>
    <t>SV2026-446</t>
  </si>
  <si>
    <t>SV2026-447</t>
  </si>
  <si>
    <t>SV2026-448</t>
  </si>
  <si>
    <t>SV2026-449</t>
  </si>
  <si>
    <t>SV2026-454</t>
  </si>
  <si>
    <t>SV2026-455</t>
  </si>
  <si>
    <t>SV2026-458</t>
  </si>
  <si>
    <t>SV2026-460</t>
  </si>
  <si>
    <t>SV2026-461</t>
  </si>
  <si>
    <t>SV2026-462</t>
  </si>
  <si>
    <t>SV2026-463</t>
  </si>
  <si>
    <t>SV2026-464</t>
  </si>
  <si>
    <t>SV2026-465</t>
  </si>
  <si>
    <t>SV2026-466</t>
  </si>
  <si>
    <t>SV2026-467</t>
  </si>
  <si>
    <t>SV2026-468</t>
  </si>
  <si>
    <t>SV2026-469</t>
  </si>
  <si>
    <t>SV2026-470</t>
  </si>
  <si>
    <t>SV2026-472</t>
  </si>
  <si>
    <t>SV2026-473</t>
  </si>
  <si>
    <t>SV2026-474</t>
  </si>
  <si>
    <t>SV2026-477</t>
  </si>
  <si>
    <t>SV2026-478</t>
  </si>
  <si>
    <t>SV2026-479</t>
  </si>
  <si>
    <t>SV2026-480</t>
  </si>
  <si>
    <t>SV2026-482</t>
  </si>
  <si>
    <t>SV2026-483</t>
  </si>
  <si>
    <t>SV2026-485</t>
  </si>
  <si>
    <t>SV2026-486</t>
  </si>
  <si>
    <t>SV2026-487</t>
  </si>
  <si>
    <t>SV2026-488</t>
  </si>
  <si>
    <t>SV2026-489</t>
  </si>
  <si>
    <t>SV2026-491</t>
  </si>
  <si>
    <t>SV2026-492</t>
  </si>
  <si>
    <t>SV2026-493</t>
  </si>
  <si>
    <t>SV2026-494</t>
  </si>
  <si>
    <t>SV2026-495</t>
  </si>
  <si>
    <t>SV2026-496</t>
  </si>
  <si>
    <t>SV2026-497</t>
  </si>
  <si>
    <t>SV2026-498</t>
  </si>
  <si>
    <t>SV2026-499</t>
  </si>
  <si>
    <t>SV2026-500</t>
  </si>
  <si>
    <t>SV2026-501</t>
  </si>
  <si>
    <t>SV2026-502</t>
  </si>
  <si>
    <t>Nghiên cứu ảnh hưởng thông số tạo hình theo lớp đến độ bền mẫu thử</t>
  </si>
  <si>
    <t>Lê Thanh Trí Đại 19151051</t>
  </si>
  <si>
    <t>Huỳnh Chí Nguyên 22151032</t>
  </si>
  <si>
    <t>Nguyễn Trần Thành 22151039   
Lê Khổng Bảo Minh 22151255 
Nguyễn Đức Thành 22142043</t>
  </si>
  <si>
    <t xml:space="preserve">Huỳnh Lê Thành Nhân 24119068
Trịnh Trần Quốc Bảo 24119016
Nguyễn Đăng Trí Nguyên 231151148
</t>
  </si>
  <si>
    <t>Trần Hưng Tuấn Anh 22151006</t>
  </si>
  <si>
    <t>Trần Vương Khang 22144019</t>
  </si>
  <si>
    <t>01 Chương trình nhúng thực nghiệm
02 Bài báo khoa học (viết bằng tiếng Anh) đăng trên tạp chí quốc tế có chỉ số xuất bản ISSN (bài báo thứ 1 dự kiến viết về mô phỏng/ so sánh các giải thuật cho điều khiển tàu biển nói chung; bài báo thứ 2 vừa mô phỏng chính xác, vừa thực nghiệm chính xác một giải thuật tối ưu cho 1 mô hình tàu biển do nhóm tự phát triển) 
01 Báo cáo tổng kết</t>
  </si>
  <si>
    <t>01 Mô hình robot tự động đi theo người dùng để vận chuyển ba lô cho học sinh 
01 Báo cáo nghiên cứu</t>
  </si>
  <si>
    <t>02 Bài báo (viết bằng tiếng anh) trên tạp chí quốc tế có chỉ số xuất bản ISSN (1 bài báo đề cập về sự so sánh giải thuật phi tuyến và tuyến tính trên mô phỏng trên mô hình ball and beam nói chung, 1 bài báo sẽ hướng đến việc xây dựng mô hình thực nghiệm và khảo sát trên đối tượng thực)
01 Chương trình mô phỏng
01 Chương trình nhúng thực nghiệm
01 Báo cáo tổng kết</t>
  </si>
  <si>
    <t>01 Mô hình thực nghiệm 01 Báo nghiên cứu khoa học 01 Báo tổng kết</t>
  </si>
  <si>
    <t>01 Mô hình thực nghiệm
01 Tài liệu, video hướng dẫn sử dụng và thực hành
01 Báo cáo tổng kết</t>
  </si>
  <si>
    <t>01 Mô hình thực nghiệm
01 Thuật toán, chương trình
01 Báo cáo tổng kết</t>
  </si>
  <si>
    <t>01 Bài báo khoa học đăng trên hội thảo quốc tế có chỉ số xuất bản ISBN/ISSN
01 Chương trình nhúng thực nghiệm 
01 Báo cáo tổng kết</t>
  </si>
  <si>
    <t>01 Bài báo khoa học đăng trên hội thảo quốc tế có chỉ số xuất bản ISBN/ISSN
01 Báo cáo tổng kết theo đúng quy định, hình thức trình bày của nhà trường</t>
  </si>
  <si>
    <t>01 Bài báo cáo tổng kết 
01 Chương trình máy tính</t>
  </si>
  <si>
    <t>01 Bài báo cáo tổng kết
01 Bài báo khoa học đăng trên tạp chí trong nước trong danh mục của HĐ GSNN tính từ 0,5 điểm trở lên; hoặc bài báo đăng trên tạp chí quốc tế có chỉ số xuất bản ISSN</t>
  </si>
  <si>
    <t>01 Báo cáo tổng kết
01 Mô hình thực nghiệm</t>
  </si>
  <si>
    <t>01 Báo cáo tổng kết 
01 Phần mềm thực nghiệm dự "Chương trình máy tính mô phỏng chạy trên nền tảng Rapidmine"</t>
  </si>
  <si>
    <t>01 Báo cáo tổng kết 
01 Chương trình máy tính cho máy bay không người lái tự động theo dõi con người</t>
  </si>
  <si>
    <t>01 Mô hình thu nhỏ 
01 Báo cáo tổng kết
01 Ứng dụng theo dõi</t>
  </si>
  <si>
    <t>01 Bài báo cáo tổng kết
01 Mã nguồn chương trình nhân diện phương tiện giao thông
01 Chương trình máy tính</t>
  </si>
  <si>
    <t>01 Bài báo khoa học đăng trên hội thảo quốc tế có chỉ số xuất bản ISBN/ISSN
01 Chương trình máy tính: chương trình điều khiển hoạt động được
01 Báo cáo tổng kết theo đúng quy định, hình thức trình bày của nhà trường</t>
  </si>
  <si>
    <t>01 Bài báo (viết bằng tiếng Anh) đăng toàn văn trong kỷ yếu hội thảo quốc tế có chỉ số ISBN/ISSN
01 Báo cáo tổng kết</t>
  </si>
  <si>
    <t>01 Báo cáo tổng kết
01 sản phẩm mô hình, thiết bị (không có hợp đồng chuyển giao công nghệ).</t>
  </si>
  <si>
    <t>Lê Thị Mỹ Dung 22110117</t>
  </si>
  <si>
    <t>Đặng Cửu Dương 22110124</t>
  </si>
  <si>
    <t>Võ Thị Quỳnh Trâm 23109159</t>
  </si>
  <si>
    <t>Trần Thị Anh Thúy 23109143</t>
  </si>
  <si>
    <t>Ngô Đặng Khánh Ly 24123035</t>
  </si>
  <si>
    <t>Võ Đăng Khoa 24123028
Trần Ngọc Anh 24124094
Phan Đăng Bảo 23128091
Huỳnh Bảo Hân 24124121</t>
  </si>
  <si>
    <t>Võ Đăng Khoa 24123028</t>
  </si>
  <si>
    <t>Đề xuất ứng dụng liệu pháp bibliotherapy trong hỗ trợ giảm căng thẳng học tập cho sinh viên trường đại học Công nghệ Kỹ thuật TP.HCM</t>
  </si>
  <si>
    <t>Xây dựng bộ công cụ truyền thông số hướng dẫn sử dụng mạng xã hội theo hướng tích cực cho học sinh THPT</t>
  </si>
  <si>
    <t>Ảnh hưởng phong cách nuôi dạy của cha mẹ đến hành vi cho nhận của sinh viên ngành Tâm lý học giáo dục trường Đại học Công nghệ Kỹ Thuật TPHCM</t>
  </si>
  <si>
    <t>Thực trạng nhận thức và hành vi sử dụng trí tuệ nhân tạo trong học tập của sinh viên Trường Đại học Công nghệ Kỹ thuật Thành phố Hồ Chí Minh</t>
  </si>
  <si>
    <t xml:space="preserve">Nguyễn Thành Đạt  24951005
</t>
  </si>
  <si>
    <t>Phòng Ngọc Anh Thư 24164044</t>
  </si>
  <si>
    <t>Huỳnh Ngọc Gia Hân 24164014</t>
  </si>
  <si>
    <t>Hoàng Bảo Nhi 24164032
Nguyễn Bảo Nhã Uyên 24164054
Nguyễn Ká Quan 24164035
Nguyễn Vũ Lan Nhi 24164033</t>
  </si>
  <si>
    <t>Vũ Ngọc Minh Châu 24164007</t>
  </si>
  <si>
    <t>Huỳnh Thị Kim Tiến 24951018</t>
  </si>
  <si>
    <t>Đinh Xuân Huy 23110102</t>
  </si>
  <si>
    <t>Đinh Văn Sáng 23110302</t>
  </si>
  <si>
    <t xml:space="preserve">Nguyễn Quang Thành 22110417	</t>
  </si>
  <si>
    <t xml:space="preserve"> Trương Nguyễn Tuấn Kiệt 22110171</t>
  </si>
  <si>
    <t>Lê Nguyên Thiên Phúc 22110201</t>
  </si>
  <si>
    <t>Nguyễn Nam Hy 22133029</t>
  </si>
  <si>
    <t>Nguyễn Lê Mỹ Hoàng 22110142</t>
  </si>
  <si>
    <t xml:space="preserve">Trần Công Toản 22110248
Đồng Gia Sang  22110219
</t>
  </si>
  <si>
    <t xml:space="preserve">Phan Hoàng An 22110095
Nguyễn Đình Bảo 22110107
</t>
  </si>
  <si>
    <t xml:space="preserve">Đỗ Đoàn Duy Hoàng 23162025
Trần Nguyễn Nhật Huy 23162031
Võ Minh Khang 23162041
</t>
  </si>
  <si>
    <t>Phan Thiên Phúc 22110203</t>
  </si>
  <si>
    <t>Nguyễn Đặng Đăng Nhựt 22110195
 Hồ Vũ Anh 22110097
Trương Thành Tiến 22110245</t>
  </si>
  <si>
    <t>Ngô Quang Đạt  24162020   
Tạ Thượng Thanh 24162116</t>
  </si>
  <si>
    <t>Đoàn Lê Trung Hậu 23130015</t>
  </si>
  <si>
    <t>Phạm Quang Đạt 22130006</t>
  </si>
  <si>
    <t>Trương Văn Phước 23130040</t>
  </si>
  <si>
    <t>Hoàng Nguyễn Quỳnh Anh 22130001</t>
  </si>
  <si>
    <t>Nguyễn Thị Thanh Thảo 22130022</t>
  </si>
  <si>
    <t>Nguyễn Văn Bình 23130006</t>
  </si>
  <si>
    <t>Lê Thị Kim Thanh 22130021
Nguyễn Ngọc Anh 23130003
Nguyễn Huỳnh Hải Duy 23130009</t>
  </si>
  <si>
    <t>Hồ Ngọc Như Ý 23156075</t>
  </si>
  <si>
    <t>Cao Đăng Huy 23116059</t>
  </si>
  <si>
    <t>Diệp Thế Vinh 23128080</t>
  </si>
  <si>
    <t>Phan Thị Lan Thanh 23128168</t>
  </si>
  <si>
    <t>Lê Tấn Tài 23128055</t>
  </si>
  <si>
    <t>Trần Lê Thanh Tuấn 23128074</t>
  </si>
  <si>
    <t>Lý Trung Hiếu 23128114</t>
  </si>
  <si>
    <t>Nguyễn Đinh Phước Kỳ 23128124</t>
  </si>
  <si>
    <t>Nguyễn Quốc Duy 23150026</t>
  </si>
  <si>
    <t>Nguyễn Thị Phương Linh 24150032</t>
  </si>
  <si>
    <t>Nguyễn Văn Bách 24150005</t>
  </si>
  <si>
    <t>Phan Đăng Bảo 23128091</t>
  </si>
  <si>
    <t>Trần Hùng Vương 23128193</t>
  </si>
  <si>
    <t>Trịnh Phước Hậu 23128014</t>
  </si>
  <si>
    <t>Tăng Kim Thúy An 23128001</t>
  </si>
  <si>
    <t>Võ Quang Trường 23128073</t>
  </si>
  <si>
    <t>Trần Tấn Đạt 23128009</t>
  </si>
  <si>
    <t>Võ Thị Anh Thư 23116229</t>
  </si>
  <si>
    <t>Vũ Thông Phú 23128153</t>
  </si>
  <si>
    <t>Vũ Đăng Khoa 23128021</t>
  </si>
  <si>
    <t>Đinh Thị Huyền Chí 23128096</t>
  </si>
  <si>
    <t>Võ Thị Thảo Vy 23128196</t>
  </si>
  <si>
    <t>Nguyễn An Hưng 23128017
Lê Thanh Toàn 23128067</t>
  </si>
  <si>
    <t>Nguyễn Đặng Nguyên Chương 23116046
Lê Trần Gia Hân 23116055
Võ Ngọc Linh 23116071</t>
  </si>
  <si>
    <t>Nguyễn Thành Thắng 23128170</t>
  </si>
  <si>
    <t>Nguyễn Anh Quốc 23150059
Lê Thanh Tuấn 23150070</t>
  </si>
  <si>
    <t>Đoàn Huỳnh Mai Thảo 24150061
Hà Thị Phương Trang 24150073
Lê Thị Cát Văn 24150081</t>
  </si>
  <si>
    <t>Nguyễn Trường Giang 23128108
Lê Thị Mỹ Phương 23128048
Đào Bùi Thiên Quang 23128158</t>
  </si>
  <si>
    <t>Nguyễn Ngọc Huyên 23116163
Trần Thị Tâm Như 23116198
Lê Phan Minh Thư 23116226
Hồ Quỳnh Trang 23116232</t>
  </si>
  <si>
    <t xml:space="preserve">Phạm Thị Lan Anh 23128004
Lê Thị Yến 22128212
Ngô Gia Ánh Vy 22128210 </t>
  </si>
  <si>
    <t>Nguyễn Duy Khánh 23128018
Dương Ngọc Hân 23128013
Mai Thụy Minh Thư 23128061</t>
  </si>
  <si>
    <t>01 bản vẽ 3D
01 mô hình bể MBR
Báo cáo tổng kết</t>
  </si>
  <si>
    <t>01 bản vẽ 3D
01 Mô hình bể keo tụ, tạo bông kết hợp bể lắng bằng nhựa acrylic
01 Báo cáo tổng kết</t>
  </si>
  <si>
    <t>01 bản vẽ 3D
01 Mô hình bể lọc nhanh, hệ thống khử trùng bằng nhựa acrylic
01 Báo cáo tổng kết</t>
  </si>
  <si>
    <t>01 Báo cáo tổng kết
01 Thiết bị cảnh báo buồn ngủ cho tài xế (không có hợp đồng chuyển giao công nghệ)</t>
  </si>
  <si>
    <t xml:space="preserve">01 Báo cáo tổng kết
01 mô hình xe tự hành bằng xử lý ảnh (không có hợp đồng chuyển giao công nghệ) </t>
  </si>
  <si>
    <t>01 Báo cáo tổng kết
01 Bài báo khoa học đăng trên tạp chí trong nước trong danh mục của HĐ GSNN tính từ 0,5 điểm trở lên</t>
  </si>
  <si>
    <t xml:space="preserve">01 Báo cáo tổng kết
01 Mô hình bơm lốp tự động tích hợp điều khiển qua App (không có hợp đồng chuyển giao công nghệ) </t>
  </si>
  <si>
    <t xml:space="preserve">01 Báo cáo tổng kết
- Tài liệu mô tả phần tính toán và sơ đồ nguyên lý của hệ thống lạnh ghép tầng CO2/R134a.
- Mô hình thực nghiệm
- Kết quả thực nghiệm
</t>
  </si>
  <si>
    <t>01 Báo cáo tổng kết
01 Bài báo khoa học đăng trên tạp chí trong nước trong danh mục của HĐ GSNN tính từ 0,5 điểm trở lên; hoặc bài báo đăng trên tạp chí quốc tế có chỉ số xuất bản ISSN; hoặc sản phẩm mô hình, thiết bị có hợp đồng chuyển giao công nghệ phục vụ cộng đồng.</t>
  </si>
  <si>
    <t>01 Báo cáo tổng kết
01 cuốn Sổ tay kiến thức</t>
  </si>
  <si>
    <t>01 báo cáo tổng kết
01 Bài báo khoa học đăng trên tạp chí trong nước trong danh mục của HĐ GSNN tính từ 0,5 điểm trở lên; hoặc bài báo đăng trên tạp chí quốc tế có chỉ số xuất bản ISSN</t>
  </si>
  <si>
    <t>01 Báo cáo tổng kết
01 bài báo đăng trên hội thảo quốc tế có chỉ số xuất bản ISBN/ISSN</t>
  </si>
  <si>
    <t>Phân tích dao động của dầm nanocomposite lai gia cường đồng thời bằng ống nano carbon và tấm graphene ứng dụng trong kết cấu khung sàn ô tô</t>
  </si>
  <si>
    <t xml:space="preserve">01 báo cáo tổng kết.
01 Module trợ lí ảo điều hòa ô tô bản thử nghiệm hoạt động được trên xe ô tô </t>
  </si>
  <si>
    <t>01 báo cáo tổng kết
01 mô hình mô hình pin và hệ thống quản lý pin trên xe máy điện (không có hợp đồng chuyển giao công nghệ)</t>
  </si>
  <si>
    <t>Khoa Giao thông và Năng lượng</t>
  </si>
  <si>
    <t>Nguyễn Đức Phát 23145167</t>
  </si>
  <si>
    <t>Trần Đông Hồ 23145104</t>
  </si>
  <si>
    <t>Nguyễn Trọng Sơn 22145231</t>
  </si>
  <si>
    <t>Nguyễn Phan Thu Hiền 22145137</t>
  </si>
  <si>
    <t>Huỳnh Trí Hiếu 23145095</t>
  </si>
  <si>
    <t>Nguyễn Thị Lan Anh 23147008</t>
  </si>
  <si>
    <t>Trần Thị Quỳnh 23147068</t>
  </si>
  <si>
    <t>Phạm Minh Đức 23145084</t>
  </si>
  <si>
    <t>Nguyễn Thụy Hồng Phúc 23154078</t>
  </si>
  <si>
    <t>Huỳnh Đức Hoàng 24154039</t>
  </si>
  <si>
    <t>Đoàn Minh Hiếu 24154037</t>
  </si>
  <si>
    <t>Nguyễn Hoài Linh 22145407</t>
  </si>
  <si>
    <t>Hà Hoàng Vũ 23145241</t>
  </si>
  <si>
    <t>Trần Võ Thanh Hào 22145132</t>
  </si>
  <si>
    <t>Ngô Quang Huy 22145155</t>
  </si>
  <si>
    <t>01 báo cáo tổng kết
01 mô hình xe tự hành cỡ nhỏ (không có hợp đồng chuyển giao công nghệ)</t>
  </si>
  <si>
    <t>Đỗ Thành Đạt 23145011
Nguyễn Thái Hưng 25151219
Nguyễn Phúc Hậu 23145015
Nguyễn Minh Thông 23145036</t>
  </si>
  <si>
    <t>Phạm Minh Hải 23145013
Nguyễn Đức Gia Huy 23145017
Lê Quang Vinh 23145042
Cao Văn Vinh 23145461</t>
  </si>
  <si>
    <t>Lê Quang Thọ 23147076</t>
  </si>
  <si>
    <t>Phan Minh Hoàng 23145102
Danh Tăng Gia Huy 23145106
Trịnh Minh Hoan 23145099
Ma Nhật Thăng 23145199</t>
  </si>
  <si>
    <t>Phạm Văn Hồng 23145105
Ngô Minh Quân 23145182
Nguyễn Thanh Tín 23145215
Đỗ Xuân Trà 23145219</t>
  </si>
  <si>
    <t>Cao Nguyễn Phúc 22145215
Nguyễn Thế Kiệt 22145184
Phạm Quán Quân 22145226
Lê Trọng Nghĩa 23145159</t>
  </si>
  <si>
    <t>Trần Quang Đại 24126040
Nguyễn Viết Nam 24126142
Lê Uyên Nhã 22124015</t>
  </si>
  <si>
    <t>Nguyễn Ngọc Phương Dung 24126035</t>
  </si>
  <si>
    <t>01 Báo cáo tổng kết
01 Thiết bị dự đoán góc lật ô tô theo thời gian thực (không có hợp đồng chuyển giao công nghệ)</t>
  </si>
  <si>
    <t>Nguyễn Quốc Trung 23147083</t>
  </si>
  <si>
    <t>01 Báo cáo tổng kết
01 Mô hình hệ thống giám sát và cảnh báo pin xe điện qua CAN Bus</t>
  </si>
  <si>
    <t>Nghiên cứu các chiến lược học từ vựng của sinh viên chuyên ngành tiếng Anh tại trường đại học Công nghệ Kỹ thuật TP HCM</t>
  </si>
  <si>
    <t>Dự đoán hành vi rời bỏ sàn thương mại điện tử của sinh viên trường Đại học Công nghệ Kỹ thuật TP. HCM: Ứng dụng học máy</t>
  </si>
  <si>
    <t>Lê Nguyễn Hà My 23125014</t>
  </si>
  <si>
    <t>Nguyễn Ngọc Minh Trang 23126041</t>
  </si>
  <si>
    <t>Phạm Nhã Uyên 23126155</t>
  </si>
  <si>
    <t>Nguyễn Thị Hồng Ngân 23126100</t>
  </si>
  <si>
    <t>Bùi Thanh Huyền 23136036</t>
  </si>
  <si>
    <t>Lưu Nguyễn Thảo Nguyên 23124105</t>
  </si>
  <si>
    <t>Nguyễn Hoàng Dung 24126034</t>
  </si>
  <si>
    <t>Phạm Thị Phương Quyên 23125030</t>
  </si>
  <si>
    <t>Phạm Trần Thanh Trúc 24126263</t>
  </si>
  <si>
    <t>Lê Nhựt Linh 23126022</t>
  </si>
  <si>
    <t>Lê Quỳnh Phương 23124114</t>
  </si>
  <si>
    <t>Nguyễn Kim Ngân 23125015</t>
  </si>
  <si>
    <t>Dương Thái Quyên 24126188</t>
  </si>
  <si>
    <t>Trần Đình Năm 23136062</t>
  </si>
  <si>
    <t>Trần Ngọc Anh 24124094</t>
  </si>
  <si>
    <t>Nguyễn Võ Minh Anh 24126008</t>
  </si>
  <si>
    <t>Trương Ngọc An Thanh 23136095</t>
  </si>
  <si>
    <t>Phạm Thị Bảo Trân 23126044</t>
  </si>
  <si>
    <t>Lê Thị Hải Nhi 24126164</t>
  </si>
  <si>
    <t xml:space="preserve">Nguyễn Thị Kiều Chinh 23126007
Tạ Ngọc Thuý Vy 23126057
Phạm Thanh Lâm 21161143 </t>
  </si>
  <si>
    <t>Nguyễn Thị Mỹ Kiều 24126108
Lê Phương Anh 24126002
Nguyễn Trọng Khôi 24126106
Phạm Đình Trọng 24126255</t>
  </si>
  <si>
    <t>Phan Đăng Bảo 23128091
Huỳnh Bảo Hân 24124121</t>
  </si>
  <si>
    <t>Thái Thị Thanh Thưởng 23136113
Nguyễn Mai Trúc 24126261
Nguyễn Lê Ái Trúc22125073</t>
  </si>
  <si>
    <t>Vũ Thị Hồng Thương 24126235
Trần Thái Sinh 24126192
Trần Hoàng Nhật Thanh 24126203
Nguyễn Minh Khoa 24126104</t>
  </si>
  <si>
    <t>Nguyễn Phạm Diệu Chi 23125005
Trần Ngọc Hà 23125009</t>
  </si>
  <si>
    <t>Nguyễn Thị Kiều Nhi 24126168</t>
  </si>
  <si>
    <t xml:space="preserve">Nguyễn Lê Ngọc Hân 23124076
Châu Kim Ngân 23124101
Nguyễn Thị Diễm Quỳnh 23124123
Đỗ Thanh Trúc 23124147 </t>
  </si>
  <si>
    <t>Lê Trần Diệu Quyên 24126189
Võ Hoàng Nam 24132115
Bùi Minh Thọ 24126220</t>
  </si>
  <si>
    <t>Vầy Thị Mỹ Duyên 23125007
Nguyễn Hồng Ngọc 23125016
Câu Hồng Hoài Thuận 23125032
Nguyễn Đoàn Cát Tường 23125041</t>
  </si>
  <si>
    <t>Định Tuấn 23124151
Vũ Thanh Tùng 23124154</t>
  </si>
  <si>
    <t>Trần Ngọc Anh 24124094
Phan Đăng Bảo 23128091</t>
  </si>
  <si>
    <t>Bùi Thị Lan Anh 23126063
Lăng Hoàng Lê 23132056
Ngô Phương Đài 23126072
Lê Thảo Hân 23126080</t>
  </si>
  <si>
    <t>Phạm Thị Thanh Thúy 23126135
Nguyễn Thị Mai Trâm 23126144
Lương Nguyễn Phương Uyên 23126154</t>
  </si>
  <si>
    <t>Hoàng Quỳnh Anh 23125002
Lê Minh Thư 23125034
Trần Tiểu Yến 23125901</t>
  </si>
  <si>
    <t>Lê Quang Sang 23950011</t>
  </si>
  <si>
    <t>Lê Thị Ngọc Khánh 23950004</t>
  </si>
  <si>
    <t xml:space="preserve">1 bài báo đăng tạp chí trong danh mục của Hội đồng giáo sư nhà nước có điểm từ 0,5-1,0
1 báo cáo phân tích tổng hợp </t>
  </si>
  <si>
    <t>1 báo cáo tổng hợp
1 bài báo trong danh mục HDGSNN được tính 0,5-1 điểm</t>
  </si>
  <si>
    <t>1 báo cáo tổng hợp
1 bài báo trong danh mục HDGSNN được tính 0,5 điểm</t>
  </si>
  <si>
    <t>1 Báo cáo phân tích tổng hợp
1 Bài báo đăng tạp chí trong danh mục của Hội đồng giáo sư nhà nước có điểm từ 0,5-1,0</t>
  </si>
  <si>
    <t>1 bài báo trong danh mục HDGSNN được tính 0,75 điểm
1 báo cáo tổng hợp</t>
  </si>
  <si>
    <t>Quách Hải Thọ 23142443</t>
  </si>
  <si>
    <t>Huỳnh Thị Kim Quyên 23126116</t>
  </si>
  <si>
    <t>Võ Thị Bảo Trân 24163101</t>
  </si>
  <si>
    <t>Trần Lê Thảo Khuyên 24163038
Đinh Ngọc Mỹ Duyên 24163015
Phan Minh Thư 24163094
Trần Ngọc Như Ý 24163114</t>
  </si>
  <si>
    <t>Lê Thị Kim Thùy 24163092</t>
  </si>
  <si>
    <t>Huỳnh Thị Yến Nhi 24163065
Thái Minh Tuệ 22142443</t>
  </si>
  <si>
    <t>Trương Phan Đăng Khoa 24163037</t>
  </si>
  <si>
    <t>Trần Gia Huy 24163030
Nguyễn Minh Khang 24163034</t>
  </si>
  <si>
    <t>Phạm Công
Thiên Đỉnh</t>
  </si>
  <si>
    <t>Võ Hữu Nghĩa 22130017</t>
  </si>
  <si>
    <t>Lê Thị Phương Nhi 23130037</t>
  </si>
  <si>
    <t>Trần Đình Tuấn 22130025</t>
  </si>
  <si>
    <t>Trần Mỹ Hân 23130014  
Lê Thị Phương Nhi 23130037 
Đỗ Thụy Như Ý 23130067 
Vũ Như Ý 23130068</t>
  </si>
  <si>
    <t>Trần Mỹ Hân 23130014
Nguyễn Minh Tiến 23130054
Đỗ Thụy Như Ý 23130067 
Lê Thị Phương Nhi 23130037</t>
  </si>
  <si>
    <t>Thạch Bảo Khang 22130014</t>
  </si>
  <si>
    <t>Lê Minh Tiến 23130053
Nguyễn Quang Duy 23130010
Trần Mỹ Hân 23130014
Trương Lê Minh Khánh 24130044</t>
  </si>
  <si>
    <t>Dương Hồng Dịu Thơ 22130023</t>
  </si>
  <si>
    <t>Nguyễn Minh Tiến 23130054</t>
  </si>
  <si>
    <t>Đặng Tô Hoài Vy 22130026</t>
  </si>
  <si>
    <t>Võ Văn Chương 24130009</t>
  </si>
  <si>
    <t>Phạm Thị Kim Hiên 24130029</t>
  </si>
  <si>
    <t>Huỳnh Ngọc Mỹ Duyên 24130016</t>
  </si>
  <si>
    <t xml:space="preserve">Võ Văn Chương 24130009
</t>
  </si>
  <si>
    <t>Hà Ngọc Minh Thư 23155065</t>
  </si>
  <si>
    <t>Nguyễn Xuân Nhi 23155038
Hồ Thị Ngọc Trâm 23155068
Phan Mai Ngọc Tú 23155077
Trần Hoàng Đăng 23155012</t>
  </si>
  <si>
    <t>Trần Đặng Ngọc Khuê 23155028</t>
  </si>
  <si>
    <t>Phan Thanh Cường 23155004
Nguyễn Thành Linh 23155030
Huỳnh Ngọc Phúc 23155044
Lê Yên 23155081</t>
  </si>
  <si>
    <t>Nguyễn Trọng Phúc 23155047</t>
  </si>
  <si>
    <t>Phạm Ngọc Tấn Phát 23155041
Thái Đức Tịnh 23155066
Ngô Đức Phong 23155043
Trương Chí Dũng 23155008</t>
  </si>
  <si>
    <t>Lê Thùy Trang 24157067</t>
  </si>
  <si>
    <t>Nguyễn Minh Thuận 24157061
Trần Kha  24157015</t>
  </si>
  <si>
    <t>Dương Hoàng Hồng Anh 23157005</t>
  </si>
  <si>
    <t>Đặng Thái Thụy 22157067</t>
  </si>
  <si>
    <t>Trần Ngân Dương 25160007</t>
  </si>
  <si>
    <t>Lê Nguyễn Tấn Phát 25160027</t>
  </si>
  <si>
    <t>Huỳnh Bá Học 23149069</t>
  </si>
  <si>
    <t>Bùi Thị Mỹ Trà 22157073</t>
  </si>
  <si>
    <t xml:space="preserve">Bùi Thị Kim Ngân 22157041 
Dương Hoàng Hồng Anh 23157005 </t>
  </si>
  <si>
    <t>Tạ Thiên Phú 24149214</t>
  </si>
  <si>
    <t>Trương Minh Nhựt 24127049</t>
  </si>
  <si>
    <t>Trần Đức Phú 23160043</t>
  </si>
  <si>
    <t>Nguyễn Hữu Hạn 23149065
Trần Văn Duy 23149057
Đỗ Thành Đạt 23149059
Bùi Văn Nhật 23149110</t>
  </si>
  <si>
    <t>Phạm Gia Bảo 23149048
Cao Quang Minh 23149098
Ngô Lê Tấn Sang 23149122
Nguyễn Thái Bình 23149050</t>
  </si>
  <si>
    <t>Nguyễn Thành Phát 22135032
Dương Thị Thảo Tiên 22135040
Lê Trọng Tình 22135041</t>
  </si>
  <si>
    <t>Lê Nguyễn Đức Dương 23142102
Khổng Phúc Hải 23143122
Phan Tấn Huy 23143139
Dương Văn An 23151044</t>
  </si>
  <si>
    <t>Nghiên cứu một số yếu tố ảnh hưởng đến sự nảy mầm nhằm gia tăng hàm lượng hoạt chất trong hạt diêm mạch (Chenopodium quinoa Willd)</t>
  </si>
  <si>
    <t>01 Báo cáo tổng kết
01 bảng thông số thí nghiệm
01 bộ kết quả độ bền kéo</t>
  </si>
  <si>
    <t>Lê Quang Thắng 22145066
Nguyễn Minh Hào 22145022
Nguyễn Minh Khoa 22145038
Lý Tráng Khoa  23145023</t>
  </si>
  <si>
    <t>Lê Ngọc Hoàn 24119038
Lê Công Quốc Anh 24119009
Nguyễn Quốc Thịnh 24119090</t>
  </si>
  <si>
    <t xml:space="preserve"> Nguyễn Kim Long 24143111
 Nguyễn Đình Nam 24143120
 Võ Tường Nguyên 24143122
 Nguyễn Dương Minh 24143119</t>
  </si>
  <si>
    <t>Bùi Đức Tân 23151030</t>
  </si>
  <si>
    <t>Cao Viết Khoa 24143102</t>
  </si>
  <si>
    <t>Nguyễn Thành Triệu 23110066
Nguyễn Đức Thắng 23110062
Võ Tuấn Khanh 23110031</t>
  </si>
  <si>
    <t>Nguyễn Phi Long 23110037</t>
  </si>
  <si>
    <t>Danh Quang Huy 23KT14211</t>
  </si>
  <si>
    <t>Hoàng Vũ Hà 22145021</t>
  </si>
  <si>
    <t xml:space="preserve">Bùi Nguyên Bá Thiên 22145068
Lê Hoàng Hải Đăng 24145101
Trần Khương Đại 24145098
</t>
  </si>
  <si>
    <t>Huỳnh Quốc Bảo 22145006</t>
  </si>
  <si>
    <t>Trần Tú Anh 22145004</t>
  </si>
  <si>
    <t>Trần Đức Chính 22145013</t>
  </si>
  <si>
    <t>Lê Hoàng Huy 22145028
Nguyễn Minh Quang 22145056
Phương Quang Thắng 22145065
Phùng Thanh Tâm 22145062</t>
  </si>
  <si>
    <t>Lê Huy Minh 24151052</t>
  </si>
  <si>
    <t>Đào Duy Phong 22143064</t>
  </si>
  <si>
    <t>Nguyễn Hoàng Quân 23143078</t>
  </si>
  <si>
    <t>Nguyễn Quỳnh Như 23110050</t>
  </si>
  <si>
    <t>Nguyễn Tịnh Nhân 23110047
Nguyễn Đức Duy 23110009
Đoàn Đức Duy 23110008</t>
  </si>
  <si>
    <t>Nguyễn Nhật Trường 23151037
Nguyễn Trần Minh Nhựt 23151021</t>
  </si>
  <si>
    <t>Trịnh Duy Bách 23151004
Nguyễn Minh Các 23151005
Lê Hoàng Vũ 23151043</t>
  </si>
  <si>
    <t>Nguyễn Hoàng Trung Sơn 23151028</t>
  </si>
  <si>
    <t>Trịnh Minh Trí 23146039</t>
  </si>
  <si>
    <t>Đỗ Trần Quang Hà 23146010
Thượng Trí Tín 23146038
Nguyễn Quang Trí 23151191
Hứa Minh Nhựt 23151154</t>
  </si>
  <si>
    <t>Trần Minh Nhật 23146022</t>
  </si>
  <si>
    <t>Trần Minh Phát 23951028</t>
  </si>
  <si>
    <t>Nguyễn Ngọc Gia Nguyễn 23110046
Trịnh Hoàng Khang 23110030
Vũ Hoàng Nam 23110042</t>
  </si>
  <si>
    <t>Nguyễn Tiến Cường 23110007</t>
  </si>
  <si>
    <t>Đào Hà Vy 24116092</t>
  </si>
  <si>
    <t>Trịnh Hoàng Huy 24116033
Lê Trần Hoàng Vy 24116093
Bùi Hiếu Nghĩa 24116051
Nguyễn Võ Thảo My 24116043</t>
  </si>
  <si>
    <t>Nguyễn Hồng Tiên 24116080</t>
  </si>
  <si>
    <t>Nguyễn Ánh Thiên Nguyệt 24116055
Mai Đại Hải 24116023
Trịnh Tấn Phát 24116061</t>
  </si>
  <si>
    <t>Phạm Quốc Hùng 25110223</t>
  </si>
  <si>
    <t>Nguyễn Nhật Phát 23110053</t>
  </si>
  <si>
    <t>Khương Tiến Đạt 21161239
Nguyễn Duy Ân 21161017
Vũ Quang Khải 21161246
Nguyễn Trọng Nhân 21161255</t>
  </si>
  <si>
    <t>Huỳnh Lê Thành Nhân 24119068</t>
  </si>
  <si>
    <t>Trịnh Trần Quốc Bảo 24119016</t>
  </si>
  <si>
    <t>Hồ Hoàng Vỹ 23142076</t>
  </si>
  <si>
    <t xml:space="preserve">Nguyễn Chí Linh 23142038
Nguyễn Thanh Hoài Phúc 23142049
Trần Quốc Minh Huy 23142026
</t>
  </si>
  <si>
    <t>Chu Dương Huy Tài 22144034
Hoàng Chí Cường 22143041</t>
  </si>
  <si>
    <t>Trần Gia Kiệt 24110103</t>
  </si>
  <si>
    <t>Trần Đình Huy 23144015</t>
  </si>
  <si>
    <t>Lê Tự Thiện An 24119005</t>
  </si>
  <si>
    <t>Trần Duy Phong 23124030
Trần Quang Bảo 23124004
Nguyễn Hữu Ngọc 23124024
Trần Ngọc Hoàng Nhân 20161344</t>
  </si>
  <si>
    <t>Phạm Trần Thanh Vân 23124042</t>
  </si>
  <si>
    <t>Trần Hoàng Thi 23145035</t>
  </si>
  <si>
    <t>Võ Đăng Khoa 23151015
Huỳnh Ngọc Minh Thông 23151033
Nguyễn Thế Duy 23151008</t>
  </si>
  <si>
    <t>Lê Ngọc Hải 24110089
Trần Gia Kiệt 24110103
Lê Huy Phát 24110118
Dương Duy Vinh 24110148</t>
  </si>
  <si>
    <t>Thái Ngọc Tâm Như 24110117</t>
  </si>
  <si>
    <t>Tô Phát Đạt 23110015
Võ Hữu Lộc 23110039
Trương Đình Khoa 23110034</t>
  </si>
  <si>
    <t>Bùi Lễ Quang Vinh 23151042</t>
  </si>
  <si>
    <t>Lê Văn Nhật Thông 23151034
Nguyễn Hoàng Công Tấn 23161077
Phạm Bùi Thanh Sang 25151104</t>
  </si>
  <si>
    <t xml:space="preserve">Hà Trường An 22151002
Lê Nguyễn Hiếu Ân 22151007
Trương Quốc Bảo 22151008
Đoàn Tấn Phát 22151035             </t>
  </si>
  <si>
    <t>Trần Thanh Nhân 23144030
Trần Bảo Quân 23144032</t>
  </si>
  <si>
    <t>Nguyễn Thanh Học 23144014
Nguyễn Vũ Hòa 23144013</t>
  </si>
  <si>
    <t>Nghiên cứu, thiết kế mô hình phun sơn tự động chi tiết thân vỏ ô tô.</t>
  </si>
  <si>
    <t xml:space="preserve">Hệ thống giám sát và cảnh báo sự cố dân dụng sử dụng PLC S7-1200 và giao thức Modbus
</t>
  </si>
  <si>
    <t>Nghiên cứu phát triển sản phẩm dù cầm tay sử dụng cơ cấu đàn hồi</t>
  </si>
  <si>
    <t>Robot hỗ trợ vận chuyển và giám sát an toàn cho người cao tuổi</t>
  </si>
  <si>
    <t>Trần Anh Quân 23161172
Nguyễn Tiến Đức 23161122
Huỳnh Đăng KhôI 23161142</t>
  </si>
  <si>
    <t>Các yếu tố tác động đến ý định tham gia thương mại điện tử xuyên biên giới của giới trẻ Việt Nam</t>
  </si>
  <si>
    <t>Nghiên cứu cơ tính và cấu trúc lớp phủ Inconel chế tạo bằng laser cladding trên thép khuôn SKD61</t>
  </si>
  <si>
    <t>Hoàng Xuân Mạnh 22144349
Phạm Tiến Mạnh 22144351</t>
  </si>
  <si>
    <t>Nguyễn Thành Danh 22146282</t>
  </si>
  <si>
    <t>Huỳnh Minh Gia Bảo 24146010</t>
  </si>
  <si>
    <t>Nguyễn Phan Trường Huy 23144218</t>
  </si>
  <si>
    <t>Nguyễn Thanh Phúc 21144113
Lý Văn Bình 21144367</t>
  </si>
  <si>
    <t>Huỳnh Tấn Lợi 24144219</t>
  </si>
  <si>
    <t>Đoàn Nguyễn Anh Khoa 23134030</t>
  </si>
  <si>
    <t>Trần Văn Tiến 22146417</t>
  </si>
  <si>
    <t>Trịnh Minh Quân 22143150</t>
  </si>
  <si>
    <t>Hà Quốc Huy 23144216</t>
  </si>
  <si>
    <t>Trần Minh Khương 22144128
Trần Đức Chính 22144064</t>
  </si>
  <si>
    <t>Nguyễn Thành Oanh 22143137</t>
  </si>
  <si>
    <t>Huỳnh Ngọc Mai Ngân 24104039
Trần Hoàng Huy 24104026</t>
  </si>
  <si>
    <t>Võ Quốc Bảo 22143080</t>
  </si>
  <si>
    <t>Huỳnh Minh Chiến 22143184</t>
  </si>
  <si>
    <t>Trần Minh Đức 22143202
Đặng Văn Hoa 22143206</t>
  </si>
  <si>
    <t>Võ Đại Trí 23134058</t>
  </si>
  <si>
    <t>Nguyễn Hữu Đan 22146099
Trương Quang Lê Đạt 22146105
Đào Việt Dũng 22146096</t>
  </si>
  <si>
    <t>Trần Ngọc Thiên Kim 25138023</t>
  </si>
  <si>
    <t>Đỗ Trần Nhật Minh 23144119</t>
  </si>
  <si>
    <t>Nguyễn Thành Luân 22144142</t>
  </si>
  <si>
    <t>Nguyễn Hoàng Đạt 20143193
Huỳnh Thiện Phát 22144160</t>
  </si>
  <si>
    <t>Cù Khánh An 22144045</t>
  </si>
  <si>
    <t>Nguyễn Thành Quý 22146209</t>
  </si>
  <si>
    <t>Phạm Gia Thiều 22146230
Vạn Trung Quân 22146204
Cao Hoàng Trí Quang 22146200
Cấn Mạnh Toàn 22146241</t>
  </si>
  <si>
    <t>Nguyễn Duy Khanh 23145330</t>
  </si>
  <si>
    <t>Nguyễn Trương Phú Khoa 23144101</t>
  </si>
  <si>
    <t>Tôn Lê Minh Đức 23144065
Nguyễn Huy Hoàng 23144081
Phạm Gia Huy 23144087
Phan Anh Khoa 23144102</t>
  </si>
  <si>
    <t>Nguyễn Hữu Trọng 23143371</t>
  </si>
  <si>
    <t>Trần Gia Bảo 23143227
Lưu Đình Kiên 23143289</t>
  </si>
  <si>
    <t>Đinh Thành Luân 23143024</t>
  </si>
  <si>
    <t>Võ Hồng Đức 24134023</t>
  </si>
  <si>
    <t xml:space="preserve">Lê Thu Hoàng  24134025
Huỳnh Phúc Thịnh 24134068
Nguyễn Trần Hải Đăng 24134022
Nguyễn Khánh Duy 24134014          </t>
  </si>
  <si>
    <t>Võ Hồng Bảo 24144119</t>
  </si>
  <si>
    <t>Nguyễn Đỗ Hoàng An 24104003</t>
  </si>
  <si>
    <t>Nguyễn Hữu Cường 24104007
Lê Huỳnh 24142218</t>
  </si>
  <si>
    <t>Võ Hoàng Việt 21143422</t>
  </si>
  <si>
    <t>Nguyễn Trung Hiếu 19144120</t>
  </si>
  <si>
    <t>Nguyễn Thị Kiều Vi 24104067</t>
  </si>
  <si>
    <t>Đinh Ngọc Quý 2214175
Huỳnh Thanh Phương 22144169</t>
  </si>
  <si>
    <t>Lê Thế Hiển 24146027</t>
  </si>
  <si>
    <t>Trần Nguyễn Ngọc Thành 22146401</t>
  </si>
  <si>
    <t>Nguyễn Huy Chương 2144066
Đặng Công Thiên Đức 22144083
Hồ Vĩnh Khang 22144117
Trần Quốc Việt 22144227</t>
  </si>
  <si>
    <t>Nguyễn Khánh Duy 24134014</t>
  </si>
  <si>
    <t>Ngô Đức Long 22144137</t>
  </si>
  <si>
    <t>Ngô Sĩ Đăng 22143098</t>
  </si>
  <si>
    <t>Nguyễn Thiện Nhân 23134041</t>
  </si>
  <si>
    <t>Phạm Đức Huy 23134026
Lưu Tấn Phát 23134043
Vũ Phạm Đức Văn 23134064
Trương Hồng Lĩnh 23134035</t>
  </si>
  <si>
    <t xml:space="preserve">Đinh Gia Khánh 22146330
Nguyễn Đoàn Anh Khoa 22146333
</t>
  </si>
  <si>
    <t>Dương Hồng Đức 23144201</t>
  </si>
  <si>
    <t>Nguyễn Đình Nguyên 23144126</t>
  </si>
  <si>
    <t>Lê Văn Rây 23143344</t>
  </si>
  <si>
    <t>Phạm Hoàng Tiên Phong 23143329
'Huỳnh Minh Phúc Thuần 23143365</t>
  </si>
  <si>
    <t>Đoàn Hải Đăng 23134010</t>
  </si>
  <si>
    <t>Nguyễn Quang Tùng 23134062</t>
  </si>
  <si>
    <t xml:space="preserve">Trần Trăng Sáng 23134050
Nguyễn Trung Tín 23134055
Trần Gia Huy 23134027 </t>
  </si>
  <si>
    <t>Lê Nguyễn Anh Khoa 21143063</t>
  </si>
  <si>
    <t>Đoàn Tấn Đạt 19143103</t>
  </si>
  <si>
    <t>Phạm Thanh Trí 22134015</t>
  </si>
  <si>
    <t>Nguyễn Văn Quang 23144142</t>
  </si>
  <si>
    <t>Tống Khánh Linh 25138025</t>
  </si>
  <si>
    <t>Huỳnh An Khang 23144094</t>
  </si>
  <si>
    <t>Phạm Quang Hưng 23144089
Lê Hữu Anh Tuấn 23143084</t>
  </si>
  <si>
    <t>Nguyễn Kiến Quốc 23144147</t>
  </si>
  <si>
    <t>Nguyễn Nhựt Hào 23144067
Nguyễn Chí Khang 23144095
Hoàng Đại Hiếu 23144072
Võ Trường Giang 23144066</t>
  </si>
  <si>
    <t>Trịnh Nhựt Phát 23134044</t>
  </si>
  <si>
    <t>Hồ Quốc Việt 23134065
Lương Gia Bảo 23134003
Nguyễn Hoàng Phát 22146189
Phan Công Tâm 22146215</t>
  </si>
  <si>
    <t>Lê Minh Đạt 23144058</t>
  </si>
  <si>
    <t>Dương Gia Bảo 23144047
Võ Trần Hoàng Chí 23144051
Dương Quang Đăng 23144059
Lê Dương Quang Duy 23144053</t>
  </si>
  <si>
    <t>Huỳnh Trung Hậu 23144203</t>
  </si>
  <si>
    <t>Trần Lê Thiên Ân 22146265</t>
  </si>
  <si>
    <t>Đào Chí Quân 22146380
Vũ Trung Tâm 22146396
Chung Hoàng Ân 23146176</t>
  </si>
  <si>
    <t>Đoàn Văn Trung Đạo 24144141</t>
  </si>
  <si>
    <t>Lê Thế Duy 21144369</t>
  </si>
  <si>
    <t>Nguyễn Xuân Vinh 21144140</t>
  </si>
  <si>
    <t>Danh Thái Tỷ 22146252</t>
  </si>
  <si>
    <t>Huỳnh Hoàng Phúc 22146193</t>
  </si>
  <si>
    <t>Phạm Minh Hoàng 24134026
Huỳnh Phúc Thịnh 24134068
Nguyễn Phú Lộc 24161305</t>
  </si>
  <si>
    <t>Nguyễn Văn Thương 23144320</t>
  </si>
  <si>
    <t>Võ Thành Phát 23143323</t>
  </si>
  <si>
    <t>Trương Văn Chương 23143233
Nguyễn Thiên 23143357</t>
  </si>
  <si>
    <t>Đặng Việt  Hoàng 23144079</t>
  </si>
  <si>
    <t>Lê Võ Minh Nhựt 23144130</t>
  </si>
  <si>
    <t>Nguyễn Ngọc Anh Khôi 23144106
	Đặng Gia Bảo 22144003
Trương Nguyễn Thế Bảo 22144004</t>
  </si>
  <si>
    <t>Phạm Quốc Kiệt 23144110</t>
  </si>
  <si>
    <t>Mã Minh Nhựt 23144131</t>
  </si>
  <si>
    <t>Nguyễn Thành Long 23144114
Phạm Anh Tú 23144167
Hoàng Phi Vũ 23144172
Lê Phục Thanh Nghiêm 23144122</t>
  </si>
  <si>
    <t>Đặng Vũ Lâm 22143122</t>
  </si>
  <si>
    <t>Nguyễn Tuấn Anh 24144111</t>
  </si>
  <si>
    <t>Trần Cao Trí 21144417</t>
  </si>
  <si>
    <t>Ngô Trọng Đức 23144061</t>
  </si>
  <si>
    <t>Võ Kiều Minh Hoàng 23144212</t>
  </si>
  <si>
    <t>Phạm Đức Toản 22144213
Trần Xuân Hoàng 22144098</t>
  </si>
  <si>
    <t>Lê Hửu Tâm 21143388</t>
  </si>
  <si>
    <t>Nguyễn Quốc Trung  22134016</t>
  </si>
  <si>
    <t>Bùi Huỳnh Phương Anh 23134002
Trương Hồng Lĩnh 23134035
Phạm Nguyễn Văn Đồng 23134013</t>
  </si>
  <si>
    <t>Nguyễn Xuân Hoà 23144213</t>
  </si>
  <si>
    <t>Lê Nguyễn Nhật Luật	 21144396
Phạm Ngọc Thịnh	 21144412</t>
  </si>
  <si>
    <t>Nguyễn Hoàng Lam 22144134</t>
  </si>
  <si>
    <t>Phan Trung Nghĩa 22144152
Huỳnh Huy Hoàng 22144096</t>
  </si>
  <si>
    <t>Trần Xuân Hoàng 22146311</t>
  </si>
  <si>
    <t>Đặng Hữu Thắng 24146078</t>
  </si>
  <si>
    <t>Đỗ Hoàng Phụng 22143143</t>
  </si>
  <si>
    <t>Lê Phúc Khang 23144225</t>
  </si>
  <si>
    <t>Nguyễn QuangMinh 22146171
Đậu Văn Tùng 22146250
Đỗ Hoàng Khang 22146138
Nguyễn Anh Phong 22146191</t>
  </si>
  <si>
    <t>Phan Văn Hoàng 23146244</t>
  </si>
  <si>
    <t>Phạm Toàn Cơ  22143084</t>
  </si>
  <si>
    <t>Phạm Nguyễn Hoàng Phúc 22143142
Nguyễn Trần Nguyên Phương 22143145
Trần Thành Vinh 22143296
Nguyễn Thành Nam 22143134</t>
  </si>
  <si>
    <t>Lưu Khắc Thảo Trang 23134056</t>
  </si>
  <si>
    <t>Phạm Gia Phong 23134045
Nguyễn Hữu Cát Tường 23134063
Trần Văn Tiến 22146417</t>
  </si>
  <si>
    <t>Nguyễn Quốc Kiệt 22144130</t>
  </si>
  <si>
    <t>Nguyễn Đăng Thưởng 23144321</t>
  </si>
  <si>
    <t>Lê Hữu Hùng 22146318</t>
  </si>
  <si>
    <t>Trần Nguyễn Gia Thọ 22146410
Nguyễn Bá Đức Thắng 22146403</t>
  </si>
  <si>
    <t>Trần Nhất Long 23144116</t>
  </si>
  <si>
    <t>Phạm Đức Minh 23144258</t>
  </si>
  <si>
    <t>01 Bài báo KH đăng trên tạp chí trong nước trong danh mục của HĐ GSNN tính từ 0,5 điểm trở lên; hoặc bài báo đăng trên tạp chí quốc tế có chỉ số xuất bản ISSN
01 Báo cáo tổng kết</t>
  </si>
  <si>
    <t>- Bài báo đăng trên hội thảo quốc tế có chỉ số xuất bản ISBN/ISSN
- Trang Web
- Báo cáo tổng kết</t>
  </si>
  <si>
    <t>-Báo cáo tổng hợp</t>
  </si>
  <si>
    <t>-Công cụ phân tích mã độc hybrid (GUI + backend)
-Báo cáo khoa học</t>
  </si>
  <si>
    <t>-Công cụ phân tích và hiển thị hành vi Malware có ứng dụng kĩ thuật dịch ngược
-Báo cáo phân tích</t>
  </si>
  <si>
    <t>-Chương trình phát hiện tấn công XSS và SQL Injection sử dụng mô hình học sâu.
-Báo cáo tổng kết</t>
  </si>
  <si>
    <t>Xây dựng hệ thống hỗ trợ luyện phát âm  tiếng Việt sử dụng mô hình AI</t>
  </si>
  <si>
    <t>-Báo cáo tổng kết, chương trình máy tính, bài báo khoa học đăng trên hội thảo quốc tế có chỉ số ISSN/ISBN</t>
  </si>
  <si>
    <t>-Chương trình máy tính
-Báo cáo tổng kết</t>
  </si>
  <si>
    <t>Hệ thống thi trực tuyến tích hợp AI đánh giá và chấm điểm</t>
  </si>
  <si>
    <t>QuickQuiz: Learn anything fast with AI assistant: Ứng dụng AI hỗ trợ trong học tập</t>
  </si>
  <si>
    <t>-Bài báo khoa học đăng trên tạp chí trong nước trong danh mục của HĐGSNN tính từ 0,5 điểm trở lên
-Báo cáo tổng kết</t>
  </si>
  <si>
    <t xml:space="preserve">-01 Bài báo khoa học đăng trên tạp chí trong nước trong danh mục của Hội đồng Giáo sư Nhà nước tính 0,5 điểm </t>
  </si>
  <si>
    <t>01 Bài báo khoa học đăng trên tạp chí trong nước trong danh mục của Hội đồng Giáo sư Nhà nước tính 0,5 điểm 
-01 Báo cáo tổng kết</t>
  </si>
  <si>
    <t>01 Bài báo cáo tổng kết
01 Bài báo KH đăng trên tạp chí trong nước trong danh mục của Hội đồng Giáo sư Nhà nước tính 0.5 điểm trở lên hoặc tạp chí quốc tế có chỉ số xuất bản ISBN</t>
  </si>
  <si>
    <t>Đặng Phúc Thiên	 24126214
Trương Nhật Trường 24126266
Mai Khánh Thuận 24126222</t>
  </si>
  <si>
    <t xml:space="preserve">Mai Thị Xuân Sinh 24126191
Nguyễn Ngọc Kiều Vy 24126277
Nguyễn Thị Tường Vy 24126278
Văn Nữ Hà Vy 24126281            </t>
  </si>
  <si>
    <t>Sái Ngọc Nhi 24126169
Trần Vũ Tú Oanh 24126177</t>
  </si>
  <si>
    <t>Trần Thị Na 23126141
Đỗ Quốc Khánh 24126099
Đỗ Hữu Nghĩa 24126149
Vũ Trọng Huy 24126090</t>
  </si>
  <si>
    <t>Lê Đức Nam 23149026
Nguyễn Văn Thành 23149035
Đỗ Lê Đăng Khoa 23149017
Trần Hoàng Bảo Khanh 23149016</t>
  </si>
  <si>
    <t>Nguyễn Huy Bảo 22116003
Lê Tiến Nam 22116017
Đào Ngọc Bảo Trân 22128078
Trần Thanh Trúc 22116023</t>
  </si>
  <si>
    <t>Thái Bửu Uyên 23128191
Lê Nguyễn Phương Thảo 23128169
Trần Quốc Duy 24128037</t>
  </si>
  <si>
    <t>Phạm Đình Huy 23128120
Vũ Kim Ngọc Tuyết 23128189
Nguyễn Trọng Tỷ 23128190</t>
  </si>
  <si>
    <t>Nguyễn Trần Ngọc Minh 24150034
Nguyễn Bảo Ngân 24150036
Nguyễn Trung Nghĩa 24150038
Nguyễn Thế Phương 24150051</t>
  </si>
  <si>
    <t>Huỳnh Ngọc Hân 25140018
Bùi Nguyễn Minh Phương 25140053</t>
  </si>
  <si>
    <t>1 báo cáo nghiên cứu
1 chương trình máy tính (mã nguồn mở trên Github)</t>
  </si>
  <si>
    <t>Lê Phước Hoàng 23144080</t>
  </si>
  <si>
    <t>- 01 Bài báo khoa học (đăng trên tạp chí trong nước trong danh mục của Hội đồng Giáo sư Nhà nước tính 0,5 điểm trở lên) 
- Bản báo cáo phân tích kết quả
- Mẫu thử cơ tính
- Báo cáo tổng kết</t>
  </si>
  <si>
    <t>Nghiên cứu qui trình phun ép sản phẩm tròn với vật liệu composite</t>
  </si>
  <si>
    <t>Trần Văn Lợi 22143128
Nguyễn Tấn Thanh Long 22143124
Võ Tiến Phát 22143139
Hoàng Minh Nhật  22143136</t>
  </si>
  <si>
    <t>Nguyễn Trịnh Khánh Linh 23119016
Nguyễn Công Minh 23119021
Võ Hoài Nam 23119024
Nguyễn Tiến Khang 23119010</t>
  </si>
  <si>
    <t xml:space="preserve">Trương Đông Khang 22145031
Nguyễn Tấn Nhật 22145053
Vũ Hải Nam 22145048
Phạm Huy Tiến 22145077                                  </t>
  </si>
  <si>
    <t>Nguyễn Hoàng Phương Vi 23124158
Cao Phương Vy 23124161
Phan Hồng My 23124096
Trần Nguyễn Nhật Uyên 22124902</t>
  </si>
  <si>
    <t>Đăng Quang Khoa</t>
  </si>
  <si>
    <t xml:space="preserve">Tạ Văn Phương
</t>
  </si>
  <si>
    <t xml:space="preserve"> Lê Mỹ Hà</t>
  </si>
  <si>
    <t>Phạm Thanh Lâm 24151045
Lương Công Tuấn Anh 24151007
Nguyễn Đình Lê Phú An 24151005
Nguyễn Vũ Minh Thái 24151078</t>
  </si>
  <si>
    <t>Đỗ Văn Dũng</t>
  </si>
  <si>
    <t>- Bài báo khoa học: đăng trên tạp chí không thuộc mục 1; hoặc bài báo đăng trên hội thảo khoa học quốc tế có chỉ số xuất bản ISSN/ISBN; hoặc sản phẩm mô hình, thiết bị (không có hợp đồng chuyển giao công nghệ).
- 01 Tập bản vẽ, 01 Tập thuyết minh
- 01 Báo cáo tổng kết</t>
  </si>
  <si>
    <t>- 01 Báo cáo tổng kết</t>
  </si>
  <si>
    <t>- 01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- 01 Báo cáo tổng kết</t>
  </si>
  <si>
    <t>01 Bài báo đăng trên tạp chí chuyên ngành trong nước được HĐ GSNN tính 0,5 điểm
01 Báo cáo tổng kết</t>
  </si>
  <si>
    <t>1 nguyên mẫu hệ thống chống rung (có video minh họa),1 phần mềm điều khiển (mã nguồn mở trên GitHub)
1 báo cáo nghiên cứu chi tiết
1 Bài báo khoa học đăng trên tạp chí Journal of Technical Education Science (JTE) trong danh mục của HĐ GSNN tính từ 0,5 điểm trở lên</t>
  </si>
  <si>
    <t>- Hệ thống điều khiển máy mỏi (mô hình)
- Báo cáo tổng kết: Đạt yêu cầu báo cáo khoa học</t>
  </si>
  <si>
    <t>- Bài báo khoa học đăng trên tạp chí trong nước trong danh mục của HĐ GSNN tính từ 0,5 điểm trở lên; hoặc bài báo đăng trên tạp chí quốc tế có chỉ số xuất bản ISSN
- Chương trình máy tính. Báo cáo tổng kết</t>
  </si>
  <si>
    <t>- Mô hình UAV 4 cánh
- Thuật toán điều khiển Fuzzy
- Kết quả mô phỏng và thực nghiệm
- Báo cáo tổng kết</t>
  </si>
  <si>
    <t>- 01 Báo cáo tổng kết:Đạt yêu cầu của báo cáo khoa học.</t>
  </si>
  <si>
    <t xml:space="preserve">-Bài báo khoa học: Bài báo khoa học đăng trên tạp chí không thuộc mục 1; hoặc bài báo đăng trên hội thảo quốc tế có chỉ số xuất bản ISBN/ISSN; hoặc sản phẩm mô hình, thiết bị (không có hợp đồng chuyển giao công nghệ).
- Báo cáo tổng kết
</t>
  </si>
  <si>
    <t>Lâm Phước An 22146257
Nguyễn Ngọc An 22146259
Huỳnh Sang Lành 23146296</t>
  </si>
  <si>
    <t>- Mô hình tủ bếp thông minh: Mô hình có cơ cấu đúng, có thể vận hành được.
- Báo cáo tổng kết</t>
  </si>
  <si>
    <t>- Mô hình tời trợ lực tải trọng 5kg và hành trình cáp 2m.
- 01 Báo cáo tổng kết</t>
  </si>
  <si>
    <t>- Mô hình hệ thống thu nhận hình ảnh và nhận dạng vạch kẻ đường
- Báo cáo tổng kết</t>
  </si>
  <si>
    <t xml:space="preserve">Phạm Quang Nghĩa 22134007
Vũ Trung Tâm 22146396
Đào Hồng Anh 23146171
</t>
  </si>
  <si>
    <t>- Bài báo khoa học: đăng trên tạp chí không thuộc mục 1; hoặc bài báo đăng trên hội thảo khoa học quốc tế có chỉ số xuất bản ISSN/ISBN; hoặc sản phẩm mô hình, thiết bị (không có hợp đồng chuyển giao công nghệ).
- Báo cáo tổng kết</t>
  </si>
  <si>
    <t xml:space="preserve"> - Tập bản vẽ: Tập bản vẽ theo tiêu chuẩn TCVN
- Báo cáo tổng kết</t>
  </si>
  <si>
    <t>- Mô hình drone thực nghiệm
- Chương trình trạm điều khiển 
- Báo cáo tổng kết đề tài</t>
  </si>
  <si>
    <t>-Mô Hình Máy Rung Khi Đúc
- Bản Vẽ Chi Tiết DWG
- Bản Vẽ Lắp DWG
- Báo cáo tổng kết</t>
  </si>
  <si>
    <t>- Bài báo hội nghị ISBN
- Mô hình  điều khiển theo phương pháp End-to-End
- Báo cáo tổng kết</t>
  </si>
  <si>
    <t>- Bài báo khoa học: đăng trên tạp chí không thuộc mục 1; hoặc bài báo đăng trên hội thảo quốc tế có chỉ số xuất bản ISBN/ISSN; hoặc sản phẩm mô hình, thiết bị (không có hợp đồng chuyển giao công nghệ).
- 01 Báo cáo tổng kết</t>
  </si>
  <si>
    <t>- 01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Robot 4 bậc tự do
- Báo cáo tổng kết</t>
  </si>
  <si>
    <t>- Mô hình bộ truyền động
- Tập bản vẽ: Theo TCVN
- Báo cáo tổng kết</t>
  </si>
  <si>
    <t>- Mô hình Quadcopter
- Thuật toán điều khiển P-P, thuật toán điều khiển đội hình UAV
- Mô hình mô phỏng và điều khiển trên ROS2-Gazebo
- Báo cáo tổng kết</t>
  </si>
  <si>
    <t>- Mô hình hệ thống đo lực dao động của bể nước. Bản vẽ của hệ thống
- Báo cáo tổng kết</t>
  </si>
  <si>
    <t>- Mô hình UAV 8 cánh đồng trục
- Thuật toán điều khiển máy bay UAV 8 cánh đồng trục
- Mô hình AI phát hiện đối tượng
- Báo cáo tổng kết</t>
  </si>
  <si>
    <t>- 01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Báo cáo tổng kết</t>
  </si>
  <si>
    <t>01 Báo cáo tổng kết
01 Bài báo khoa học đăng trên tạp chí trong nước trong danh mục của HĐ GSNN tính từ 0,5 điểm trở lên; hoặc bài báo đăng trên tạp chí quốc tế có chỉ số xuất bản ISSN</t>
  </si>
  <si>
    <t xml:space="preserve">Nghiên cứu chế tạo thiết bị thu thập nhiệt độ khuôn
</t>
  </si>
  <si>
    <t>Nguyễn Khắc Duy 22154010</t>
  </si>
  <si>
    <t>Danh Vũ Thị Ngọc Hân 22154013
Trần Quang Minh 22154033
Trần Anh Khoa 23154048</t>
  </si>
  <si>
    <t>Xây dựng mô hình lai ghép phân đoạn ngữ nghĩa cho khoanh vùng polyp trong ảnh nội soi đại tràng</t>
  </si>
  <si>
    <t>Phản ứng cảm xúc và hành vi của sinh viên Trường Đại học Công nghệ Kỹ thuật TP. HCM trước sai chuẩn đạo đức của người nổi tiếng thuộc thế hệ gen Z</t>
  </si>
  <si>
    <t>Phân tách protein tách từ bã cà phê</t>
  </si>
  <si>
    <t>Nghiên cứu những yếu tố ảnh hưởng đến việc lựa chọn học ngành Luật tại Trường Đại học Công nghệ Kỹ thuật Thành phố Hồ Chí Minh của sinh viên</t>
  </si>
  <si>
    <t>Phát triển cánh tay Robot 5 bậc tự do tích hợp với phân loại sản phẩm dựa trên YOLO trên nền tảng ROS2</t>
  </si>
  <si>
    <t>Lại Đức Thuật 22151152</t>
  </si>
  <si>
    <t>Lê Minh Hoàng Lân 23128125</t>
  </si>
  <si>
    <t>Thiết kế và xây dựng mô hình hệ thống giám sát và cảnh báo pin trên nền tảng hệ thống nhúng sử dụng CAN Bus</t>
  </si>
  <si>
    <t xml:space="preserve">Phạm Hồng Dương 22143092
Nguyễn Minh Châu 23143006
Nguyễn Phước Tiến 23143040
Dương Văn Thông 23143037
</t>
  </si>
  <si>
    <t>Trịnh Hoàng Minh Trí 22143162
Nguyễn Nhật Thịnh 22143158
Nguyễn Trần Quốc Thắng 22143155
Đào Xuân Trường 22143165</t>
  </si>
  <si>
    <t xml:space="preserve">Võ Nguyên Khả 23144096
Nguyễn Gia Huy 23144085
Trần Ngọc Minh Hân 23144068
Trần Hữu Kha 23144093
</t>
  </si>
  <si>
    <t>- Mô hình hệ thống tủ điều khiển máy cân bằng động cỡ nhỏ
- 01 Báo cáo tổng kết</t>
  </si>
  <si>
    <t>Nguyễn Phước Tiến 23143040
'Dương Văn Thông 23143037
'Đỗ Hoàng Phụng 22143143</t>
  </si>
  <si>
    <t>Tính toán thiết kế máy CNC 3 trục sử dụng dây nhiệt</t>
  </si>
  <si>
    <t>Trần Trung Tính 23143206
Phan Văn Phúc 23143031</t>
  </si>
  <si>
    <t xml:space="preserve">Nguyễn Trịnh Trà Giang 22134005
Võ Thành Nguyễn 22134008
</t>
  </si>
  <si>
    <t>Các đặc điểm của AI Streamer ảnh hưởng đến ý định mua hàng trong Live commerce</t>
  </si>
  <si>
    <t>01 Báo cáo tổng kết
01 biểu đồ phân tích</t>
  </si>
  <si>
    <t>Phan Phạm Hồng Phước 24149220
Nguyễn Anh Khoa 24149166</t>
  </si>
  <si>
    <t>Trí tuệ nhân tạo trong giáo dục: Đột phá công nghệ hay sự xói mòn trong tư duy phản biện của sinh viên trường đại học Công nghệ Kỹ thuật Thành phố Hồ Chí Minh.</t>
  </si>
  <si>
    <t xml:space="preserve">Khảo sát và đánh giá khả năng chống tia UV của vải bông nhuộm bằng dịch chiết từ một số loại thực vật tại Việt Nam </t>
  </si>
  <si>
    <t>Nguyễn Phú Tủy 23151333
Trần Quốc Thái 23151312
Nguyễn Văn Tấn Đạt 23151234</t>
  </si>
  <si>
    <t>Tối ưu hóa điều khiển cánh tay robot SCARA 2-DOF thông qua các chiến lược tiếp cận PD-Fuzzy, SMC-PID và Mạng nơ-ron</t>
  </si>
  <si>
    <t xml:space="preserve">01 Mô hình thực tế robot SCARA 2-DOF
01 Báo cáo phân tích </t>
  </si>
  <si>
    <t>- Mô hình máy phay gỗ CNC mini
- Báo cáo tổng kết</t>
  </si>
  <si>
    <t>Lâm Xương Duy 25138008
Trần Lương Minh Anh 25134002</t>
  </si>
  <si>
    <t>Nguyễn Văn An 24134002</t>
  </si>
  <si>
    <t>Nghiên cứu các yếu tố ảnh hưởng đến thói quen đọc sách của sinh viên trường đại học Công nghệ kỹ thuật Tp. Hồ Chí Minh</t>
  </si>
  <si>
    <t>Nguyễn Chí Thanh 23150061
Nguyễn Khương Duy 23150025</t>
  </si>
  <si>
    <t xml:space="preserve">01 Bài báo khoa học đăng trên tạp chí trong nước trong danh mục của HĐ GSNN tính từ 0,5 điểm trở lên
- Báo cáo tổng kết
</t>
  </si>
  <si>
    <t>01 Chương trình nhúng thực nghiệm 
01 Báo cáo tổng kết</t>
  </si>
  <si>
    <t>Tác động của hệ thống làm việc hiệu suất cao và kháng cự thay đổi đến sự sẵn sàng ứng dụng trí tuệ nhân tạo: Vai trò trung gian của lãnh đạo định hướng nhiệm vụ và nỗi sợ trí tuệ nhân tạo.</t>
  </si>
  <si>
    <t>Nguyễn Văn Đức Trí 23126047
Nguyễn Nhựt Quỳnh 23126121</t>
  </si>
  <si>
    <t>01 Báo cáo tổng kết
02 Bài báo khoa học đăng trên tạp chí quốc tế có chỉ số XB ISSN</t>
  </si>
  <si>
    <t>Võ Ngọc Thanh Vy 24116285
Nguyễn Trần Xuân Phú 25134079</t>
  </si>
  <si>
    <t xml:space="preserve">Nguyễn Quang Thiện 23161196
Lê Hoàng Linh 20151391
Nguyễn Viết Hoàn 22151085
Võ Nhật Minh 23151143
</t>
  </si>
  <si>
    <t>Đặng Thành Trung</t>
  </si>
  <si>
    <t>Vũ Đức Thuận 22145074
Bùi Mạc Anh Quân 22145057</t>
  </si>
  <si>
    <t>Nghiên cứu quy trình sản xuất sữa chua uống hạt điều (Anacardium occidentale)</t>
  </si>
  <si>
    <t>Nguyễn Thị Uyên Nhi 23116022
Nguyễn Trần Khánh Uyên 23116041
Vũ Hoàng Duy Bảo 23116004</t>
  </si>
  <si>
    <t>Phân tích ứng xử của tường vây có xét ảnh hưởng các yếu tố trong quá trình thi công</t>
  </si>
  <si>
    <t>Võ Thị Kim Trúc 24124087
Nguyễn Kim Ngọc Ánh 25126017
Trần Trọng An 23142079</t>
  </si>
  <si>
    <t>Trần Vũ Hoàng</t>
  </si>
  <si>
    <t>Huỳnh Nguyễn Thái Anh 24143164</t>
  </si>
  <si>
    <t>Trần Lê Anh Hào 24143216
Lê Công Danh 24143180
Vũ Hoàng Danh 24143185</t>
  </si>
  <si>
    <t xml:space="preserve">Nghiên cứu chế tạo vật liệu than sinh học từ phế phẩm nông nghiệp </t>
  </si>
  <si>
    <t>Phan Nguyễn Đăng Khoa 22144021
Nguyễn Anh Tuấn 22144041
Nguyễn Minh Đức 22143102
Nguyễn Văn Nhật 21144344</t>
  </si>
  <si>
    <t>01 Mô hình thực nghiệm (cụm đồ gá cho gia công tiện rung động tần số theo phương dọc trục)
- 01 tập bản vẽ lắp và chi tiết mô hình thực nghiệm
- 01 Báo cáo tổng kết đề tài</t>
  </si>
  <si>
    <t>Nguyễn Xuân Vinh 21144140
Lê Thanh Tùng 22144449</t>
  </si>
  <si>
    <t>Trần Hoàng Việt 23144171</t>
  </si>
  <si>
    <t>Báo cáo tổng kết
Các kết quả mô phỏng, tính toán</t>
  </si>
  <si>
    <t>Hoàng Sỹ Đông 22144011
Sơn Văn Hậu 21144382</t>
  </si>
  <si>
    <t>Hồ Hữu Thắng 23144156</t>
  </si>
  <si>
    <t>Nguyễn Tấn Đức 23144063</t>
  </si>
  <si>
    <t>Trần Quang Huy 22144017
Phạm Ngọc Thịnh 21144412
Lê Thế Duy 21144369</t>
  </si>
  <si>
    <t>Lưu Thiên Bách 24144120</t>
  </si>
  <si>
    <t>Nguyễn Minh Duy 22144008
Hoàng Quang Dương 22144009</t>
  </si>
  <si>
    <t>Cải thiện hiệu suất của tuabin Savonius hai tầng sử dụng biên dạng cánh Fibonaci bằng phương pháp Taguchi kết hợp mô phỏng CFD cho ứng dụng đô thị</t>
  </si>
  <si>
    <t>Huỳnh Đức Hoàng 24154039
Lê Văn Thành 24154113
Đào Tân Sơn 24154107</t>
  </si>
  <si>
    <t>Đoàn Minh Hiếu 24154037
Đào Tân Sơn 24154107
Lê Văn Thành 24154113</t>
  </si>
  <si>
    <t>Phát triển hệ thống nhận dạng ngôn ngữ ký hiệu dựa trên học sâu đa luồng</t>
  </si>
  <si>
    <t>Ma so DT</t>
  </si>
  <si>
    <t>CNDT MSSV</t>
  </si>
  <si>
    <t>TVDT MSSV</t>
  </si>
  <si>
    <t>GVHD</t>
  </si>
  <si>
    <t>DVCT GVHD</t>
  </si>
  <si>
    <t>Du kien kq dat duoc</t>
  </si>
  <si>
    <t>Kinh phi (VND)</t>
  </si>
  <si>
    <t>Ten DT</t>
  </si>
  <si>
    <t>Phạm Huy 
Tuân</t>
  </si>
  <si>
    <t>Ten CNDT</t>
  </si>
  <si>
    <t>MSSV CNDT</t>
  </si>
  <si>
    <t>Đinh Thiên Bảo 24162009</t>
  </si>
  <si>
    <t>Nguyễn Hữu Lượng 22144347</t>
  </si>
  <si>
    <t>Nguyễn Minh Châu 23143006</t>
  </si>
  <si>
    <t>Nguyễn Tiến Phát 23144136</t>
  </si>
  <si>
    <t>Nguyễn Phương Nguyên 22146361</t>
  </si>
  <si>
    <t>Trịnh Hữu Dũng 22143091</t>
  </si>
  <si>
    <t>Trần Trọng Tín
22143161</t>
  </si>
  <si>
    <t>Lê Lữ Anh Khôi 23134033</t>
  </si>
  <si>
    <t>Trần Nguyễn Viết Nghĩa 23143073</t>
  </si>
  <si>
    <t>Huỳnh Duy Hưng 23144221</t>
  </si>
  <si>
    <t>Bạch Trần Anh Kiệt 22146159</t>
  </si>
  <si>
    <t>Nguyễn Văn Trọng 23144328</t>
  </si>
  <si>
    <t>Trần Đăng Nghiêm 22144151</t>
  </si>
  <si>
    <t>Trần Khánh Quân 23142193</t>
  </si>
  <si>
    <t>Trần Thái Sơn 23151172</t>
  </si>
  <si>
    <t>Nguyễn Thị Bảo Ngọc 23150048</t>
  </si>
  <si>
    <t>Nguyễn Đặng Trúc Phương 25140055</t>
  </si>
  <si>
    <t>Huỳnh Thanh Huy 24149138</t>
  </si>
  <si>
    <t>Nguyễn Trọng Đạt 23149062</t>
  </si>
  <si>
    <t>Trần Vũ Nhật Cương 23149054</t>
  </si>
  <si>
    <t>Lê Quốc Huy 22135014</t>
  </si>
  <si>
    <t>Huỳnh Bảo Hân 24124121</t>
  </si>
  <si>
    <t>Đoàn Trần Thiên Phúc 24124172</t>
  </si>
  <si>
    <t>Nguyễn Phan Duy Vĩnh 23145240</t>
  </si>
  <si>
    <t>Nguyễn Tuấn Anh 23119002</t>
  </si>
  <si>
    <t>Lê Minh Nhật 22116019</t>
  </si>
  <si>
    <t>Đoàn Minh Tuyển 22145084</t>
  </si>
  <si>
    <t>Ngô Tuấn Anh 23142003</t>
  </si>
  <si>
    <t>Nguyễn Thị Hoà Bình 24126021</t>
  </si>
  <si>
    <t>Lê Phương Thành 22145065</t>
  </si>
  <si>
    <t>Khoa CNDT</t>
  </si>
  <si>
    <t>Năm triệu đồng</t>
  </si>
  <si>
    <t>Mười triệu đồng</t>
  </si>
  <si>
    <t>Mười lăm triệu đồng</t>
  </si>
  <si>
    <t>Hai mươi lăm triệu đồng</t>
  </si>
  <si>
    <t>Nghiên cứu xây dựng hệ thống nhận dạng biển số xe sử dụng YOLOv10 và kỹ thuật xử lý hình ảnh</t>
  </si>
  <si>
    <t>Nguyễn Duy Linh 23161146</t>
  </si>
  <si>
    <t>Đỗ Trần Anh Dũng 23161115
Trần Khả Hiệp 23161124
Lê Trần Tiến Minh 23161152</t>
  </si>
  <si>
    <t>Nguyễn Quang Duy 23130010
Nguyễn Minh Tiến 23130054
Vũ Như Ý 23130068</t>
  </si>
  <si>
    <t>Vũ Như Ý 23130068
Nguyễn Quang Duy 23130010
Trương Lê Minh Khánh 24130044
Trần Đình Tuấn 22130025</t>
  </si>
  <si>
    <t>Đánh giá mức độ ảnh hưởng của bao bì đến hành vi sống xanh của sinh viên trường Đại học Công nghệ Kỹ thuật TP.HCM</t>
  </si>
  <si>
    <t>Phát hiện và phân loại bệnh ở lá cây đu đủ sử dụng mô hình YOLOV11 và CNN</t>
  </si>
  <si>
    <t xml:space="preserve">Lê Thanh Lâm 21130079 
Nguyễn Hải Đăng 21130063 
Lê Minh Triết 21130102 </t>
  </si>
  <si>
    <t>Bài báo đăng trên tạp chí trong nước, hoặc bài báo đăng trên hội thảo quốc tế có chỉ số ISSN/ISBN hoặc SP.</t>
  </si>
  <si>
    <t>Bùi Thái Vũ 23151207
Nguyễn Văn Trọng 23151194
Nguyễn Hoàng Duy 23142265
Huỳnh Tấn Hiếu 23142293</t>
  </si>
  <si>
    <t>Nghiên cứu hệ thống giám sát và cảnh báo hành vi trái quy định tại trường học</t>
  </si>
  <si>
    <t>Nguyễn Quang Thiện 23161196
Đặng Phạm Thanh Tuấn 22151156
Ma Nguyễn Viên Mãn 22151113
Quách Văn Anh 23151048</t>
  </si>
  <si>
    <t>-Bài báo khoa học: Bài báo khoa học đăng trên tạp chí không thuộc mục 1; hoặc bài báo đăng trên hội thảo quốc tế có chỉ số xuất bản ISBN/ISSN; hoặc sản phẩm mô hình, thiết bị (không có hợp đồng chuyển giao công nghệ).
- Báo cáo tổng kết</t>
  </si>
  <si>
    <t>Lê Nguyễn Thanh Huyền 23126014
Đỗ Nguyễn Thanh Uyên 23126053
Nguyễn Thị Yến Linh 23126024
Nguyễn Ngọc Phương Trinh 23126046</t>
  </si>
  <si>
    <t>Nguyễn Văn Hùng 23151111
Đào Nguyễn Quốc Kha 22151229
Lê Minh Tân 23119033</t>
  </si>
  <si>
    <t>Tăng Minh Mẫn 24144227
Nguyễn Mai Luân 24144222</t>
  </si>
  <si>
    <t>01 Bài báo đăng trên hội thảo quốc tế có chỉ số xuất bản ISBN/ISSN
01 Báo cáo phân tích</t>
  </si>
  <si>
    <t>Trần Ngọc Linh 23161289
Lê Ngọc Thanh 2439702
Võ Minh Nguyên 24161341
Trần Quốc Sĩ 19119215</t>
  </si>
  <si>
    <t>Nghiên cứu chế tạo màng polymer phân hủy sinh học trên nền PVA/Chitosan kết hợp tinh dầu tràm ứng dụng làm màng bao bì thực phẩm</t>
  </si>
  <si>
    <t>Huỳnh Tấn Phát 22130018
Nguyễn Vũ Anh Tuấn 24130086</t>
  </si>
  <si>
    <t>01 Báo cáo tổng kết
01 Kết quả so sánh và đánh giá sự sai lệch giữa mô hình lý thuyết và kết quả thực nghiệm. Xây dựng được mô hình lý thuyết của bộ trao đổi nhiệt của hệ thống lạnh ghép tầng. Xác định được các đặc tính vận hành thực tế như nhiệt độ, vận tốc, áp suất, hiệu suất trao đổi nhiệt và công suất truyền nhiệt của thiết bị ở công suất 6kW</t>
  </si>
  <si>
    <t>Mô phỏng hiện tượng đàn hồi ngược của nhôm A5052 trong quá trình chấn chữ V</t>
  </si>
  <si>
    <t>Đề xuất mô hình phân đoạn ngữ nghĩa trong truyền thông ngữ nghĩa</t>
  </si>
  <si>
    <t>Lương Thế Phước 24143132
Lê Huy Hoàng 24143090
Đặng Phạm Nam An 24143060</t>
  </si>
  <si>
    <t>Trần Ngọc Anh 24124094
Trương Thị Ngọc Trinh 22131153
Nguyễn Minh Hoàng 24124128</t>
  </si>
  <si>
    <t>Đánh giá ảnh hưởng của hệ thống chat bot AI đối  với khả năng tự học của sinh viên đại học Công nghệ Kỹ thuật TP.HCM</t>
  </si>
  <si>
    <t>Trần Huỳnh Như 23129031</t>
  </si>
  <si>
    <t>01 File mô phỏng
01 Báo cáo tổng kết</t>
  </si>
  <si>
    <t>01 Bài báo đăng trên tạp chí trong nước thuộc ngành được tính điểm 0.25 trở lên trong danh mục Hội đồng GSNN có chỉ số ISBN/ISSN
01 Báo cáo tổng kết</t>
  </si>
  <si>
    <t>Nguyễn Minh Đạt 24143080
Thái Quách An 24143064</t>
  </si>
  <si>
    <t>Bành Văn Hoà Lợi 24104036</t>
  </si>
  <si>
    <t>Phạm Đức Minh 23144258
Nguyễn Xuân Hòa 23144213</t>
  </si>
  <si>
    <t>Nguyễn Vũ Chí Tâm 22143069
Trần Minh Sơn 22143068
Nguyễn Tấn Hải 22143048</t>
  </si>
  <si>
    <t>Nguyễn Đức Phát 23144133</t>
  </si>
  <si>
    <t>Nguyễn Quốc Thắng 23144157
Nhữ Đình Bảo Phúc 23144139</t>
  </si>
  <si>
    <t xml:space="preserve">Trương Anh Tú 23144168
Ngô Gia Phú 23144137
Đặng Tuấn Phát 23144132
Trương Quốc Toàn 23144162
</t>
  </si>
  <si>
    <t>Trần Mạnh Tú 23142073
Trần Anh Kiên 25151063</t>
  </si>
  <si>
    <t xml:space="preserve">		Huỳnh Duy Hưng 23144221</t>
  </si>
  <si>
    <t>Trần Nguyễn Anh	 Quân 22144031</t>
  </si>
  <si>
    <t>Võ Thuận Phát 241442595</t>
  </si>
  <si>
    <t xml:space="preserve">		Nguyễn Văn Trọng 23144328</t>
  </si>
  <si>
    <t>Nguyễn Văn Trọng 23144037</t>
  </si>
  <si>
    <t>Đặng Gia Bảo 22144003
Hoàng Trung Kiên 22144023
Lại Quang Hà 22144012</t>
  </si>
  <si>
    <t>Lý Hoàng Thịnh 22144407</t>
  </si>
  <si>
    <t>Võ Lâm Vĩ 22149204</t>
  </si>
  <si>
    <t>Nguyễn Quang Vinh 22149201
Nguyễn Duy Thắng 20119286
Nguyễn Thị Thu Thảo 22160036</t>
  </si>
  <si>
    <t>Huỳnh Văn Hưỡng 23144091
Nguyễn Đình Nguyên 23144126</t>
  </si>
  <si>
    <t>Trương Nguyễn Thế Bảo 22144004
Võ Quốc Lập 22144025</t>
  </si>
  <si>
    <t>Lê Tuyến 24143395</t>
  </si>
  <si>
    <t>Hồ Văn Duy 24144132</t>
  </si>
  <si>
    <t>Nguyễn Thành Danh 22144006
Trương Nguyễn Thế Bảo 22144004
Hoàng Quang Dương 22144009</t>
  </si>
  <si>
    <t xml:space="preserve">Nguyễn Thành Danh 22144006
Phạm Ngô Gia Huy 22144016
</t>
  </si>
  <si>
    <t>Trần Khải An 24144109</t>
  </si>
  <si>
    <t>Nguyễn Đình Nguyên 23144126
Lê Phước Hoàng 23144080</t>
  </si>
  <si>
    <t>Phạm Nguyễn Duy Gia 24149116</t>
  </si>
  <si>
    <t xml:space="preserve">		Nguyễn Duy Khanh 23145330</t>
  </si>
  <si>
    <t>Đỗ Huy Thức 22144206
Trương Anh Thuận 22144205
Giang Tính 22144211</t>
  </si>
  <si>
    <t>Võ Nguyễn Anh Tú 22144226
Lê Nhật Trung 22144040</t>
  </si>
  <si>
    <t>Nguyễn Gia Hưng 22144111
'Đỗ Trọng Quân 22144030</t>
  </si>
  <si>
    <t>Trịnh Minh Tài 22144181</t>
  </si>
  <si>
    <t>Lê Nguyễn Liêm 22144136
Trần Nhật Hào 24144026</t>
  </si>
  <si>
    <t>Dương Thành Thắng 22144403</t>
  </si>
  <si>
    <t>Trần Quốc Tuấn 20144005
Nguyễn Hoàng Long 24144055
Trần Nguyễn Anh Quân 22144031</t>
  </si>
  <si>
    <t>Nguyễn Hữu Chiến 22144063</t>
  </si>
  <si>
    <t>Trần Đức Phú 23160043
Nguyễn Nhật Khôi 24127034
Nguyễn Phạm Anh Kiệt 24127036</t>
  </si>
  <si>
    <t>Nguyễn Quang Duy 23130010
Vũ Như Ý 23130068
Phạm Thị Bích Diệp 22130005
Trần Đình Tuấn 22130025</t>
  </si>
  <si>
    <t>- 01 Báo cáo tổng kết: Đạt yêu cầu của báo cáo khoa học.</t>
  </si>
  <si>
    <t>Ảnh hưởng của pha tạp đến tính chất quang xúc tác của vật liệu  α-FeOOH</t>
  </si>
  <si>
    <t>Lê Thị Phương Nhi 23130037
Nguyễn Minh Tiến 23130054
Trương Lê Minh Khánh 24130044</t>
  </si>
  <si>
    <t>Nguyễn Chí Chơn 22144253</t>
  </si>
  <si>
    <t>01 Mô hình Hệ thống Child Presence Detection trên xe Oto
01 Bản báo cáo tổng kết</t>
  </si>
  <si>
    <t>Nguyễn Quốc Huy 22144104</t>
  </si>
  <si>
    <t>Nghiên cứu, thiết kế hệ thống dự đoán góc lật ô tô theo thời gian thực sử dụng mạng nơ-ron nhân tạo trên nền tảng hệ thống nhúng.</t>
  </si>
  <si>
    <t>Đánh giá thực trạng và khả năng ứng dụng của trí tuệ nhân tạo (AI) trong quản lý hợp đồng xây dựng.</t>
  </si>
  <si>
    <t>Lê Thành Phát 23145165</t>
  </si>
  <si>
    <t>01 Báo cáo tổng kết
01 Bài báo đăng trên tạp chí trong nước hoặc báo đăng trên hội thảo quốc tế có chỉ số xb ISBN/ISSN</t>
  </si>
  <si>
    <t>01 mô hình Hệ thống báo cháy cho xe điện</t>
  </si>
  <si>
    <t xml:space="preserve">01 Báo cáo tổng kết
01 bài báo được đăng trên các tạp chí uy tín trong nước nằm trong danh mục của Hội đồng giáo sư nhà nước tính điểm tối thiểu 0,5 điểm. </t>
  </si>
  <si>
    <t>Nghiên cứu ứng dụng Parameter - Efficient Fine - Tuning (PEFT) để tối ưu hóa mô hình nhận diện thực phẩm</t>
  </si>
  <si>
    <t>Trần Ngọc Anh 24124094
Phan Đăng Bảo 23128091
Ngô Đặng Khánh Ly 24123035
Huỳnh Bảo Hân 24124121</t>
  </si>
  <si>
    <t>Xe tự hành giám sát khuôn viên trường tại một khu vực nhất định bằng trí tuệ nhân tạo</t>
  </si>
  <si>
    <t>01 mô hình Hệ thống quản lý thiết bị y tế bằng công nghệ không dây
01 Báo cáo tổng kết</t>
  </si>
  <si>
    <t>01 Bài báo khoa học đăng toàn văn trong kỷ yếu hội nghị, hội thảo quốc tế có chỉ số ISSN/ISBN 
01 Báo cáo tổng kết</t>
  </si>
  <si>
    <t>01 Bài báo khoa học đăng trên hội thảo quốc tế có chỉ số xuất bản ISBN/ISSN
01 Chương trình mô phỏng
01 Báo cáo tổng kết</t>
  </si>
  <si>
    <t>01 Bài báo khoa học đăng trên hội thảo quốc tế có chỉ số xuất bản ISBN/ISSN
01 Báo cáo tổng kết</t>
  </si>
  <si>
    <t>Kỹ thuật dịch ngược và ứng dụng trong phát hiện mã độc</t>
  </si>
  <si>
    <t>Thiết kế hệ thống quản lý năng lượng mặt trời cho tòa nhà</t>
  </si>
  <si>
    <t>Nghiên cứu ứng dụng drone gắn camera tầm nhiệt để phát hiện tụ sứ cách điện hư hỏng trên đường dây truyền tải</t>
  </si>
  <si>
    <t>Ứng dụng xe tự hành mini phục vụ giám sát và di chuyển trong khu vực đường hầm thiếu ánh sáng</t>
  </si>
  <si>
    <t>Lê Văn Phát 22110197</t>
  </si>
  <si>
    <t>Nguyễn Hoàng Việt Sang 22110221</t>
  </si>
  <si>
    <t>Nghiên cứu các kĩ thuật học sâu cho bài toán phân đoạn hình ảnh hướng đến ứng dụng phân đoạn hình ảnh y khoa</t>
  </si>
  <si>
    <t>Nghiên cứu các yếu tố ảnh hưởng đến ý định sử dụng hệ thống tàu điện ngầm Metro của học sinh và sinh viên tại Thành phố Hồ Chí Minh</t>
  </si>
  <si>
    <t>Nguyễn Hữu Lộc 23145353
Nguyễn Anh Bảo 23145049
Huỳnh Phước Đô 23145081
Hồ Nguyễn Tấn Vinh 23145239</t>
  </si>
  <si>
    <t>Thiết kế và chế tạo hệ thống chống rung chủ động - thụ động (hybrid) cho camera trên xe lu tự hành</t>
  </si>
  <si>
    <t>Phân tích các yếu tố quyết dịnh lòng trung thành của khách hàng trong thị trường trò chơi trực tuyến tại Việt Nam</t>
  </si>
  <si>
    <t>Đặng Đức Nghĩa 23128138</t>
  </si>
  <si>
    <t>Thiết kế chế tạo mô hình hệ thống truyền lực ô tô điện</t>
  </si>
  <si>
    <t>-Bài báo khoa học đăng trên tạp chí trong nước, hoặc đăng toàn văn trong kỷ yếu hội nghị, hội thảo quốc tế có chỉ số ISSN/ISBN
-Báo cáo tổng kết</t>
  </si>
  <si>
    <t>Lê Trọng Đức 23143055
Nguyễn Cao Anh Tuấn 23143085
Võ Duy Khiêm 22144020</t>
  </si>
  <si>
    <t xml:space="preserve">01 thiết bị thu thập dữ liệu từ hoạt động mắt 
01 Báo cáo tổng kết </t>
  </si>
  <si>
    <t>- Mô hình máy CNC 3 trục 
- Tập bản vẽ
- Báo cáo tổng kết: Đạt yêu cầu báo cáo khoa học</t>
  </si>
  <si>
    <t>Nguyễn Thanh Tân 23161188</t>
  </si>
  <si>
    <t>Phân tích các yếu tố tác động nhận thức về sống xanh của sinh viên trường đại học Công nghệ Kỹ thuật TP.HCM</t>
  </si>
  <si>
    <t>-Bài báo đặng trên tạp chí trong nước, hoặc đăng toàn văn trong kỷ yếu hội nghị, hội thảo quốc tế có chỉ số ISSN/ISBN
-Mã nguồn chương trình Resume-Job Matching. Báo cáo tổng kết</t>
  </si>
  <si>
    <t>- Bài báo khoa học đăng toàn văn trong kỷ yếu hội nghị, hội thảo quốc tế có chỉ số ISSN/ISBN
- Chương trình máy tính
- Báo cáo tổng kết</t>
  </si>
  <si>
    <t>-Bài báo khoa học đăng trên tạp chí trong nước, hoặc đăng toàn văn trong kỷ yếu hội nghị, hội thảo quốc tế có chỉ số ISSN/ISBN
- Chương trình máy tính
- Báo cáo tổng kết</t>
  </si>
  <si>
    <t>01 Báo cáo đề xuất ứng dụng Bibliotherapy trong hỗ trợ giảm căng thẳng học tập của sinh viên Trường Đại học Công nghệ Kỹ Thuật TPHCM 
01 Báo cáo tổng kết</t>
  </si>
  <si>
    <t>01 Bộ công cụ truyền thông số hướng dẫn sử dụng mạng xã hội theo hướng tích cực cho học sinh THPT
01 Báo cáo tổng kết</t>
  </si>
  <si>
    <t>01 bộ kết quả phân tích thực trạng ảnh hưởng của phong cách giáo dục gia đình đến hành vi cho nhận của sinh viên ngành Tâm lý học giáo dục trường đại học Công nghệ Kỹ thuật TPHCM.
01 Báo cáo tổng kết</t>
  </si>
  <si>
    <t>01 Bài báo đăng trên tạp chí trong nước trong danh mục HĐ GSNN tính điểm từ 0.5
01 Báo cáo tổng kết</t>
  </si>
  <si>
    <t>02 Bài báo khoa học đăng trên tạp chí trong nước trong danh mục của HĐ GSNN tính từ 0,5 điểm trở lên
01 Báo cáo tổng kết</t>
  </si>
  <si>
    <t>- 02 Bài báo khoa học đăng trên tạp chí trong nước trong danh mục của HĐ GSNN tính từ 0,5 điểm trở lên, 01 Báo cáo tổng kết</t>
  </si>
  <si>
    <t>- Mô hình khuôn
-Bản vẽ thiết kế khuôn
- Báo cáo tổng kết: Đạt yêu cầu báo cáo khoa học</t>
  </si>
  <si>
    <t>01 Bài báo khoa học đăng toàn văn trong kỷ yếu hội nghị, hội thảo quốc tế có chỉ số ISSN/ISBN
01 Báo cáo tổng kết</t>
  </si>
  <si>
    <t>01 Bài báo đăng trên hội thảo quốc tế có chỉ số suất bản ISSN/ISBN
01 Chương trình máy tính
01 Báo cáo tổng kết</t>
  </si>
  <si>
    <t>01 Bài báo khoa học đăng toàn văn trong kỷ yếu hội nghị, hội thảo có chỉ số ISSN/ISBN
01 Chương trình mô phỏng
01 Báo cáo tổng kết</t>
  </si>
  <si>
    <t>Mô hình quản lý hệ thống
Giao diện phần mềm, 01 Báo cáo tổng kết</t>
  </si>
  <si>
    <t>02 Bài báo được chấp nhận đăng trên tạp chí quốc tế khác viết bằng tiếng Anh có chỉ số ISSN
01 Chương trình mô phỏng
01 Chương trình nhúng thực nghiệm
01 Báo cáo tổng kết</t>
  </si>
  <si>
    <t>Mô hình mô phỏng trên MATLAB
01 Báo cáo tổng kết</t>
  </si>
  <si>
    <t>01 Bài báo khoa học đăng toàn văn trong kỷ yếu hội nghị, hội thảo quốc tế có chỉ số ISSN/ISBN
01 Báo cáo tổng kết đề tài</t>
  </si>
  <si>
    <t xml:space="preserve">01 Mô hình thử nghiệm nạp firmware từ xa cho vi điều khiển, 01 Báo cáo tổng kết
01 phần mềm Gateway trên ESP32 </t>
  </si>
  <si>
    <t>01 Mô hình gậy thông minh hoạt động được
01 Báo cáo tổng kết</t>
  </si>
  <si>
    <t>01 Bài báo khoa học đăng toàn văn trong kỷ yếu hội nghị, hội thảo quốc tế có chỉ số ISSN/ ISBN
01 Báo cáo tổng kết</t>
  </si>
  <si>
    <t>01 Bài báo khoa học đăng trên tạp chí trong nước trong danh mục của Hội đồng Giáo sư Nhà nước tính 0,5 điểm trở lên
01 Báo cáo tổng kết</t>
  </si>
  <si>
    <t xml:space="preserve">01 Bài báo khoa học đăng toàn văn trong kỷ yếu hội nghị, hội thảo quốc tế có chỉ số ISSN/ISBN
01 Báo cáo tổng kết </t>
  </si>
  <si>
    <t>01 Chương trình máy tính
01 Bài báo khoa học đăng toàn văn trong kỷ yếu hội nghị, hội thảo quốc tế có chỉ số ISSN/ISBN
01 Báo cáo tổng kết</t>
  </si>
  <si>
    <t>01 Mô hình hệ thống giám sát và cảnh báo dân dụng dùng PLC S7-1200
01 Báo cáo tổng kết</t>
  </si>
  <si>
    <t>1 Bài báo đăng trên tạp chí KHGDKT thuộc ngành được tính điểm 0.5 trong danh mục Hội đồng GSNN, 01 Báo cáo tổng kết</t>
  </si>
  <si>
    <t>Ma so</t>
  </si>
  <si>
    <t>tien chu</t>
  </si>
  <si>
    <t>Nguyễn Hoàng Gia Huy 24162046</t>
  </si>
  <si>
    <t xml:space="preserve">dot nghiem thu </t>
  </si>
  <si>
    <t>HỦY</t>
  </si>
  <si>
    <t>dang ky Link</t>
  </si>
  <si>
    <t>nop lai hd tm</t>
  </si>
  <si>
    <t>x</t>
  </si>
  <si>
    <t>nop bc đợt 1</t>
  </si>
  <si>
    <t>Nghiên cứu kỹ thuật học sâu cho bài toán chống giả mạo sinh trắc học khuôn mặt</t>
  </si>
  <si>
    <t>Bài báo 1</t>
  </si>
  <si>
    <t>Bài báo 2</t>
  </si>
  <si>
    <t>Tên mô hình / Thiết bị</t>
  </si>
  <si>
    <t>Email chủ nhiệm đt</t>
  </si>
  <si>
    <t>sdt cndt</t>
  </si>
  <si>
    <t>Email GVHD</t>
  </si>
  <si>
    <t>nhận hồ sơ</t>
  </si>
  <si>
    <t>Khoa Điện - Điện tử</t>
  </si>
  <si>
    <t>dời dọt 2</t>
  </si>
  <si>
    <t>24143164@student.hcmute.edu.vn</t>
  </si>
  <si>
    <t>0968514573</t>
  </si>
  <si>
    <t>Báo 0,5</t>
  </si>
  <si>
    <t>Điểm</t>
  </si>
  <si>
    <t>Xếp loại</t>
  </si>
  <si>
    <t>Xét thưởng</t>
  </si>
  <si>
    <t>Hội đồng</t>
  </si>
  <si>
    <t>Tốt</t>
  </si>
  <si>
    <t>khá</t>
  </si>
  <si>
    <t>22143069@student.hcmute.edu.vn</t>
  </si>
  <si>
    <t>Ngày ký hợp đồng</t>
  </si>
  <si>
    <t>QĐ</t>
  </si>
  <si>
    <t>Ngày HỌP HĐ</t>
  </si>
  <si>
    <t>18/6/2026</t>
  </si>
  <si>
    <t>26/01/2026</t>
  </si>
  <si>
    <t>27/01/2026</t>
  </si>
  <si>
    <t xml:space="preserve"> 27/01/2026</t>
  </si>
  <si>
    <t>ký nhận HĐ&amp;TM</t>
  </si>
  <si>
    <t>lấy rồi</t>
  </si>
  <si>
    <t>chưa nộp lại TM&amp;HĐ</t>
  </si>
  <si>
    <t>đã lấy</t>
  </si>
  <si>
    <t>tại khcn</t>
  </si>
  <si>
    <t>moi nop</t>
  </si>
  <si>
    <t>nop</t>
  </si>
  <si>
    <t xml:space="preserve">So tien thanh toan </t>
  </si>
  <si>
    <t xml:space="preserve">Tien chu thanh toan </t>
  </si>
  <si>
    <t>Công nghệ Thông tin</t>
  </si>
  <si>
    <t>huy</t>
  </si>
  <si>
    <t>Chua nộp HĐ TM</t>
  </si>
  <si>
    <t>2 Chua nộp HĐ TM</t>
  </si>
  <si>
    <t>hủy</t>
  </si>
  <si>
    <t>Hủy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</si>
</sst>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28" x14ac:knownFonts="1">
    <font>
      <sz val="10"/>
      <color rgb="FF000000"/>
      <name val="Arial"/>
      <scheme val="minor"/>
    </font>
    <font>
      <sz val="12"/>
      <color rgb="FF000000"/>
      <name val="Times New Roman"/>
      <family val="1"/>
    </font>
    <font>
      <sz val="12"/>
      <color theme="1"/>
      <name val="Times New Roman"/>
      <family val="1"/>
    </font>
    <font>
      <sz val="13"/>
      <color theme="1"/>
      <name val="Times New Roman"/>
      <family val="1"/>
    </font>
    <font>
      <b/>
      <sz val="13"/>
      <color theme="1"/>
      <name val="Times New Roman"/>
      <family val="1"/>
    </font>
    <font>
      <sz val="13"/>
      <color rgb="FF000000"/>
      <name val="Times New Roman"/>
      <family val="1"/>
    </font>
    <font>
      <b/>
      <sz val="12"/>
      <color rgb="FFFF0000"/>
      <name val="Times New Roman"/>
      <family val="1"/>
    </font>
    <font>
      <b/>
      <sz val="15"/>
      <color theme="1"/>
      <name val="Times New Roman"/>
      <family val="1"/>
    </font>
    <font>
      <b/>
      <sz val="12"/>
      <color theme="1"/>
      <name val="Times New Roman"/>
      <family val="1"/>
    </font>
    <font>
      <b/>
      <sz val="12"/>
      <color rgb="FF000000"/>
      <name val="Times New Roman"/>
      <family val="1"/>
    </font>
    <font>
      <b/>
      <i/>
      <sz val="12"/>
      <color rgb="FFFF0000"/>
      <name val="Times New Roman"/>
      <family val="1"/>
    </font>
    <font>
      <sz val="15"/>
      <color rgb="FF000000"/>
      <name val="Times New Roman"/>
      <family val="1"/>
    </font>
    <font>
      <b/>
      <u/>
      <sz val="12"/>
      <color theme="1"/>
      <name val="Times New Roman"/>
      <family val="1"/>
    </font>
    <font>
      <b/>
      <u/>
      <sz val="12"/>
      <color rgb="FFFF0000"/>
      <name val="Times New Roman"/>
      <family val="1"/>
    </font>
    <font>
      <sz val="12"/>
      <name val="Times New Roman"/>
      <family val="1"/>
    </font>
    <font>
      <i/>
      <sz val="13"/>
      <color theme="1"/>
      <name val="Times New Roman"/>
      <family val="1"/>
    </font>
    <font>
      <sz val="12"/>
      <name val="VNI-Times"/>
    </font>
    <font>
      <b/>
      <sz val="12"/>
      <name val="Times New Roman"/>
      <family val="1"/>
    </font>
    <font>
      <sz val="10"/>
      <color theme="1"/>
      <name val="Times New Roman"/>
      <family val="1"/>
    </font>
    <font>
      <b/>
      <sz val="10"/>
      <color theme="1"/>
      <name val="Times New Roman"/>
      <family val="1"/>
    </font>
    <font>
      <b/>
      <sz val="11"/>
      <name val="Times New Roman"/>
      <family val="1"/>
    </font>
    <font>
      <sz val="10"/>
      <name val="Times New Roman"/>
      <family val="1"/>
    </font>
    <font>
      <b/>
      <sz val="10"/>
      <color rgb="FFFF0000"/>
      <name val="Times New Roman"/>
      <family val="1"/>
    </font>
    <font>
      <b/>
      <sz val="10"/>
      <name val="Times New Roman"/>
      <family val="1"/>
    </font>
    <font>
      <sz val="10"/>
      <color rgb="FF000000"/>
      <name val="Times New Roman"/>
      <family val="1"/>
    </font>
    <font>
      <u/>
      <sz val="10"/>
      <color theme="10"/>
      <name val="Arial"/>
      <family val="2"/>
      <scheme val="minor"/>
    </font>
    <font>
      <b/>
      <sz val="10"/>
      <color rgb="FF000000"/>
      <name val="Times New Roman"/>
      <family val="1"/>
    </font>
    <font>
      <sz val="10"/>
      <color rgb="FF9C0006"/>
      <name val="Times New Roman"/>
      <family val="1"/>
    </font>
  </fonts>
  <fills count="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00"/>
        <bgColor indexed="64"/>
      </patternFill>
    </fill>
    <fill>
      <patternFill patternType="solid">
        <fgColor rgb="FF92D050"/>
        <bgColor indexed="64"/>
      </patternFill>
    </fill>
    <fill>
      <patternFill patternType="solid">
        <fgColor rgb="FFFF66FF"/>
        <bgColor indexed="64"/>
      </patternFill>
    </fill>
    <fill>
      <patternFill patternType="solid">
        <fgColor theme="7" tint="0.79998168889431442"/>
        <bgColor indexed="64"/>
      </patternFill>
    </fill>
  </fills>
  <borders count="13">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s>
  <cellStyleXfs count="3">
    <xf numFmtId="0" fontId="0" fillId="0" borderId="0"/>
    <xf numFmtId="43" fontId="16" fillId="0" borderId="0" applyFont="0" applyFill="0" applyBorder="0" applyAlignment="0" applyProtection="0"/>
    <xf numFmtId="0" fontId="25" fillId="0" borderId="0" applyNumberFormat="0" applyFill="0" applyBorder="0" applyAlignment="0" applyProtection="0"/>
  </cellStyleXfs>
  <cellXfs count="142">
    <xf numFmtId="0" fontId="0" fillId="0" borderId="0" xfId="0"/>
    <xf numFmtId="0" fontId="1" fillId="0" borderId="5" xfId="0" applyFont="1" applyBorder="1" applyAlignment="1">
      <alignment vertical="center" wrapText="1"/>
    </xf>
    <xf numFmtId="0" fontId="2" fillId="0" borderId="5" xfId="0" quotePrefix="1" applyFont="1" applyBorder="1" applyAlignment="1">
      <alignment vertical="center" wrapText="1"/>
    </xf>
    <xf numFmtId="0" fontId="3" fillId="0" borderId="0" xfId="0" applyFont="1" applyAlignment="1">
      <alignment vertical="center" wrapText="1"/>
    </xf>
    <xf numFmtId="0" fontId="5" fillId="0" borderId="0" xfId="0" applyFont="1"/>
    <xf numFmtId="3" fontId="3" fillId="0" borderId="0" xfId="0" applyNumberFormat="1" applyFont="1" applyAlignment="1">
      <alignment horizontal="right" vertical="center"/>
    </xf>
    <xf numFmtId="0" fontId="6" fillId="0" borderId="0" xfId="0" applyFont="1" applyAlignment="1">
      <alignment horizontal="center"/>
    </xf>
    <xf numFmtId="0" fontId="1" fillId="0" borderId="0" xfId="0" applyFont="1" applyAlignment="1">
      <alignment horizontal="left"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3" fontId="2" fillId="0" borderId="0" xfId="0" applyNumberFormat="1" applyFont="1" applyAlignment="1">
      <alignment horizontal="right" vertical="center"/>
    </xf>
    <xf numFmtId="0" fontId="2" fillId="0" borderId="0" xfId="0" applyFont="1" applyAlignment="1">
      <alignment vertical="top"/>
    </xf>
    <xf numFmtId="0" fontId="1" fillId="0" borderId="0" xfId="0" applyFont="1"/>
    <xf numFmtId="0" fontId="8" fillId="0" borderId="1" xfId="0" applyFont="1" applyBorder="1" applyAlignment="1">
      <alignment horizontal="center"/>
    </xf>
    <xf numFmtId="0" fontId="2" fillId="0" borderId="1" xfId="0" applyFont="1" applyBorder="1" applyAlignment="1">
      <alignment horizontal="left" wrapText="1"/>
    </xf>
    <xf numFmtId="0" fontId="2" fillId="0" borderId="1" xfId="0" applyFont="1" applyBorder="1" applyAlignment="1">
      <alignment wrapText="1"/>
    </xf>
    <xf numFmtId="3" fontId="2" fillId="0" borderId="1" xfId="0" applyNumberFormat="1" applyFont="1" applyBorder="1" applyAlignment="1">
      <alignment horizontal="right" vertical="center"/>
    </xf>
    <xf numFmtId="0" fontId="2" fillId="0" borderId="1" xfId="0" applyFont="1" applyBorder="1"/>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vertical="center" wrapText="1"/>
    </xf>
    <xf numFmtId="3" fontId="8" fillId="0" borderId="3" xfId="0" applyNumberFormat="1" applyFont="1" applyBorder="1" applyAlignment="1">
      <alignment horizontal="center" vertical="center" wrapText="1"/>
    </xf>
    <xf numFmtId="0" fontId="9" fillId="0" borderId="0" xfId="0" applyFont="1" applyAlignment="1">
      <alignment horizontal="center" vertical="center" wrapText="1"/>
    </xf>
    <xf numFmtId="3" fontId="6" fillId="0" borderId="4" xfId="0" applyNumberFormat="1" applyFont="1" applyBorder="1" applyAlignment="1">
      <alignment horizontal="right" vertical="center"/>
    </xf>
    <xf numFmtId="0" fontId="2" fillId="0" borderId="4" xfId="0" applyFont="1" applyBorder="1"/>
    <xf numFmtId="0" fontId="2" fillId="0" borderId="5" xfId="0" applyFont="1" applyBorder="1" applyAlignment="1">
      <alignment horizontal="center" vertical="center" wrapText="1"/>
    </xf>
    <xf numFmtId="0" fontId="1" fillId="0" borderId="5" xfId="0" applyFont="1" applyBorder="1" applyAlignment="1">
      <alignment horizontal="left" vertical="center" wrapText="1"/>
    </xf>
    <xf numFmtId="0" fontId="2" fillId="0" borderId="5" xfId="0" applyFont="1" applyBorder="1" applyAlignment="1">
      <alignment vertical="center" wrapText="1"/>
    </xf>
    <xf numFmtId="0" fontId="2" fillId="0" borderId="5" xfId="0" applyFont="1" applyBorder="1" applyAlignment="1">
      <alignment horizontal="left" vertical="center" wrapText="1"/>
    </xf>
    <xf numFmtId="0" fontId="2" fillId="2" borderId="5" xfId="0" applyFont="1" applyFill="1" applyBorder="1" applyAlignment="1">
      <alignment vertical="center" wrapText="1"/>
    </xf>
    <xf numFmtId="3" fontId="1" fillId="0" borderId="5" xfId="0" applyNumberFormat="1" applyFont="1" applyBorder="1" applyAlignment="1">
      <alignment horizontal="right" vertical="center" wrapText="1"/>
    </xf>
    <xf numFmtId="0" fontId="1" fillId="0" borderId="0" xfId="0" applyFont="1" applyAlignment="1">
      <alignment vertical="center" wrapText="1"/>
    </xf>
    <xf numFmtId="0" fontId="2" fillId="3" borderId="5" xfId="0" applyFont="1" applyFill="1" applyBorder="1" applyAlignment="1">
      <alignment vertical="center" wrapText="1"/>
    </xf>
    <xf numFmtId="0" fontId="3" fillId="0" borderId="0" xfId="0" applyFont="1" applyAlignment="1">
      <alignment horizontal="left" vertical="center" wrapText="1"/>
    </xf>
    <xf numFmtId="3" fontId="2" fillId="0" borderId="5" xfId="0" applyNumberFormat="1" applyFont="1" applyBorder="1" applyAlignment="1">
      <alignment horizontal="right"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1" fillId="3" borderId="5" xfId="0" applyFont="1" applyFill="1" applyBorder="1" applyAlignment="1">
      <alignment vertical="center" wrapText="1"/>
    </xf>
    <xf numFmtId="3" fontId="1" fillId="3" borderId="5" xfId="0" applyNumberFormat="1" applyFont="1" applyFill="1" applyBorder="1" applyAlignment="1">
      <alignment horizontal="right" vertical="center" wrapText="1"/>
    </xf>
    <xf numFmtId="0" fontId="1" fillId="3" borderId="0" xfId="0" applyFont="1" applyFill="1" applyAlignment="1">
      <alignment vertical="center" wrapText="1"/>
    </xf>
    <xf numFmtId="0" fontId="2" fillId="0" borderId="2" xfId="0" applyFont="1" applyBorder="1" applyAlignment="1">
      <alignment vertical="center" wrapText="1"/>
    </xf>
    <xf numFmtId="3" fontId="9" fillId="0" borderId="2" xfId="0" applyNumberFormat="1" applyFont="1" applyBorder="1" applyAlignment="1">
      <alignment horizontal="right" vertical="center"/>
    </xf>
    <xf numFmtId="0" fontId="1" fillId="0" borderId="2" xfId="0" applyFont="1" applyBorder="1" applyAlignment="1">
      <alignment vertical="center"/>
    </xf>
    <xf numFmtId="0" fontId="1" fillId="0" borderId="0" xfId="0" applyFont="1" applyAlignment="1">
      <alignment vertical="center"/>
    </xf>
    <xf numFmtId="0" fontId="8"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xf>
    <xf numFmtId="3" fontId="1" fillId="0" borderId="0" xfId="0" applyNumberFormat="1" applyFont="1" applyAlignment="1">
      <alignment horizontal="right" vertical="center"/>
    </xf>
    <xf numFmtId="0" fontId="2" fillId="0" borderId="0" xfId="0" applyFont="1" applyAlignment="1">
      <alignment vertical="center"/>
    </xf>
    <xf numFmtId="0" fontId="2" fillId="0" borderId="0" xfId="0" applyFont="1" applyAlignment="1">
      <alignment horizontal="center"/>
    </xf>
    <xf numFmtId="0" fontId="2" fillId="0" borderId="0" xfId="0" applyFont="1" applyAlignment="1">
      <alignment horizontal="left" wrapText="1"/>
    </xf>
    <xf numFmtId="0" fontId="2" fillId="0" borderId="0" xfId="0" applyFont="1"/>
    <xf numFmtId="0" fontId="1" fillId="0" borderId="0" xfId="0" applyFont="1" applyAlignment="1">
      <alignment horizontal="center"/>
    </xf>
    <xf numFmtId="0" fontId="1" fillId="0" borderId="0" xfId="0" applyFont="1" applyAlignment="1">
      <alignment horizontal="left" vertical="center" wrapText="1"/>
    </xf>
    <xf numFmtId="0" fontId="2" fillId="0" borderId="5" xfId="0" applyFont="1" applyBorder="1" applyAlignment="1">
      <alignment wrapText="1"/>
    </xf>
    <xf numFmtId="0" fontId="3" fillId="0" borderId="0" xfId="0" applyFont="1" applyAlignment="1">
      <alignment horizontal="center" vertical="center"/>
    </xf>
    <xf numFmtId="0" fontId="5" fillId="0" borderId="0" xfId="0" applyFont="1" applyAlignment="1">
      <alignment vertical="center"/>
    </xf>
    <xf numFmtId="3" fontId="3" fillId="0" borderId="0" xfId="0" applyNumberFormat="1" applyFont="1" applyAlignment="1">
      <alignment vertical="center"/>
    </xf>
    <xf numFmtId="0" fontId="3" fillId="0" borderId="0" xfId="0" applyFont="1" applyAlignment="1">
      <alignment vertical="center"/>
    </xf>
    <xf numFmtId="0" fontId="2" fillId="0" borderId="11" xfId="0" applyFont="1" applyBorder="1" applyAlignment="1">
      <alignment horizontal="center" vertical="center" wrapText="1"/>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2" fillId="0" borderId="11" xfId="0" applyFont="1" applyBorder="1" applyAlignment="1">
      <alignment vertical="center" wrapText="1"/>
    </xf>
    <xf numFmtId="0" fontId="2" fillId="0" borderId="11" xfId="0" quotePrefix="1" applyFont="1" applyBorder="1" applyAlignment="1">
      <alignment vertical="center" wrapText="1"/>
    </xf>
    <xf numFmtId="3" fontId="1" fillId="0" borderId="11" xfId="0" applyNumberFormat="1" applyFont="1" applyBorder="1" applyAlignment="1">
      <alignment horizontal="righ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10" xfId="0" applyFont="1" applyBorder="1" applyAlignment="1">
      <alignment horizontal="center" vertical="center" wrapText="1"/>
    </xf>
    <xf numFmtId="0" fontId="1" fillId="0" borderId="10" xfId="0" applyFont="1" applyBorder="1" applyAlignment="1">
      <alignment horizontal="left" vertical="center" wrapText="1"/>
    </xf>
    <xf numFmtId="0" fontId="1" fillId="0" borderId="10" xfId="0" applyFont="1" applyBorder="1" applyAlignment="1">
      <alignment vertical="center" wrapText="1"/>
    </xf>
    <xf numFmtId="0" fontId="1" fillId="0" borderId="10" xfId="0" applyFont="1" applyBorder="1" applyAlignment="1">
      <alignment wrapText="1"/>
    </xf>
    <xf numFmtId="3" fontId="1" fillId="0" borderId="10" xfId="0" applyNumberFormat="1" applyFont="1" applyBorder="1" applyAlignment="1">
      <alignment horizontal="right" vertical="center" wrapText="1"/>
    </xf>
    <xf numFmtId="0" fontId="2" fillId="0" borderId="10" xfId="0" applyFont="1" applyBorder="1" applyAlignment="1">
      <alignment vertical="center" wrapText="1"/>
    </xf>
    <xf numFmtId="0" fontId="2" fillId="0" borderId="12" xfId="0" applyFont="1" applyBorder="1" applyAlignment="1">
      <alignment vertical="center" wrapText="1"/>
    </xf>
    <xf numFmtId="0" fontId="2" fillId="0" borderId="3" xfId="0" applyFont="1" applyBorder="1" applyAlignment="1">
      <alignment vertical="center" wrapText="1"/>
    </xf>
    <xf numFmtId="3" fontId="2" fillId="0" borderId="2" xfId="0" applyNumberFormat="1" applyFont="1" applyBorder="1" applyAlignment="1">
      <alignment horizontal="right" vertical="center" wrapText="1"/>
    </xf>
    <xf numFmtId="0" fontId="2" fillId="0" borderId="10" xfId="0" applyFont="1" applyBorder="1" applyAlignment="1">
      <alignment horizontal="left" vertical="center" wrapText="1"/>
    </xf>
    <xf numFmtId="0" fontId="2" fillId="0" borderId="10" xfId="0" quotePrefix="1" applyFont="1" applyBorder="1" applyAlignment="1">
      <alignment vertical="center" wrapText="1"/>
    </xf>
    <xf numFmtId="0" fontId="17" fillId="0" borderId="10" xfId="0" applyFont="1" applyBorder="1" applyAlignment="1">
      <alignment horizontal="center" vertical="top" wrapText="1"/>
    </xf>
    <xf numFmtId="3" fontId="17" fillId="0" borderId="10" xfId="0" applyNumberFormat="1" applyFont="1" applyBorder="1" applyAlignment="1">
      <alignment horizontal="center" vertical="top" wrapText="1"/>
    </xf>
    <xf numFmtId="0" fontId="18" fillId="0" borderId="0" xfId="0" applyFont="1" applyFill="1" applyAlignment="1">
      <alignment horizontal="left" vertical="top" wrapText="1"/>
    </xf>
    <xf numFmtId="0" fontId="18" fillId="0" borderId="0" xfId="0" applyFont="1" applyFill="1" applyAlignment="1">
      <alignment horizontal="center" vertical="top" wrapText="1"/>
    </xf>
    <xf numFmtId="0" fontId="18" fillId="0" borderId="10" xfId="0" applyFont="1" applyFill="1" applyBorder="1" applyAlignment="1">
      <alignment horizontal="center" vertical="top" wrapText="1"/>
    </xf>
    <xf numFmtId="0" fontId="18" fillId="0" borderId="10" xfId="0" applyFont="1" applyFill="1" applyBorder="1" applyAlignment="1">
      <alignment vertical="top" wrapText="1"/>
    </xf>
    <xf numFmtId="49" fontId="18" fillId="0" borderId="10" xfId="0" applyNumberFormat="1" applyFont="1" applyFill="1" applyBorder="1" applyAlignment="1">
      <alignment vertical="top" wrapText="1"/>
    </xf>
    <xf numFmtId="3" fontId="18" fillId="0" borderId="10" xfId="0" applyNumberFormat="1" applyFont="1" applyFill="1" applyBorder="1" applyAlignment="1">
      <alignment vertical="top" wrapText="1"/>
    </xf>
    <xf numFmtId="0" fontId="18" fillId="0" borderId="0" xfId="0" applyFont="1" applyFill="1" applyAlignment="1">
      <alignment vertical="top" wrapText="1"/>
    </xf>
    <xf numFmtId="0" fontId="18" fillId="0" borderId="10" xfId="0" quotePrefix="1" applyFont="1" applyFill="1" applyBorder="1" applyAlignment="1">
      <alignment vertical="top" wrapText="1"/>
    </xf>
    <xf numFmtId="3" fontId="18" fillId="0" borderId="10" xfId="1" applyNumberFormat="1" applyFont="1" applyFill="1" applyBorder="1" applyAlignment="1">
      <alignment vertical="top" wrapText="1"/>
    </xf>
    <xf numFmtId="164" fontId="18" fillId="0" borderId="10" xfId="0" applyNumberFormat="1" applyFont="1" applyFill="1" applyBorder="1" applyAlignment="1">
      <alignment vertical="top" wrapText="1"/>
    </xf>
    <xf numFmtId="164" fontId="18" fillId="0" borderId="10" xfId="1" applyNumberFormat="1" applyFont="1" applyFill="1" applyBorder="1" applyAlignment="1">
      <alignment vertical="top"/>
    </xf>
    <xf numFmtId="164" fontId="18" fillId="0" borderId="10" xfId="0" applyNumberFormat="1" applyFont="1" applyFill="1" applyBorder="1" applyAlignment="1">
      <alignment vertical="top"/>
    </xf>
    <xf numFmtId="3" fontId="18" fillId="0" borderId="10" xfId="0" applyNumberFormat="1" applyFont="1" applyFill="1" applyBorder="1" applyAlignment="1">
      <alignment vertical="top"/>
    </xf>
    <xf numFmtId="3" fontId="19" fillId="0" borderId="0" xfId="0" applyNumberFormat="1" applyFont="1" applyFill="1" applyAlignment="1">
      <alignment horizontal="right" vertical="top" wrapText="1"/>
    </xf>
    <xf numFmtId="0" fontId="18" fillId="0" borderId="0" xfId="0" applyFont="1" applyFill="1" applyAlignment="1">
      <alignment horizontal="right" vertical="top" wrapText="1"/>
    </xf>
    <xf numFmtId="0" fontId="18" fillId="4" borderId="10" xfId="0" applyFont="1" applyFill="1" applyBorder="1" applyAlignment="1">
      <alignment vertical="top" wrapText="1"/>
    </xf>
    <xf numFmtId="0" fontId="18" fillId="0" borderId="10" xfId="0" applyNumberFormat="1" applyFont="1" applyFill="1" applyBorder="1" applyAlignment="1">
      <alignment vertical="top" wrapText="1"/>
    </xf>
    <xf numFmtId="0" fontId="18" fillId="4" borderId="10" xfId="0" applyNumberFormat="1" applyFont="1" applyFill="1" applyBorder="1" applyAlignment="1">
      <alignment vertical="top" wrapText="1"/>
    </xf>
    <xf numFmtId="0" fontId="20" fillId="0" borderId="10" xfId="0" applyFont="1" applyBorder="1" applyAlignment="1">
      <alignment horizontal="center" vertical="top" wrapText="1"/>
    </xf>
    <xf numFmtId="2" fontId="21" fillId="0" borderId="10" xfId="0" applyNumberFormat="1" applyFont="1" applyBorder="1" applyAlignment="1">
      <alignment horizontal="left" vertical="top" wrapText="1"/>
    </xf>
    <xf numFmtId="0" fontId="23" fillId="0" borderId="10" xfId="0" applyFont="1" applyFill="1" applyBorder="1" applyAlignment="1">
      <alignment horizontal="center" vertical="top" wrapText="1"/>
    </xf>
    <xf numFmtId="0" fontId="18" fillId="5" borderId="10" xfId="0" applyFont="1" applyFill="1" applyBorder="1" applyAlignment="1">
      <alignment vertical="top" wrapText="1"/>
    </xf>
    <xf numFmtId="0" fontId="22" fillId="0" borderId="10" xfId="0" applyFont="1" applyFill="1" applyBorder="1" applyAlignment="1">
      <alignment horizontal="center" vertical="top" wrapText="1"/>
    </xf>
    <xf numFmtId="0" fontId="22" fillId="0" borderId="0" xfId="0" applyFont="1" applyFill="1" applyAlignment="1">
      <alignment horizontal="center" vertical="top" wrapText="1"/>
    </xf>
    <xf numFmtId="0" fontId="22" fillId="4" borderId="10" xfId="0" applyFont="1" applyFill="1" applyBorder="1" applyAlignment="1">
      <alignment horizontal="center" vertical="top" wrapText="1"/>
    </xf>
    <xf numFmtId="0" fontId="23" fillId="4" borderId="10" xfId="0" applyFont="1" applyFill="1" applyBorder="1" applyAlignment="1">
      <alignment horizontal="center" vertical="top" wrapText="1"/>
    </xf>
    <xf numFmtId="49" fontId="21" fillId="0" borderId="10" xfId="0" applyNumberFormat="1" applyFont="1" applyBorder="1" applyAlignment="1">
      <alignment horizontal="left" vertical="top" wrapText="1"/>
    </xf>
    <xf numFmtId="0" fontId="18" fillId="4" borderId="10" xfId="0" quotePrefix="1" applyFont="1" applyFill="1" applyBorder="1" applyAlignment="1">
      <alignment vertical="top" wrapText="1"/>
    </xf>
    <xf numFmtId="0" fontId="18" fillId="6" borderId="10" xfId="0" applyFont="1" applyFill="1" applyBorder="1" applyAlignment="1">
      <alignment horizontal="center" vertical="top" wrapText="1"/>
    </xf>
    <xf numFmtId="2" fontId="25" fillId="0" borderId="10" xfId="2" applyNumberFormat="1" applyBorder="1" applyAlignment="1">
      <alignment horizontal="left" vertical="top" wrapText="1"/>
    </xf>
    <xf numFmtId="0" fontId="26" fillId="0" borderId="10" xfId="0" applyFont="1" applyBorder="1" applyAlignment="1">
      <alignment horizontal="center" vertical="top" wrapText="1"/>
    </xf>
    <xf numFmtId="0" fontId="24" fillId="4" borderId="10" xfId="0" applyFont="1" applyFill="1" applyBorder="1" applyAlignment="1">
      <alignment horizontal="right" vertical="top" wrapText="1"/>
    </xf>
    <xf numFmtId="49" fontId="18" fillId="4" borderId="10" xfId="0" applyNumberFormat="1" applyFont="1" applyFill="1" applyBorder="1" applyAlignment="1">
      <alignment vertical="top" wrapText="1"/>
    </xf>
    <xf numFmtId="49" fontId="18" fillId="5" borderId="10" xfId="0" applyNumberFormat="1" applyFont="1" applyFill="1" applyBorder="1" applyAlignment="1">
      <alignment vertical="top" wrapText="1"/>
    </xf>
    <xf numFmtId="0" fontId="18" fillId="4" borderId="10" xfId="0" applyFont="1" applyFill="1" applyBorder="1" applyAlignment="1">
      <alignment horizontal="center" vertical="top" wrapText="1"/>
    </xf>
    <xf numFmtId="0" fontId="19" fillId="0" borderId="10" xfId="0" applyFont="1" applyFill="1" applyBorder="1" applyAlignment="1">
      <alignment vertical="top" wrapText="1"/>
    </xf>
    <xf numFmtId="0" fontId="19" fillId="0" borderId="10" xfId="0" applyFont="1" applyFill="1" applyBorder="1" applyAlignment="1">
      <alignment horizontal="center" vertical="top" wrapText="1"/>
    </xf>
    <xf numFmtId="0" fontId="18" fillId="7" borderId="10" xfId="0" applyFont="1" applyFill="1" applyBorder="1" applyAlignment="1">
      <alignment horizontal="center" vertical="top" wrapText="1"/>
    </xf>
    <xf numFmtId="0" fontId="18" fillId="7" borderId="10" xfId="0" applyFont="1" applyFill="1" applyBorder="1" applyAlignment="1">
      <alignment vertical="top" wrapText="1"/>
    </xf>
    <xf numFmtId="16" fontId="18" fillId="4" borderId="10" xfId="0" applyNumberFormat="1" applyFont="1" applyFill="1" applyBorder="1" applyAlignment="1">
      <alignment vertical="top" wrapText="1"/>
    </xf>
    <xf numFmtId="0" fontId="27" fillId="0" borderId="0" xfId="0" applyFont="1" applyAlignment="1">
      <alignment vertical="top" wrapText="1"/>
    </xf>
    <xf numFmtId="0" fontId="19" fillId="0" borderId="0" xfId="0" applyFont="1" applyFill="1" applyBorder="1" applyAlignment="1">
      <alignment horizontal="center" vertical="center" wrapText="1"/>
    </xf>
    <xf numFmtId="0" fontId="3" fillId="0" borderId="0" xfId="0" applyFont="1" applyAlignment="1">
      <alignment vertical="center" wrapText="1"/>
    </xf>
    <xf numFmtId="0" fontId="5" fillId="0" borderId="0" xfId="0" applyFont="1"/>
    <xf numFmtId="0" fontId="4" fillId="0" borderId="0" xfId="0" applyFont="1" applyAlignment="1">
      <alignment horizontal="center" vertical="center" wrapText="1"/>
    </xf>
    <xf numFmtId="0" fontId="6" fillId="0" borderId="8" xfId="0" applyFont="1" applyBorder="1"/>
    <xf numFmtId="0" fontId="14" fillId="0" borderId="9" xfId="0" applyFont="1" applyBorder="1"/>
    <xf numFmtId="0" fontId="14" fillId="0" borderId="6" xfId="0" applyFont="1" applyBorder="1"/>
    <xf numFmtId="0" fontId="8" fillId="0" borderId="7" xfId="0" applyFont="1" applyBorder="1" applyAlignment="1">
      <alignment horizontal="center" vertical="center"/>
    </xf>
    <xf numFmtId="0" fontId="14" fillId="0" borderId="1" xfId="0" applyFont="1" applyBorder="1"/>
    <xf numFmtId="0" fontId="14" fillId="0" borderId="3" xfId="0" applyFont="1" applyBorder="1"/>
    <xf numFmtId="0" fontId="10" fillId="0" borderId="0" xfId="0" applyFont="1" applyAlignment="1">
      <alignment horizontal="center" vertical="center" wrapText="1"/>
    </xf>
    <xf numFmtId="0" fontId="1" fillId="0" borderId="0" xfId="0" applyFont="1"/>
    <xf numFmtId="0" fontId="5" fillId="0" borderId="0" xfId="0" applyFont="1" applyAlignment="1">
      <alignment wrapText="1"/>
    </xf>
    <xf numFmtId="0" fontId="15" fillId="0" borderId="0" xfId="0" applyFont="1" applyAlignment="1">
      <alignment horizontal="center" vertical="center" wrapText="1"/>
    </xf>
    <xf numFmtId="0" fontId="7" fillId="0" borderId="0" xfId="0" applyFont="1" applyAlignment="1">
      <alignment horizontal="center"/>
    </xf>
    <xf numFmtId="0" fontId="11" fillId="0" borderId="0" xfId="0" applyFont="1"/>
    <xf numFmtId="0" fontId="2" fillId="0" borderId="0" xfId="0" applyFont="1" applyAlignment="1">
      <alignment horizontal="center"/>
    </xf>
    <xf numFmtId="0" fontId="8" fillId="0" borderId="0" xfId="0" applyFont="1" applyAlignment="1">
      <alignment horizontal="center" wrapText="1"/>
    </xf>
    <xf numFmtId="0" fontId="12" fillId="0" borderId="0" xfId="0" applyFont="1" applyAlignment="1">
      <alignment horizontal="center" wrapText="1"/>
    </xf>
    <xf numFmtId="0" fontId="13" fillId="0" borderId="0" xfId="0" applyFont="1" applyAlignment="1">
      <alignment horizontal="center"/>
    </xf>
  </cellXfs>
  <cellStyles count="3">
    <cellStyle name="Comma 2" xfId="1"/>
    <cellStyle name="Hyperlink" xfId="2" builtinId="8"/>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NH%20M&#7908;C%20&#272;&#258;NG%20K&#221;%20&#272;&#7872;%20T&#192;I%20NCKH%20SV%202026-tri&#7875;n%20khai%20k&#253;%20h&#7907;p%20&#273;&#7891;ng%2021.1%20-%20F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rge%20DANH%20M&#7908;C%20&#272;&#258;NG%20K&#221;%20&#272;&#7872;%20T&#192;I%20NCKH%20SV%202026-tri&#7875;n%20khai%20k&#253;%20h&#7907;p%20&#273;&#7891;ng%2021.1%20-%20F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ký)"/>
      <sheetName val="IN"/>
      <sheetName val="DM Đề tài SV ký HĐ (thay đổi)"/>
      <sheetName val="DMDT"/>
      <sheetName val="Check voi DM truoc day"/>
      <sheetName val="TỔNG ĐT CÁC KHOA"/>
      <sheetName val="Sheet1"/>
    </sheetNames>
    <sheetDataSet>
      <sheetData sheetId="0"/>
      <sheetData sheetId="1"/>
      <sheetData sheetId="2">
        <row r="1">
          <cell r="B1" t="str">
            <v>Ma so DT</v>
          </cell>
          <cell r="C1" t="str">
            <v>da nhan TM&amp;HD</v>
          </cell>
          <cell r="D1" t="str">
            <v>Ten DT</v>
          </cell>
          <cell r="E1" t="str">
            <v>CNDT MSSV</v>
          </cell>
          <cell r="F1" t="str">
            <v>Ten CNDT</v>
          </cell>
          <cell r="G1" t="str">
            <v>Khoa CNDT</v>
          </cell>
          <cell r="H1" t="str">
            <v>MSSV CNDT</v>
          </cell>
          <cell r="I1" t="str">
            <v>TVDT MSSV</v>
          </cell>
          <cell r="J1" t="str">
            <v>GVHD</v>
          </cell>
          <cell r="K1" t="str">
            <v>DVCT GVHD</v>
          </cell>
          <cell r="L1" t="str">
            <v>Email GVHD</v>
          </cell>
          <cell r="M1" t="str">
            <v>Du kien kq dat duoc</v>
          </cell>
          <cell r="N1" t="str">
            <v>Kinh phi (VND)</v>
          </cell>
          <cell r="O1" t="str">
            <v>Tien chu</v>
          </cell>
          <cell r="P1" t="str">
            <v>Email CNDT</v>
          </cell>
          <cell r="Q1" t="str">
            <v>SDT CNDT</v>
          </cell>
        </row>
        <row r="2">
          <cell r="B2" t="str">
            <v>SV2026-01</v>
          </cell>
          <cell r="C2" t="str">
            <v>X</v>
          </cell>
          <cell r="D2" t="str">
            <v>Ứng dụng mô hình học sâu đa nguồn trong mô hình chẩn đoán bệnh ung thư</v>
          </cell>
          <cell r="E2" t="str">
            <v>Đặng Cửu Dương 22110124</v>
          </cell>
          <cell r="F2" t="str">
            <v xml:space="preserve">Đặng Cửu Dương </v>
          </cell>
          <cell r="G2" t="str">
            <v>Công nghệ Thông tin</v>
          </cell>
          <cell r="H2" t="str">
            <v>22110124</v>
          </cell>
          <cell r="I2" t="str">
            <v>Lê Thị Mỹ Dung 22110117</v>
          </cell>
          <cell r="J2" t="str">
            <v>Hoàng Văn Dũng</v>
          </cell>
          <cell r="K2" t="str">
            <v>Khoa CNTT</v>
          </cell>
          <cell r="L2" t="str">
            <v>dunghv@hcmute.edu.vn</v>
          </cell>
          <cell r="M2" t="str">
            <v>- Bài báo khoa học đăng trên tạp chí trong nước trong danh mục của HĐ GSNN tính từ 0,5 điểm trở lên
- Chương trình máy tính
- Báo cáo tổng kết</v>
          </cell>
          <cell r="N2">
            <v>15000000</v>
          </cell>
          <cell r="O2" t="str">
            <v>Mười lăm triệu đồng</v>
          </cell>
          <cell r="P2" t="str">
            <v>22110124@student.hcmute.edu.vn</v>
          </cell>
          <cell r="Q2" t="str">
            <v>0764884299</v>
          </cell>
        </row>
        <row r="3">
          <cell r="B3" t="str">
            <v>SV2026-02</v>
          </cell>
          <cell r="C3" t="str">
            <v>X</v>
          </cell>
          <cell r="D3" t="str">
            <v>Nghiên cứu kỹ thuật học sâu cho bài toán chống giả mạo sinh trắc  học khuôn mặt</v>
          </cell>
          <cell r="E3" t="str">
            <v>Đinh Xuân Huy 23110102</v>
          </cell>
          <cell r="F3" t="str">
            <v xml:space="preserve">Đinh Xuân Huy </v>
          </cell>
          <cell r="G3" t="str">
            <v>Công nghệ Thông tin</v>
          </cell>
          <cell r="H3" t="str">
            <v>23110102</v>
          </cell>
          <cell r="I3" t="str">
            <v>Phùng Lê Thanh Quân 23110145	
Vũ Minh Đức 23110094
Nguyễn Đức Thịnh 23110156</v>
          </cell>
          <cell r="J3" t="str">
            <v>Hoàng Văn Dũng</v>
          </cell>
          <cell r="K3" t="str">
            <v>Khoa CNTT</v>
          </cell>
          <cell r="L3" t="str">
            <v>dunghv@hcmute.edu.vn</v>
          </cell>
          <cell r="M3" t="str">
            <v>- Bài báo khoa học đăng trên tạp chí trong nước trong danh mục của HĐ GSNN tính từ 0,5 điểm trở lên; hoặc bài báo đăng trên tạp chí quốc tế có chỉ số xuất bản ISSN
- Chương trình máy tính. Báo cáo tổng kết</v>
          </cell>
          <cell r="N3">
            <v>15000000</v>
          </cell>
          <cell r="O3" t="str">
            <v>Mười lăm triệu đồng</v>
          </cell>
          <cell r="P3" t="str">
            <v>23110102@student.hcmute.edu.vn</v>
          </cell>
          <cell r="Q3" t="str">
            <v>0372938403</v>
          </cell>
        </row>
        <row r="4">
          <cell r="B4" t="str">
            <v>SV2026-03</v>
          </cell>
          <cell r="C4" t="str">
            <v>X</v>
          </cell>
          <cell r="D4" t="str">
            <v>Xây dựng mô hình Reasoning Language Model cho việc giải quyết các bài toán cấp trung học phổ thông</v>
          </cell>
          <cell r="E4" t="str">
            <v>Đinh Văn Sáng 23110302</v>
          </cell>
          <cell r="F4" t="str">
            <v xml:space="preserve">Đinh Văn Sáng </v>
          </cell>
          <cell r="G4" t="str">
            <v>Công nghệ Thông tin</v>
          </cell>
          <cell r="H4" t="str">
            <v>23110302</v>
          </cell>
          <cell r="I4" t="str">
            <v>Thái Quang Huy 23110228
Trần Hồng Quang Lê 23110251</v>
          </cell>
          <cell r="J4" t="str">
            <v>Đoàn Minh Trí</v>
          </cell>
          <cell r="K4" t="str">
            <v>Khoa CNTT</v>
          </cell>
          <cell r="L4" t="str">
            <v>doanminhtri@hcmute.edu.vn</v>
          </cell>
          <cell r="M4" t="str">
            <v>- Bài báo đăng trên hội thảo quốc tế có chỉ số xuất bản ISBN/ISSN
- Trang Web
- Báo cáo tổng kết</v>
          </cell>
          <cell r="N4">
            <v>10000000</v>
          </cell>
          <cell r="O4" t="str">
            <v>Mười triệu đồng</v>
          </cell>
          <cell r="P4" t="str">
            <v>23110302@student.hcmute.edu.vn</v>
          </cell>
          <cell r="Q4" t="str">
            <v>0387781676</v>
          </cell>
        </row>
        <row r="5">
          <cell r="B5" t="str">
            <v>SV2026-04</v>
          </cell>
          <cell r="C5"/>
          <cell r="D5" t="str">
            <v>Nghiên cứu và so sánh hiệu quả của Dense Retrieval và Sparse Retrieval trong mô hình Retrieval Augmented Generation (RAG) ứng dụng xây Chatbot tư vấn chuyên ngành cho sinh viên HCMUTE</v>
          </cell>
          <cell r="E5" t="str">
            <v>Lục Thới Trọng 22110254</v>
          </cell>
          <cell r="F5" t="str">
            <v xml:space="preserve">Lục Thới Trọng </v>
          </cell>
          <cell r="G5" t="str">
            <v>Công nghệ Thông tin</v>
          </cell>
          <cell r="H5" t="str">
            <v>22110254</v>
          </cell>
          <cell r="I5" t="str">
            <v>Bùi Đức Lộc 22110177</v>
          </cell>
          <cell r="J5" t="str">
            <v>Mai Anh Thơ</v>
          </cell>
          <cell r="K5" t="str">
            <v>Khoa CNTT</v>
          </cell>
          <cell r="L5" t="str">
            <v>thoma@hcmute.edu.vn</v>
          </cell>
          <cell r="M5" t="str">
            <v>- Chương trình máy tính
- Báo cáo tổng kết</v>
          </cell>
          <cell r="N5">
            <v>5000000</v>
          </cell>
          <cell r="O5" t="str">
            <v>Năm triệu đồng</v>
          </cell>
          <cell r="P5" t="str">
            <v>22110254@student.hcmute.edu.vn</v>
          </cell>
          <cell r="Q5" t="str">
            <v>0935946471</v>
          </cell>
        </row>
        <row r="6">
          <cell r="B6" t="str">
            <v>SV2026-05</v>
          </cell>
          <cell r="C6" t="str">
            <v>X</v>
          </cell>
          <cell r="D6" t="str">
            <v xml:space="preserve">Xây dựng website hỗ trợ thiết kế và chia sẻ lộ trình học tập cho giảng viên </v>
          </cell>
          <cell r="E6" t="str">
            <v>Hà Đăng Quang 22110210</v>
          </cell>
          <cell r="F6" t="str">
            <v xml:space="preserve">Hà Đăng Quang </v>
          </cell>
          <cell r="G6" t="str">
            <v>Công nghệ Thông tin</v>
          </cell>
          <cell r="H6" t="str">
            <v>22110210</v>
          </cell>
          <cell r="I6" t="str">
            <v xml:space="preserve">Cao Thị Xuân Hương 22110156
</v>
          </cell>
          <cell r="J6" t="str">
            <v>Mai Anh Thơ</v>
          </cell>
          <cell r="K6" t="str">
            <v>Khoa CNTT</v>
          </cell>
          <cell r="L6" t="str">
            <v>thoma@hcmute.edu.vn</v>
          </cell>
          <cell r="M6" t="str">
            <v>- Chương trình máy tính
- Báo cáo tổng kết</v>
          </cell>
          <cell r="N6">
            <v>5000000</v>
          </cell>
          <cell r="O6" t="str">
            <v>Năm triệu đồng</v>
          </cell>
          <cell r="P6" t="str">
            <v>22110210@student.hcmute.edu.vn</v>
          </cell>
          <cell r="Q6" t="str">
            <v>0356804143</v>
          </cell>
        </row>
        <row r="7">
          <cell r="B7" t="str">
            <v>SV2026-06</v>
          </cell>
          <cell r="C7"/>
          <cell r="D7" t="str">
            <v>Xây dựng website hỗ trợ tìm kiếm trung tâm ngoại ngữ tích hợp AI</v>
          </cell>
          <cell r="E7" t="str">
            <v>Trịnh Nhật Anh 23110074</v>
          </cell>
          <cell r="F7" t="str">
            <v xml:space="preserve">Trịnh Nhật Anh </v>
          </cell>
          <cell r="G7" t="str">
            <v>Công nghệ Thông tin</v>
          </cell>
          <cell r="H7" t="str">
            <v>23110074</v>
          </cell>
          <cell r="I7" t="str">
            <v>Tạ Hoàng Đạt 23110090
Vũ Minh Đức 23110094
Trần Minh Huy 23110106</v>
          </cell>
          <cell r="J7" t="str">
            <v>Mai Anh Thơ</v>
          </cell>
          <cell r="K7" t="str">
            <v>Khoa CNTT</v>
          </cell>
          <cell r="L7" t="str">
            <v>thoma@hcmute.edu.vn</v>
          </cell>
          <cell r="M7" t="str">
            <v>- Chương trình máy tính
- Báo cáo tổng kết</v>
          </cell>
          <cell r="N7">
            <v>5000000</v>
          </cell>
          <cell r="O7" t="str">
            <v>Năm triệu đồng</v>
          </cell>
          <cell r="P7" t="str">
            <v>23110074@student.hcmute.edu.vn</v>
          </cell>
          <cell r="Q7" t="str">
            <v>0368296233</v>
          </cell>
        </row>
        <row r="8">
          <cell r="B8" t="str">
            <v>SV2026-07</v>
          </cell>
          <cell r="C8" t="str">
            <v>X</v>
          </cell>
          <cell r="D8" t="str">
            <v>Xây dựng mô hình lai ghép phân đoạn ngữ nghĩa cho khoanh vùng polyp trong ảnh nội soi đại tràng</v>
          </cell>
          <cell r="E8" t="str">
            <v>Tạ Nghĩa Nhân 22110388</v>
          </cell>
          <cell r="F8" t="str">
            <v xml:space="preserve">Tạ Nghĩa Nhân </v>
          </cell>
          <cell r="G8" t="str">
            <v>Công nghệ Thông tin</v>
          </cell>
          <cell r="H8" t="str">
            <v>22110388</v>
          </cell>
          <cell r="I8" t="str">
            <v>0</v>
          </cell>
          <cell r="J8" t="str">
            <v>Bùi Mạnh Quân</v>
          </cell>
          <cell r="K8" t="str">
            <v>Khoa CNTT</v>
          </cell>
          <cell r="L8" t="str">
            <v>quanbm@hcmute.edu.vn</v>
          </cell>
          <cell r="M8" t="str">
            <v>Bài báo đăng trên tạp chí trong nước, hoặc bài báo đăng trên hội thảo quốc tế có chỉ số ISSN/ISBN hoặc SP.</v>
          </cell>
          <cell r="N8">
            <v>10000000</v>
          </cell>
          <cell r="O8" t="str">
            <v>Mười triệu đồng</v>
          </cell>
          <cell r="P8" t="str">
            <v>nghianhanta@gmail.com</v>
          </cell>
          <cell r="Q8" t="str">
            <v>0337324208</v>
          </cell>
        </row>
        <row r="9">
          <cell r="B9" t="str">
            <v>SV2026-08</v>
          </cell>
          <cell r="C9"/>
          <cell r="D9" t="str">
            <v>Phát hiện và phân loại bệnh ở lá cây đu đủ sử dụng mô hình YOLOV11 và CNN</v>
          </cell>
          <cell r="E9" t="str">
            <v>Phạm Đăng Quang 23110143</v>
          </cell>
          <cell r="F9" t="str">
            <v xml:space="preserve">Phạm Đăng Quang </v>
          </cell>
          <cell r="G9" t="str">
            <v>Công nghệ Thông tin</v>
          </cell>
          <cell r="H9" t="str">
            <v>23110143</v>
          </cell>
          <cell r="I9" t="str">
            <v>Lê Quang Sang 23110701 
Vũ Minh Hiếu 23110218</v>
          </cell>
          <cell r="J9" t="str">
            <v>Bùi Mạnh Quân</v>
          </cell>
          <cell r="K9" t="str">
            <v>Khoa CNTT</v>
          </cell>
          <cell r="L9" t="str">
            <v>quanbm@hcmute.edu.vn</v>
          </cell>
          <cell r="M9" t="str">
            <v>- Chương trình máy tính
- Báo cáo tổng kết
-Bài báo toàn văn trong hội thảo khoa học có chỉ số xuất bản ISBN/ISSN</v>
          </cell>
          <cell r="N9">
            <v>10000000</v>
          </cell>
          <cell r="O9" t="str">
            <v>Mười triệu đồng</v>
          </cell>
          <cell r="P9" t="str">
            <v>23110143@student.hcmute.edu.vn</v>
          </cell>
          <cell r="Q9" t="str">
            <v>0347560113 (Zalo:0705236316)</v>
          </cell>
        </row>
        <row r="10">
          <cell r="B10" t="str">
            <v>SV2026-10</v>
          </cell>
          <cell r="C10" t="str">
            <v>X</v>
          </cell>
          <cell r="D10" t="str">
            <v>Xây dựng mô phỏng 3D bằng mô hình học sâu</v>
          </cell>
          <cell r="E10" t="str">
            <v>Nguyễn Hoàng Việt Sang 22110221</v>
          </cell>
          <cell r="F10" t="str">
            <v xml:space="preserve">Nguyễn Hoàng Việt Sang </v>
          </cell>
          <cell r="G10" t="str">
            <v>Công nghệ Thông tin</v>
          </cell>
          <cell r="H10" t="str">
            <v>22110221</v>
          </cell>
          <cell r="I10" t="str">
            <v xml:space="preserve">Phan Hoàng An 22110095
Nguyễn Đình Bảo 22110107
</v>
          </cell>
          <cell r="J10" t="str">
            <v>Nguyễn Thành Sơn</v>
          </cell>
          <cell r="K10" t="str">
            <v>Khoa CNTT</v>
          </cell>
          <cell r="L10" t="str">
            <v>sonnt@hcmute.edu.vn</v>
          </cell>
          <cell r="M10" t="str">
            <v>-Báo cáo tổng hợp</v>
          </cell>
          <cell r="N10">
            <v>5000000</v>
          </cell>
          <cell r="O10" t="str">
            <v>Năm triệu đồng</v>
          </cell>
          <cell r="P10" t="str">
            <v>22110220@student.hcmute.edu.vn</v>
          </cell>
          <cell r="Q10" t="str">
            <v>0976458034</v>
          </cell>
        </row>
        <row r="11">
          <cell r="B11" t="str">
            <v>SV2026-11</v>
          </cell>
          <cell r="C11" t="str">
            <v>X</v>
          </cell>
          <cell r="D11" t="str">
            <v>Phương pháp so khớp hồ sơ ứng viên và mô tả công việc dựa trên học sâu.</v>
          </cell>
          <cell r="E11" t="str">
            <v>Lê Văn Phát 22110197</v>
          </cell>
          <cell r="F11" t="str">
            <v xml:space="preserve">Lê Văn Phát </v>
          </cell>
          <cell r="G11" t="str">
            <v>Công nghệ Thông tin</v>
          </cell>
          <cell r="H11" t="str">
            <v>22110197</v>
          </cell>
          <cell r="I11" t="str">
            <v>Huỳnh Thanh Duy 22110118
Nguyễn Chí Thanh 22110226</v>
          </cell>
          <cell r="J11" t="str">
            <v>Lê Văn Vinh</v>
          </cell>
          <cell r="K11" t="str">
            <v>Khoa CNTT</v>
          </cell>
          <cell r="L11" t="str">
            <v>vinhlv@hcmute.edu.vn</v>
          </cell>
          <cell r="M11" t="str">
            <v>-Bài báo đặng trên tạp chí trong nước, hoặc đăng toàn văn trong kỷ yếu hội nghị, hội thảo có chỉ số ISSN/ISBN
-Mã nguồn chương trình Resume-Job Matching. Báo cáo tổng kết</v>
          </cell>
          <cell r="N11">
            <v>10000000</v>
          </cell>
          <cell r="O11" t="str">
            <v>Mười triệu đồng</v>
          </cell>
          <cell r="P11" t="str">
            <v>vanphat15it@gmail.com</v>
          </cell>
          <cell r="Q11" t="str">
            <v>0857139116</v>
          </cell>
        </row>
        <row r="12">
          <cell r="B12" t="str">
            <v>SV2026-12</v>
          </cell>
          <cell r="C12" t="str">
            <v>X</v>
          </cell>
          <cell r="D12" t="str">
            <v>Hệ thống kiểm thử xâm nhập cho ứng dụng Web sử dụng AI Agent</v>
          </cell>
          <cell r="E12" t="str">
            <v>Nguyễn Thắng Lợi 22162023</v>
          </cell>
          <cell r="F12" t="str">
            <v xml:space="preserve">Nguyễn Thắng Lợi </v>
          </cell>
          <cell r="G12" t="str">
            <v>Công nghệ Thông tin</v>
          </cell>
          <cell r="H12" t="str">
            <v>22162023</v>
          </cell>
          <cell r="I12" t="str">
            <v>Nguyễn Lưu Gia Bảo 22162005</v>
          </cell>
          <cell r="J12" t="str">
            <v>Nguyễn Thị Thanh Vân</v>
          </cell>
          <cell r="K12" t="str">
            <v>Khoa CNTT</v>
          </cell>
          <cell r="L12" t="str">
            <v>vanntth@hcmute.edu.vn</v>
          </cell>
          <cell r="M12" t="str">
            <v>-Mã nguồn của hệ thống kiểm thử xâm nhập
-Báo cáo tổng kết</v>
          </cell>
          <cell r="N12">
            <v>5000000</v>
          </cell>
          <cell r="O12" t="str">
            <v>Năm triệu đồng</v>
          </cell>
          <cell r="P12" t="str">
            <v>22162023@student.hcmute.edu.vn</v>
          </cell>
          <cell r="Q12" t="str">
            <v>0901277826</v>
          </cell>
        </row>
        <row r="13">
          <cell r="B13" t="str">
            <v>SV2026-13</v>
          </cell>
          <cell r="C13"/>
          <cell r="D13" t="str">
            <v xml:space="preserve">Xây dựng công cụ phân tích mã độc Hybrid (kết hợp tĩnh và động) có sử dụng AI </v>
          </cell>
          <cell r="E13" t="str">
            <v xml:space="preserve">Nguyễn Hoàng Gia Huy 24162046
</v>
          </cell>
          <cell r="F13" t="str">
            <v>Nguyễn Hoàng Gia Huy 2</v>
          </cell>
          <cell r="G13" t="str">
            <v>Công nghệ Thông tin</v>
          </cell>
          <cell r="H13" t="str">
            <v xml:space="preserve">4162046
</v>
          </cell>
          <cell r="I13" t="str">
            <v xml:space="preserve">Trần Đình Đan Trường 24162135
Nguyễn Đăng Khoa 24162063
Lý Văn Hữu Hòa 24162038
</v>
          </cell>
          <cell r="J13" t="str">
            <v>Nguyễn Thị Thanh Vân</v>
          </cell>
          <cell r="K13" t="str">
            <v>Khoa CNTT</v>
          </cell>
          <cell r="L13" t="str">
            <v>vanntth@hcmute.edu.vn</v>
          </cell>
          <cell r="M13" t="str">
            <v>-Công cụ phân tích mã độc hybrid (GUI + backend)
-Báo cáo khoa học</v>
          </cell>
          <cell r="N13">
            <v>5000000</v>
          </cell>
          <cell r="O13" t="str">
            <v>Năm triệu đồng</v>
          </cell>
          <cell r="P13" t="str">
            <v>24162046@student.hcmute.edu.vn</v>
          </cell>
          <cell r="Q13" t="str">
            <v>0794964161</v>
          </cell>
        </row>
        <row r="14">
          <cell r="B14" t="str">
            <v>SV2026-14</v>
          </cell>
          <cell r="C14" t="str">
            <v>X</v>
          </cell>
          <cell r="D14" t="str">
            <v>Kỹ thuật dịch ngược và ứng dụng trong phát hiện mã độc</v>
          </cell>
          <cell r="E14" t="str">
            <v>Đinh Thiên Bảo 24162009</v>
          </cell>
          <cell r="F14" t="str">
            <v xml:space="preserve">Đinh Thiên Bảo </v>
          </cell>
          <cell r="G14" t="str">
            <v>Công nghệ Thông tin</v>
          </cell>
          <cell r="H14" t="str">
            <v>24162009</v>
          </cell>
          <cell r="I14" t="str">
            <v>Ngô Quang Đạt  24162020   
Tạ Thượng Thanh 24162116</v>
          </cell>
          <cell r="J14" t="str">
            <v>Nguyễn Thị Thanh Vân</v>
          </cell>
          <cell r="K14" t="str">
            <v>Khoa CNTT</v>
          </cell>
          <cell r="L14" t="str">
            <v>vanntth@hcmute.edu.vn</v>
          </cell>
          <cell r="M14" t="str">
            <v>-Công cụ phân tích và hiển thị hành vi Malware có ứng dụng kĩ thuật dịch ngược
-Báo cáo phân tích</v>
          </cell>
          <cell r="N14">
            <v>5000000</v>
          </cell>
          <cell r="O14" t="str">
            <v>Năm triệu đồng</v>
          </cell>
          <cell r="P14" t="str">
            <v>24162009@student.hcmute.edu.vn</v>
          </cell>
          <cell r="Q14" t="str">
            <v>0947031218</v>
          </cell>
        </row>
        <row r="15">
          <cell r="B15" t="str">
            <v>SV2026-15</v>
          </cell>
          <cell r="C15" t="str">
            <v>X</v>
          </cell>
          <cell r="D15" t="str">
            <v>Phát hiện các tấn công web XSS và SQL Injection bị che giấu payload dựa trên mô hình học sâu</v>
          </cell>
          <cell r="E15" t="str">
            <v>Dương Đình Ngọc Khang 23162036</v>
          </cell>
          <cell r="F15" t="str">
            <v xml:space="preserve">Dương Đình Ngọc Khang </v>
          </cell>
          <cell r="G15" t="str">
            <v>Công nghệ Thông tin</v>
          </cell>
          <cell r="H15" t="str">
            <v>23162036</v>
          </cell>
          <cell r="I15" t="str">
            <v xml:space="preserve">Đỗ Đoàn Duy Hoàng 23162025
Trần Nguyễn Nhật Huy 23162031
Võ Minh Khang 23162041
</v>
          </cell>
          <cell r="J15" t="str">
            <v>Nguyễn Thị Thanh Vân</v>
          </cell>
          <cell r="K15" t="str">
            <v>Khoa CNTT</v>
          </cell>
          <cell r="L15" t="str">
            <v>vanntth@hcmute.edu.vn</v>
          </cell>
          <cell r="M15" t="str">
            <v>-Chương trình phát hiện tấn công XSS và SQL Injection sử dụng mô hình học sâu.
-Báo cáo tổng kết</v>
          </cell>
          <cell r="N15">
            <v>5000000</v>
          </cell>
          <cell r="O15" t="str">
            <v>Năm triệu đồng</v>
          </cell>
          <cell r="P15" t="str">
            <v>23162036@student.hcmute.edu.vn</v>
          </cell>
          <cell r="Q15" t="str">
            <v>0987545761</v>
          </cell>
        </row>
        <row r="16">
          <cell r="B16" t="str">
            <v>SV2026-17</v>
          </cell>
          <cell r="C16" t="str">
            <v>X</v>
          </cell>
          <cell r="D16" t="str">
            <v>Nghiên cứu và xây dựng hệ thống quản lý cơ sở y tế tích hợp AI.</v>
          </cell>
          <cell r="E16" t="str">
            <v>Nguyễn Trung Hiếu 22110138</v>
          </cell>
          <cell r="F16" t="str">
            <v xml:space="preserve">Nguyễn Trung Hiếu </v>
          </cell>
          <cell r="G16" t="str">
            <v>Công nghệ Thông tin</v>
          </cell>
          <cell r="H16" t="str">
            <v>22110138</v>
          </cell>
          <cell r="I16" t="str">
            <v>0</v>
          </cell>
          <cell r="J16" t="str">
            <v>Phan Thị Huyền Trang</v>
          </cell>
          <cell r="K16" t="str">
            <v>Khoa CNTT</v>
          </cell>
          <cell r="L16" t="str">
            <v>trangpth@hcmute.edu.vn</v>
          </cell>
          <cell r="M16" t="str">
            <v>- Chương trình máy tính
- Báo cáo tổng kết</v>
          </cell>
          <cell r="N16">
            <v>5000000</v>
          </cell>
          <cell r="O16" t="str">
            <v>Năm triệu đồng</v>
          </cell>
          <cell r="P16" t="str">
            <v>hieuanthonydisward@gmail.com</v>
          </cell>
          <cell r="Q16" t="str">
            <v>0859455669</v>
          </cell>
        </row>
        <row r="17">
          <cell r="B17" t="str">
            <v>SV2026-18</v>
          </cell>
          <cell r="C17" t="str">
            <v>X</v>
          </cell>
          <cell r="D17" t="str">
            <v>Xây dựng hệ thống AI hỗ trợ chẩn đoán bệnh đường tiêu hóa thông qua video nội soi</v>
          </cell>
          <cell r="E17" t="str">
            <v>Phan Phúc Hảo 22110134</v>
          </cell>
          <cell r="F17" t="str">
            <v xml:space="preserve">Phan Phúc Hảo </v>
          </cell>
          <cell r="G17" t="str">
            <v>Công nghệ Thông tin</v>
          </cell>
          <cell r="H17" t="str">
            <v>22110134</v>
          </cell>
          <cell r="I17" t="str">
            <v>0</v>
          </cell>
          <cell r="J17" t="str">
            <v>Phan Thị Huyền Trang</v>
          </cell>
          <cell r="K17" t="str">
            <v>Khoa CNTT</v>
          </cell>
          <cell r="L17" t="str">
            <v>trangpth@hcmute.edu.vn</v>
          </cell>
          <cell r="M17" t="str">
            <v>- Chương trình máy tính
- Báo cáo tổng kết</v>
          </cell>
          <cell r="N17">
            <v>5000000</v>
          </cell>
          <cell r="O17" t="str">
            <v>Năm triệu đồng</v>
          </cell>
          <cell r="P17" t="str">
            <v>phuchao004@gmail.com</v>
          </cell>
          <cell r="Q17" t="str">
            <v>0852838697</v>
          </cell>
        </row>
        <row r="18">
          <cell r="B18" t="str">
            <v>SV2026-19</v>
          </cell>
          <cell r="C18" t="str">
            <v>X</v>
          </cell>
          <cell r="D18" t="str">
            <v>Xây dựng hệ thống hỗ trợ luyện phát âm  tiếng Việt sử dụng mô hình AI</v>
          </cell>
          <cell r="E18" t="str">
            <v>Trần Như Quỳnh 22110218</v>
          </cell>
          <cell r="F18" t="str">
            <v xml:space="preserve">Trần Như Quỳnh </v>
          </cell>
          <cell r="G18" t="str">
            <v>Công nghệ Thông tin</v>
          </cell>
          <cell r="H18" t="str">
            <v>22110218</v>
          </cell>
          <cell r="I18" t="str">
            <v>Bùi Lê Đông Quân 22110213</v>
          </cell>
          <cell r="J18" t="str">
            <v>Phan Thị Huyền Trang</v>
          </cell>
          <cell r="K18" t="str">
            <v>Khoa CNTT</v>
          </cell>
          <cell r="L18" t="str">
            <v>trangpth@hcmute.edu.vn</v>
          </cell>
          <cell r="M18" t="str">
            <v>- Chương trình máy tính
- Báo cáo tổng kết</v>
          </cell>
          <cell r="N18">
            <v>5000000</v>
          </cell>
          <cell r="O18" t="str">
            <v>Năm triệu đồng</v>
          </cell>
          <cell r="P18" t="str">
            <v>trannhuquynh.010116@gmail.com</v>
          </cell>
          <cell r="Q18" t="str">
            <v>0828121299</v>
          </cell>
        </row>
        <row r="19">
          <cell r="B19" t="str">
            <v>SV2026-20</v>
          </cell>
          <cell r="C19" t="str">
            <v>X</v>
          </cell>
          <cell r="D19" t="str">
            <v>Ứng dụng mô hình Llama (Large Language Model Meta AI) vào xây dựng hệ thống tư vấn y tế</v>
          </cell>
          <cell r="E19" t="str">
            <v>Cao Nguyễn Thành An 21110116</v>
          </cell>
          <cell r="F19" t="str">
            <v xml:space="preserve">Cao Nguyễn Thành An </v>
          </cell>
          <cell r="G19" t="str">
            <v>Công nghệ Thông tin</v>
          </cell>
          <cell r="H19" t="str">
            <v>21110116</v>
          </cell>
          <cell r="I19" t="str">
            <v>Cao Thọ Phú Thịnh 21144449
Trịnh Ngọc Anh Tuyên 21110860</v>
          </cell>
          <cell r="J19" t="str">
            <v>Phan Thị Huyền Trang</v>
          </cell>
          <cell r="K19" t="str">
            <v>Khoa CNTT</v>
          </cell>
          <cell r="L19" t="str">
            <v>trangpth@hcmute.edu.vn</v>
          </cell>
          <cell r="M19" t="str">
            <v>- Chương trình máy tính
- Báo cáo tổng kết</v>
          </cell>
          <cell r="N19">
            <v>5000000</v>
          </cell>
          <cell r="O19" t="str">
            <v>Năm triệu đồng</v>
          </cell>
          <cell r="P19" t="str">
            <v>21110116@student.hcmute.edu.vn</v>
          </cell>
          <cell r="Q19" t="str">
            <v>0929620697</v>
          </cell>
        </row>
        <row r="20">
          <cell r="B20" t="str">
            <v>SV2026-21</v>
          </cell>
          <cell r="C20" t="str">
            <v>X</v>
          </cell>
          <cell r="D20" t="str">
            <v>Đề xuất mô hình phân đoạn ngữ nghĩa trong truyền thông ngữ nghĩa</v>
          </cell>
          <cell r="E20" t="str">
            <v>Nguyễn Phúc Bảo 22110285</v>
          </cell>
          <cell r="F20" t="str">
            <v xml:space="preserve">Nguyễn Phúc Bảo </v>
          </cell>
          <cell r="G20" t="str">
            <v>Công nghệ Thông tin</v>
          </cell>
          <cell r="H20" t="str">
            <v>22110285</v>
          </cell>
          <cell r="I20" t="str">
            <v xml:space="preserve">Nguyễn Quang Thành 22110417	</v>
          </cell>
          <cell r="J20" t="str">
            <v>Nguyễn Thủy An</v>
          </cell>
          <cell r="K20" t="str">
            <v>Khoa CNTT</v>
          </cell>
          <cell r="L20" t="str">
            <v>thuyan@hcmute.edu.vn</v>
          </cell>
          <cell r="M20" t="str">
            <v>-Báo cáo tổng kết, chương trình máy tính, bài báo khoa học đăng trên hội thảo quốc tế có chỉ số ISSN/ISBN</v>
          </cell>
          <cell r="N20">
            <v>10000000</v>
          </cell>
          <cell r="O20" t="str">
            <v>Mười triệu đồng</v>
          </cell>
          <cell r="P20" t="str">
            <v>baonguyen02102004@gmail.com</v>
          </cell>
          <cell r="Q20" t="str">
            <v>0984585142</v>
          </cell>
        </row>
        <row r="21">
          <cell r="B21" t="str">
            <v>SV2026-22</v>
          </cell>
          <cell r="C21" t="str">
            <v>X</v>
          </cell>
          <cell r="D21" t="str">
            <v xml:space="preserve">Xây dựng Website kết nối và tổ chức hoạt động cầu lông dùng model AI để hỗ trợ. </v>
          </cell>
          <cell r="E21" t="str">
            <v>Huỳnh Việt Đan 22110306</v>
          </cell>
          <cell r="F21" t="str">
            <v xml:space="preserve">Huỳnh Việt Đan </v>
          </cell>
          <cell r="G21" t="str">
            <v>Công nghệ Thông tin</v>
          </cell>
          <cell r="H21" t="str">
            <v>22110306</v>
          </cell>
          <cell r="I21" t="str">
            <v>Nguyễn Phan Minh Trí 22110443</v>
          </cell>
          <cell r="J21" t="str">
            <v>Nguyễn Thủy An</v>
          </cell>
          <cell r="K21" t="str">
            <v>Khoa CNTT</v>
          </cell>
          <cell r="L21" t="str">
            <v>thuyan@hcmute.edu.vn</v>
          </cell>
          <cell r="M21" t="str">
            <v>-Báo cáo tổng kết, chương trình máy tính</v>
          </cell>
          <cell r="N21">
            <v>5000000</v>
          </cell>
          <cell r="O21" t="str">
            <v>Năm triệu đồng</v>
          </cell>
          <cell r="P21" t="str">
            <v>vdan2242004@gmail.com</v>
          </cell>
          <cell r="Q21" t="str">
            <v>0362834995</v>
          </cell>
        </row>
        <row r="22">
          <cell r="B22" t="str">
            <v>SV2026-23</v>
          </cell>
          <cell r="C22" t="str">
            <v>X</v>
          </cell>
          <cell r="D22" t="str">
            <v>Nghiên cứu và phát triển hệ thống luyện tập lập trình trực tuyến ứng dụng trí tuệ nhân tạo</v>
          </cell>
          <cell r="E22" t="str">
            <v>Trần Trọng Nghĩa 22110380</v>
          </cell>
          <cell r="F22" t="str">
            <v xml:space="preserve">Trần Trọng Nghĩa </v>
          </cell>
          <cell r="G22" t="str">
            <v>Công nghệ Thông tin</v>
          </cell>
          <cell r="H22" t="str">
            <v>22110380</v>
          </cell>
          <cell r="I22" t="str">
            <v>Hồ Vũ Thanh Bình 22110287</v>
          </cell>
          <cell r="J22" t="str">
            <v>Vũ Đình Bảo</v>
          </cell>
          <cell r="K22" t="str">
            <v>Khoa CNTT</v>
          </cell>
          <cell r="L22" t="str">
            <v>baovd@hcmute.edu.vn</v>
          </cell>
          <cell r="M22" t="str">
            <v>-Chương trình máy tính hỗ trợ luyện tập lập trình
-Báo cáo tổng kết</v>
          </cell>
          <cell r="N22">
            <v>5000000</v>
          </cell>
          <cell r="O22" t="str">
            <v>Năm triệu đồng</v>
          </cell>
          <cell r="P22" t="str">
            <v>22110380@student.hcmute.edu.vn</v>
          </cell>
          <cell r="Q22" t="str">
            <v>0355093376</v>
          </cell>
        </row>
        <row r="23">
          <cell r="B23" t="str">
            <v>SV2026-24</v>
          </cell>
          <cell r="C23" t="str">
            <v>X</v>
          </cell>
          <cell r="D23" t="str">
            <v>Xây dựng webisite học tiếng Anh đa kỹ năng tích hợp AI AleanG</v>
          </cell>
          <cell r="E23" t="str">
            <v>Trần Phan Tiến Anh 22110103</v>
          </cell>
          <cell r="F23" t="str">
            <v xml:space="preserve">Trần Phan Tiến Anh </v>
          </cell>
          <cell r="G23" t="str">
            <v>Công nghệ Thông tin</v>
          </cell>
          <cell r="H23" t="str">
            <v>22110103</v>
          </cell>
          <cell r="I23" t="str">
            <v>Phan Hùng Anh 22110102
Dương Đình Vũ 22110269</v>
          </cell>
          <cell r="J23" t="str">
            <v>Nguyễn Hữu Trung</v>
          </cell>
          <cell r="K23" t="str">
            <v>Khoa CNTT</v>
          </cell>
          <cell r="L23" t="str">
            <v>trungnh@hcmute.edu.vn</v>
          </cell>
          <cell r="M23" t="str">
            <v>-Mã nguồn chương trình
-Báo cáo tổng kết</v>
          </cell>
          <cell r="N23">
            <v>5000000</v>
          </cell>
          <cell r="O23" t="str">
            <v>Năm triệu đồng</v>
          </cell>
          <cell r="P23" t="str">
            <v>22110103@student.hcmute.edu.vn</v>
          </cell>
          <cell r="Q23" t="str">
            <v>0919812415</v>
          </cell>
        </row>
        <row r="24">
          <cell r="B24" t="str">
            <v>SV2026-25</v>
          </cell>
          <cell r="C24"/>
          <cell r="D24" t="str">
            <v>Bảo mật dữ liệu trên Web3 với công nghệ Blockchain</v>
          </cell>
          <cell r="E24" t="str">
            <v>Lê Quang Minh 24162072</v>
          </cell>
          <cell r="F24" t="str">
            <v xml:space="preserve">Lê Quang Minh </v>
          </cell>
          <cell r="G24" t="str">
            <v>Công nghệ Thông tin</v>
          </cell>
          <cell r="H24" t="str">
            <v>24162072</v>
          </cell>
          <cell r="I24" t="str">
            <v>Trần Quốc Trường 24162136
Nguyễn Minh Thiện 24162120</v>
          </cell>
          <cell r="J24" t="str">
            <v>Lê Thị Minh Châu</v>
          </cell>
          <cell r="K24" t="str">
            <v>Khoa CNTT</v>
          </cell>
          <cell r="L24" t="str">
            <v>chaultm@hcmute.edu.vn</v>
          </cell>
          <cell r="M24" t="str">
            <v>-Chương trình máy tính
-Báo cáo tổng kết</v>
          </cell>
          <cell r="N24">
            <v>5000000</v>
          </cell>
          <cell r="O24" t="str">
            <v>Năm triệu đồng</v>
          </cell>
          <cell r="P24" t="str">
            <v>24162072@student.hcmute.edu.vn</v>
          </cell>
          <cell r="Q24" t="str">
            <v>0986402215</v>
          </cell>
        </row>
        <row r="25">
          <cell r="B25" t="str">
            <v>SV2026-26</v>
          </cell>
          <cell r="C25" t="str">
            <v>X</v>
          </cell>
          <cell r="D25" t="str">
            <v>Improving the Efficiency of Spatial Attention in Bottleneck Attention Modules with Depthwise Convolution</v>
          </cell>
          <cell r="E25" t="str">
            <v>Mai Quốc Thái 23133071</v>
          </cell>
          <cell r="F25" t="str">
            <v xml:space="preserve">Mai Quốc Thái </v>
          </cell>
          <cell r="G25" t="str">
            <v>Công nghệ Thông tin</v>
          </cell>
          <cell r="H25" t="str">
            <v>23133071</v>
          </cell>
          <cell r="I25" t="str">
            <v>0</v>
          </cell>
          <cell r="J25" t="str">
            <v>Phan Thị Thể</v>
          </cell>
          <cell r="K25" t="str">
            <v>Khoa CNTT</v>
          </cell>
          <cell r="L25" t="str">
            <v>thept@hcmute.edu.vn</v>
          </cell>
          <cell r="M25" t="str">
            <v>- Bài báo khoa học đăng toàn văn trong kỷ yếu hội nghị, hội thảo có chỉ số ISSN/ISBN
- Chương trình máy tính
- Báo cáo tổng kết</v>
          </cell>
          <cell r="N25">
            <v>10000000</v>
          </cell>
          <cell r="O25" t="str">
            <v>Mười triệu đồng</v>
          </cell>
          <cell r="P25" t="str">
            <v>23133071@student.hcmute.edu.vn</v>
          </cell>
          <cell r="Q25" t="str">
            <v>0355033919</v>
          </cell>
        </row>
        <row r="26">
          <cell r="B26" t="str">
            <v>SV2026-27</v>
          </cell>
          <cell r="C26" t="str">
            <v>X</v>
          </cell>
          <cell r="D26" t="str">
            <v>Nghiên cứu và xây dựng Lakehouse kết hợp Framework Quản lý chất lượng dữ liệu trong lĩnh vực tài chính</v>
          </cell>
          <cell r="E26" t="str">
            <v>Lâm Hoài Kim Ngân 22133036</v>
          </cell>
          <cell r="F26" t="str">
            <v xml:space="preserve">Lâm Hoài Kim Ngân </v>
          </cell>
          <cell r="G26" t="str">
            <v>Công nghệ Thông tin</v>
          </cell>
          <cell r="H26" t="str">
            <v>22133036</v>
          </cell>
          <cell r="I26" t="str">
            <v>Lê Hoàng Anh Duy 22133008</v>
          </cell>
          <cell r="J26" t="str">
            <v>Phan Thị Thể</v>
          </cell>
          <cell r="K26" t="str">
            <v>Khoa CNTT</v>
          </cell>
          <cell r="L26" t="str">
            <v>thept@hcmute.edu.vn</v>
          </cell>
          <cell r="M26" t="str">
            <v>- Bài báo khoa học: Bài báo khoa học đăng trên tạp chí trong nước, hoặc đăng toàn văn trong kỷ yếu hội nghị, hội thảo có chỉ số ISSN/ISBN
- Chương trình máy tính
- Báo cáo tổng kết</v>
          </cell>
          <cell r="N26">
            <v>10000000</v>
          </cell>
          <cell r="O26" t="str">
            <v>Mười triệu đồng</v>
          </cell>
          <cell r="P26" t="str">
            <v>lamhoaikimngan91@gmail.com</v>
          </cell>
          <cell r="Q26" t="str">
            <v>0768386449</v>
          </cell>
        </row>
        <row r="27">
          <cell r="B27" t="str">
            <v>SV2026-28</v>
          </cell>
          <cell r="C27" t="str">
            <v>X</v>
          </cell>
          <cell r="D27" t="str">
            <v>Xây dựng chatbot tư vấn thuốc thông minh tích hợp gợi ý liều lượng cá nhân hóa và cảnh báo tương tác giữa các thuốc</v>
          </cell>
          <cell r="E27" t="str">
            <v>Phan Thiên Phúc 22110203</v>
          </cell>
          <cell r="F27" t="str">
            <v xml:space="preserve">Phan Thiên Phúc </v>
          </cell>
          <cell r="G27" t="str">
            <v>Công nghệ Thông tin</v>
          </cell>
          <cell r="H27" t="str">
            <v>22110203</v>
          </cell>
          <cell r="I27" t="str">
            <v xml:space="preserve"> Trương Nguyễn Tuấn Kiệt 22110171</v>
          </cell>
          <cell r="J27" t="str">
            <v>Phan Thị Thể</v>
          </cell>
          <cell r="K27" t="str">
            <v>Khoa CNTT</v>
          </cell>
          <cell r="L27" t="str">
            <v>thept@hcmute.edu.vn</v>
          </cell>
          <cell r="M27" t="str">
            <v>- Chương trình máy tính
- Báo cáo tổng kết</v>
          </cell>
          <cell r="N27">
            <v>5000000</v>
          </cell>
          <cell r="O27" t="str">
            <v>Năm triệu đồng</v>
          </cell>
          <cell r="P27" t="str">
            <v>22110203@student.hcmute.edu.vn</v>
          </cell>
          <cell r="Q27" t="str">
            <v>0942388053</v>
          </cell>
        </row>
        <row r="28">
          <cell r="B28" t="str">
            <v>SV2026-29</v>
          </cell>
          <cell r="C28" t="str">
            <v>X</v>
          </cell>
          <cell r="D28" t="str">
            <v>Xây dựng hệ thống gợi ý lai hai tầng Retrieval và Ranking trong Thương mại Điện tử</v>
          </cell>
          <cell r="E28" t="str">
            <v>Nguyễn Võ Cát Tường 22110263</v>
          </cell>
          <cell r="F28" t="str">
            <v xml:space="preserve">Nguyễn Võ Cát Tường </v>
          </cell>
          <cell r="G28" t="str">
            <v>Công nghệ Thông tin</v>
          </cell>
          <cell r="H28" t="str">
            <v>22110263</v>
          </cell>
          <cell r="I28" t="str">
            <v>Nguyễn Ngọc Hân 22110135
Nguyễn Thanh Hiền 22110137</v>
          </cell>
          <cell r="J28" t="str">
            <v>Phan Thị Thể</v>
          </cell>
          <cell r="K28" t="str">
            <v>Khoa CNTT</v>
          </cell>
          <cell r="L28" t="str">
            <v>thept@hcmute.edu.vn</v>
          </cell>
          <cell r="M28" t="str">
            <v>- Chương trình máy tính
- Báo cáo tổng kết</v>
          </cell>
          <cell r="N28">
            <v>5000000</v>
          </cell>
          <cell r="O28" t="str">
            <v>Năm triệu đồng</v>
          </cell>
          <cell r="P28" t="str">
            <v>tuongnguyen.301104@gmail.com</v>
          </cell>
          <cell r="Q28" t="str">
            <v>0938120665</v>
          </cell>
        </row>
        <row r="29">
          <cell r="B29" t="str">
            <v>SV2026-30</v>
          </cell>
          <cell r="C29" t="str">
            <v>X</v>
          </cell>
          <cell r="D29" t="str">
            <v>Hệ thống gợi ý sản phẩm điện tử kết hợp autoencoder, neural collaborative filtering và multilayer perceptron (hybrid deep learning recommender system)</v>
          </cell>
          <cell r="E29" t="str">
            <v>Nguyễn Mai Thiên Quí 22110216</v>
          </cell>
          <cell r="F29" t="str">
            <v xml:space="preserve">Nguyễn Mai Thiên Quí </v>
          </cell>
          <cell r="G29" t="str">
            <v>Công nghệ Thông tin</v>
          </cell>
          <cell r="H29" t="str">
            <v>22110216</v>
          </cell>
          <cell r="I29" t="str">
            <v>Võ Thành Duy 22110120
Nguyễn Ngọc Hải Anh 22110098
Nguyễn Lê Quang Trường 22110258
Phan Thanh Thiện 22110234</v>
          </cell>
          <cell r="J29" t="str">
            <v>Trần Quang Khải</v>
          </cell>
          <cell r="K29" t="str">
            <v>Khoa CNTT</v>
          </cell>
          <cell r="L29" t="str">
            <v>khaitq@hcmute.edu.vn</v>
          </cell>
          <cell r="M29" t="str">
            <v>- Chương trình máy tính
- Báo cáo tổng kết</v>
          </cell>
          <cell r="N29">
            <v>5000000</v>
          </cell>
          <cell r="O29" t="str">
            <v>Năm triệu đồng</v>
          </cell>
          <cell r="P29" t="str">
            <v>22110216@student.hcmute.edu.vn</v>
          </cell>
          <cell r="Q29" t="str">
            <v>0767529662</v>
          </cell>
        </row>
        <row r="30">
          <cell r="B30" t="str">
            <v>SV2026-31</v>
          </cell>
          <cell r="C30"/>
          <cell r="D30" t="str">
            <v>Hệ thống thi trực tuyến tích hợp AI đánh giá và chấm điểm</v>
          </cell>
          <cell r="E30" t="str">
            <v>Lê Nguyên Thiên Phúc 22110201</v>
          </cell>
          <cell r="F30" t="str">
            <v xml:space="preserve">Lê Nguyên Thiên Phúc </v>
          </cell>
          <cell r="G30" t="str">
            <v>Công nghệ Thông tin</v>
          </cell>
          <cell r="H30" t="str">
            <v>22110201</v>
          </cell>
          <cell r="I30" t="str">
            <v>Nguyễn Đặng Đăng Nhựt 22110195
 Hồ Vũ Anh 22110097
Trương Thành Tiến 22110245</v>
          </cell>
          <cell r="J30" t="str">
            <v>Lê Vĩnh Thịnh</v>
          </cell>
          <cell r="K30" t="str">
            <v>Khoa CNTT</v>
          </cell>
          <cell r="L30" t="str">
            <v>thinhlv@hcmute.edu.vn</v>
          </cell>
          <cell r="M30" t="str">
            <v>- Chương trình máy tính
- Báo cáo tổng kết</v>
          </cell>
          <cell r="N30">
            <v>5000000</v>
          </cell>
          <cell r="O30" t="str">
            <v>Năm triệu đồng</v>
          </cell>
          <cell r="P30" t="str">
            <v>22110201@student.hcmute.edu.vn</v>
          </cell>
          <cell r="Q30" t="str">
            <v>0337104445</v>
          </cell>
        </row>
        <row r="31">
          <cell r="B31" t="str">
            <v>SV2026-32</v>
          </cell>
          <cell r="C31" t="str">
            <v>X</v>
          </cell>
          <cell r="D31" t="str">
            <v>QuickQuiz: Learn anything fast with AI assistant: Ứng dụng AI hỗ trợ trong học tập</v>
          </cell>
          <cell r="E31" t="str">
            <v>Phan Văn Quân 22110214</v>
          </cell>
          <cell r="F31" t="str">
            <v xml:space="preserve">Phan Văn Quân </v>
          </cell>
          <cell r="G31" t="str">
            <v>Công nghệ Thông tin</v>
          </cell>
          <cell r="H31" t="str">
            <v>22110214</v>
          </cell>
          <cell r="I31" t="str">
            <v>Trịnh Hửu Thọ 22110238</v>
          </cell>
          <cell r="J31" t="str">
            <v>Lê Vĩnh Thịnh</v>
          </cell>
          <cell r="K31" t="str">
            <v>Khoa CNTT</v>
          </cell>
          <cell r="L31" t="str">
            <v>thinhlv@hcmute.edu.vn</v>
          </cell>
          <cell r="M31" t="str">
            <v>-Bài báo khoa học đăng trên tạp chí trong nước, hoặc đăng toàn văn trong kỷ yếu hội nghị, hội thảo có chỉ số ISSN/ISBN
-Báo cáo tổng kết</v>
          </cell>
          <cell r="N31">
            <v>10000000</v>
          </cell>
          <cell r="O31" t="str">
            <v>Mười triệu đồng</v>
          </cell>
          <cell r="P31" t="str">
            <v xml:space="preserve">22110214@student.hcmute.edu.vn   </v>
          </cell>
          <cell r="Q31">
            <v>947119702</v>
          </cell>
        </row>
        <row r="32">
          <cell r="B32" t="str">
            <v>SV2026-33</v>
          </cell>
          <cell r="C32" t="str">
            <v>X</v>
          </cell>
          <cell r="D32" t="str">
            <v>Nghiên cứu cải thiện hiệu suất phân tích cảm xúc theo khía cạnh trong tiếng Việt</v>
          </cell>
          <cell r="E32" t="str">
            <v>Trần Công Toản 22110248</v>
          </cell>
          <cell r="F32" t="str">
            <v xml:space="preserve">Trần Công Toản </v>
          </cell>
          <cell r="G32" t="str">
            <v>Công nghệ Thông tin</v>
          </cell>
          <cell r="H32" t="str">
            <v>22110248</v>
          </cell>
          <cell r="I32" t="str">
            <v>0</v>
          </cell>
          <cell r="J32" t="str">
            <v>Lê Vĩnh Thịnh</v>
          </cell>
          <cell r="K32" t="str">
            <v>Khoa CNTT</v>
          </cell>
          <cell r="L32" t="str">
            <v>thinhlv@hcmute.edu.vn</v>
          </cell>
          <cell r="M32" t="str">
            <v>-Bài báo khoa học đăng trên tạp chí trong nước, hoặc đăng toàn văn trong kỷ yếu hội nghị, hội thảo quốc tế có chỉ số ISSN/ISBN
-Báo cáo tổng kết</v>
          </cell>
          <cell r="N32">
            <v>10000000</v>
          </cell>
          <cell r="O32" t="str">
            <v>Mười triệu đồng</v>
          </cell>
          <cell r="P32" t="str">
            <v>22110248@student.hcmute.edu.vn</v>
          </cell>
          <cell r="Q32" t="str">
            <v>076.939.4157</v>
          </cell>
        </row>
        <row r="33">
          <cell r="B33" t="str">
            <v>SV2026-34</v>
          </cell>
          <cell r="C33" t="str">
            <v>X</v>
          </cell>
          <cell r="D33" t="str">
            <v>Thiết kế và triển khai hệ thống nhà trọ thông minh tích hợp xác thực hai lớp (2FA) và giám sát hành vi bằng AI camera và hệ thống quản lý an ninh SIEM</v>
          </cell>
          <cell r="E33" t="str">
            <v>Phan Duy Khương 23162047</v>
          </cell>
          <cell r="F33" t="str">
            <v xml:space="preserve">Phan Duy Khương </v>
          </cell>
          <cell r="G33" t="str">
            <v>Công nghệ Thông tin</v>
          </cell>
          <cell r="H33" t="str">
            <v>23162047</v>
          </cell>
          <cell r="I33" t="str">
            <v>Phạm Huỳnh Khánh Linh 23162052
Nguyễn Đăng Khoa 23162043</v>
          </cell>
          <cell r="J33" t="str">
            <v>Đinh Công Đoan</v>
          </cell>
          <cell r="K33" t="str">
            <v>Khoa CNTT</v>
          </cell>
          <cell r="L33" t="str">
            <v>doandc@hcmute.edu.vn</v>
          </cell>
          <cell r="M33" t="str">
            <v>-Mô hình sản phẩm
-Chương trình máy tính
-Báo cáo tổng kết
-Bài báo khoa học đăng trên tạp chí hoặc bài báo đăng trên hội thảo quốc tế có chỉ số xuất bản ISBN/ISSN</v>
          </cell>
          <cell r="N33">
            <v>10000000</v>
          </cell>
          <cell r="O33" t="str">
            <v>Mười triệu đồng</v>
          </cell>
          <cell r="P33" t="str">
            <v>23162047@student.hcmute.edu.vn</v>
          </cell>
          <cell r="Q33">
            <v>896980501</v>
          </cell>
        </row>
        <row r="34">
          <cell r="B34" t="str">
            <v>SV2026-35</v>
          </cell>
          <cell r="C34" t="str">
            <v>X</v>
          </cell>
          <cell r="D34" t="str">
            <v>Thuật toán khai thác mẫu rút gọn phổ biến trên CSDL không chắc chắn</v>
          </cell>
          <cell r="E34" t="str">
            <v>Hồ Vũ Thanh Bình 22110287</v>
          </cell>
          <cell r="F34" t="str">
            <v xml:space="preserve">Hồ Vũ Thanh Bình </v>
          </cell>
          <cell r="G34" t="str">
            <v>Công nghệ Thông tin</v>
          </cell>
          <cell r="H34" t="str">
            <v>22110287</v>
          </cell>
          <cell r="I34" t="str">
            <v>0</v>
          </cell>
          <cell r="J34" t="str">
            <v>Trần Tiến Đức</v>
          </cell>
          <cell r="K34" t="str">
            <v>Khoa CNTT</v>
          </cell>
          <cell r="L34" t="str">
            <v>ductt@hcmute.edu.vn</v>
          </cell>
          <cell r="M34" t="str">
            <v>-Bài báo khoa học đăng trên tạp chí trong nước trong danh mục của HĐGSNN tính từ 0,5 điểm trở lên
-Báo cáo tổng kết</v>
          </cell>
          <cell r="N34">
            <v>15000000</v>
          </cell>
          <cell r="O34" t="str">
            <v>Mười lăm triệu đồng</v>
          </cell>
          <cell r="P34" t="str">
            <v>22110287@student.hcmute.edu.vn</v>
          </cell>
          <cell r="Q34" t="str">
            <v>096.854.3251</v>
          </cell>
        </row>
        <row r="35">
          <cell r="B35" t="str">
            <v>SV2026-36</v>
          </cell>
          <cell r="C35" t="str">
            <v>X</v>
          </cell>
          <cell r="D35" t="str">
            <v>Thuật toán khai thác mẫu tối đại trên CSDL định lượng</v>
          </cell>
          <cell r="E35" t="str">
            <v>Nguyễn Nam Hy 22133029</v>
          </cell>
          <cell r="F35" t="str">
            <v xml:space="preserve">Nguyễn Nam Hy </v>
          </cell>
          <cell r="G35" t="str">
            <v>Công nghệ Thông tin</v>
          </cell>
          <cell r="H35" t="str">
            <v>22133029</v>
          </cell>
          <cell r="I35" t="str">
            <v>0</v>
          </cell>
          <cell r="J35" t="str">
            <v>Trần Tiến Đức</v>
          </cell>
          <cell r="K35" t="str">
            <v>Khoa CNTT</v>
          </cell>
          <cell r="L35" t="str">
            <v>ductt@hcmute.edu.vn</v>
          </cell>
          <cell r="M35" t="str">
            <v>-Bài báo khoa học đăng trên tạp chí trong nước trong danh mục của HĐGSNN tính từ 0,5 điểm trở lên
-Báo cáo tổng kết</v>
          </cell>
          <cell r="N35">
            <v>15000000</v>
          </cell>
          <cell r="O35" t="str">
            <v>Mười lăm triệu đồng</v>
          </cell>
          <cell r="P35" t="str">
            <v>22133029@student.hcmute.edu.vn</v>
          </cell>
          <cell r="Q35" t="str">
            <v>038.960.0712</v>
          </cell>
        </row>
        <row r="36">
          <cell r="B36" t="str">
            <v>SV2026-37</v>
          </cell>
          <cell r="C36" t="str">
            <v>X</v>
          </cell>
          <cell r="D36" t="str">
            <v>Nghiên cứu ứng dụng Parameter - Efficient Fine - Tuning (PEFT) để tối ưu hóa mô hình nhận diện thực phẩm</v>
          </cell>
          <cell r="E36" t="str">
            <v>Trần Thị Trung Đoan 22110130</v>
          </cell>
          <cell r="F36" t="str">
            <v xml:space="preserve">Trần Thị Trung Đoan </v>
          </cell>
          <cell r="G36" t="str">
            <v>Công nghệ Thông tin</v>
          </cell>
          <cell r="H36" t="str">
            <v>22110130</v>
          </cell>
          <cell r="I36" t="str">
            <v>Nguyễn Lê Mỹ Hoàng 22110142</v>
          </cell>
          <cell r="J36" t="str">
            <v>Trương Thị Ngọc Phượng</v>
          </cell>
          <cell r="K36" t="str">
            <v>Khoa CNTT</v>
          </cell>
          <cell r="L36" t="str">
            <v>phuongttn@hcmute.edu.vn</v>
          </cell>
          <cell r="M36" t="str">
            <v>-Bài báo khoa học đăng trên tạp chí trong nước, hoặc đăng toàn văn trong kỷ yếu hội nghị, hội thảo có chỉ số ISSN/ISBN
- Chương trình máy tính
- Báo cáo tổng kết</v>
          </cell>
          <cell r="N36">
            <v>10000000</v>
          </cell>
          <cell r="O36" t="str">
            <v>Mười triệu đồng</v>
          </cell>
          <cell r="P36" t="str">
            <v>22110130@student.hcmute.edu.vn</v>
          </cell>
          <cell r="Q36" t="str">
            <v>0905746661</v>
          </cell>
        </row>
        <row r="37">
          <cell r="B37" t="str">
            <v>SV2026-38</v>
          </cell>
          <cell r="C37" t="str">
            <v>X</v>
          </cell>
          <cell r="D37" t="str">
            <v>Nghiên cứu ứng dụng mô hình ngôn ngữ lớn xây dựng trợ lý ảo hỗ trợ sinh viên</v>
          </cell>
          <cell r="E37" t="str">
            <v>Hồ Việt Anh 23133002</v>
          </cell>
          <cell r="F37" t="str">
            <v xml:space="preserve">Hồ Việt Anh </v>
          </cell>
          <cell r="G37" t="str">
            <v>Công nghệ Thông tin</v>
          </cell>
          <cell r="H37" t="str">
            <v>23133002</v>
          </cell>
          <cell r="I37" t="str">
            <v xml:space="preserve">Trần Công Toản 22110248
Đồng Gia Sang  22110219
</v>
          </cell>
          <cell r="J37" t="str">
            <v>Quách Đình Hoàng</v>
          </cell>
          <cell r="K37" t="str">
            <v>Khoa CNTT</v>
          </cell>
          <cell r="L37" t="str">
            <v>hoangqd@hcmute.edu.vn</v>
          </cell>
          <cell r="M37" t="str">
            <v>-Bài báo khoa học đăng trên tạp chí trong nước, hoặc đăng toàn văn trong kỷ yếu hội nghị, hội thảo có chỉ số ISSN/ISBN
- Chương trình máy tính
- Báo cáo tổng kết</v>
          </cell>
          <cell r="N37">
            <v>10000000</v>
          </cell>
          <cell r="O37" t="str">
            <v>Mười triệu đồng</v>
          </cell>
          <cell r="P37" t="str">
            <v>23133002@student.hcmute.edu.vn</v>
          </cell>
          <cell r="Q37" t="str">
            <v>094.900.0030</v>
          </cell>
        </row>
        <row r="38">
          <cell r="B38" t="str">
            <v>SV2026-39</v>
          </cell>
          <cell r="C38"/>
          <cell r="D38" t="str">
            <v>Ảnh hưởng của các yếu tố văn hóa ẩm thực đến hành vi lựa chọn điểm đến du lịch của du khách nội địa: Nghiên cứu trường hợp tại thành phố Cần Thơ</v>
          </cell>
          <cell r="E38" t="str">
            <v>Bùi Như Ý 23159070</v>
          </cell>
          <cell r="F38" t="str">
            <v xml:space="preserve">Bùi Như Ý </v>
          </cell>
          <cell r="G38" t="str">
            <v>Thời trang và Du lịch</v>
          </cell>
          <cell r="H38" t="str">
            <v>23159070</v>
          </cell>
          <cell r="I38" t="str">
            <v>Đỗ Trần Bảo Trâm 23159056
Lê Thị Mỹ Trân 23159058</v>
          </cell>
          <cell r="J38" t="str">
            <v>Lương Thế Bảo</v>
          </cell>
          <cell r="K38" t="str">
            <v>Khoa Thời trang và Du lịch</v>
          </cell>
          <cell r="L38" t="str">
            <v>ltb@hcmute.edu.vn</v>
          </cell>
          <cell r="M38" t="str">
            <v>-01 Bài báo khoa học đăng trên tạp chí trong nước trong danh mục của Hội đồng Giáo sư Nhà nước tính 0,5 điểm 
-01 Báo cáo tổng kết</v>
          </cell>
          <cell r="N38">
            <v>15000000</v>
          </cell>
          <cell r="O38" t="str">
            <v>Mười lăm triệu đồng</v>
          </cell>
          <cell r="P38" t="str">
            <v>23159070@student.hcmute.edu.vn</v>
          </cell>
          <cell r="Q38" t="str">
            <v>0363671657</v>
          </cell>
        </row>
        <row r="39">
          <cell r="B39" t="str">
            <v>SV2026-40</v>
          </cell>
          <cell r="C39" t="str">
            <v>X</v>
          </cell>
          <cell r="D39" t="str">
            <v>Các yếu tố tác động đến ý định mua hàng tại các quầy bán hàng lưu động tại Thành phố Hồ Chí Minh</v>
          </cell>
          <cell r="E39" t="str">
            <v>Nguyễn Mai Thanh Châu 25159005</v>
          </cell>
          <cell r="F39" t="str">
            <v xml:space="preserve">Nguyễn Mai Thanh Châu </v>
          </cell>
          <cell r="G39" t="str">
            <v>Thời trang và Du lịch</v>
          </cell>
          <cell r="H39" t="str">
            <v>25159005</v>
          </cell>
          <cell r="I39" t="str">
            <v>Nguyễn Thị Xuân Thy 25159050
Trương Ngọc Trúc Hương 25159022</v>
          </cell>
          <cell r="J39" t="str">
            <v>Lương Thế Bảo</v>
          </cell>
          <cell r="K39" t="str">
            <v>Khoa Thời trang và Du lịch</v>
          </cell>
          <cell r="L39" t="str">
            <v>ltb@hcmute.edu.vn</v>
          </cell>
          <cell r="M39" t="str">
            <v>-01 Bài báo khoa học đăng trên tạp chí trong nước trong danh mục của Hội đồng Giáo sư Nhà nước tính 0,5 điểm 
-01 Báo cáo tổng kết</v>
          </cell>
          <cell r="N39">
            <v>15000000</v>
          </cell>
          <cell r="O39" t="str">
            <v>Mười lăm triệu đồng</v>
          </cell>
          <cell r="P39" t="str">
            <v>25159005@student.hcmute.edu.vn</v>
          </cell>
          <cell r="Q39" t="str">
            <v>0392174303</v>
          </cell>
        </row>
        <row r="40">
          <cell r="B40" t="str">
            <v>SV2026-41</v>
          </cell>
          <cell r="C40" t="str">
            <v>X</v>
          </cell>
          <cell r="D40" t="str">
            <v>Phân tích tác động của công nghệ số đến mức độ hài lòng của khách hàng tại các nhà hàng ở Thành Phố Hồ Chí Minh</v>
          </cell>
          <cell r="E40" t="str">
            <v>Nguyễn Phương Anh 25159002</v>
          </cell>
          <cell r="F40" t="str">
            <v xml:space="preserve">Nguyễn Phương Anh </v>
          </cell>
          <cell r="G40" t="str">
            <v>Thời trang và Du lịch</v>
          </cell>
          <cell r="H40" t="str">
            <v>25159002</v>
          </cell>
          <cell r="I40" t="str">
            <v>Võ Thị Ngọc Thư 25159049
Phạm Lê Gia Bảo 25159003</v>
          </cell>
          <cell r="J40" t="str">
            <v>Lương Thế Bảo</v>
          </cell>
          <cell r="K40" t="str">
            <v>Khoa Thời trang và Du lịch</v>
          </cell>
          <cell r="L40" t="str">
            <v>ltb@hcmute.edu.vn</v>
          </cell>
          <cell r="M40" t="str">
            <v>-01 Bài báo khoa học đăng trên tạp chí trong nước trong danh mục của Hội đồng Giáo sư Nhà nước tính 0,5 điểm 
-01 Báo cáo tổng kết</v>
          </cell>
          <cell r="N40">
            <v>15000000</v>
          </cell>
          <cell r="O40" t="str">
            <v>Mười lăm triệu đồng</v>
          </cell>
          <cell r="P40" t="str">
            <v>25159002@student.hcmute.edu.vn</v>
          </cell>
          <cell r="Q40" t="str">
            <v>0386721181</v>
          </cell>
        </row>
        <row r="41">
          <cell r="B41" t="str">
            <v>SV2026-42</v>
          </cell>
          <cell r="C41" t="str">
            <v>X</v>
          </cell>
          <cell r="D41" t="str">
            <v>Các yếu tố ảnh hưởng đến ý định sử dụng thực phẩm chay của giới trẻ ở Thành phố Hồ Chí Minh</v>
          </cell>
          <cell r="E41" t="str">
            <v>Võ Thị Bích Tuyền 23159062</v>
          </cell>
          <cell r="F41" t="str">
            <v xml:space="preserve">Võ Thị Bích Tuyền </v>
          </cell>
          <cell r="G41" t="str">
            <v>Thời trang và Du lịch</v>
          </cell>
          <cell r="H41" t="str">
            <v>23159062</v>
          </cell>
          <cell r="I41" t="str">
            <v>Nguyễn Hồng Ngọc 23159036
Lê Thúy Vy 23159067</v>
          </cell>
          <cell r="J41" t="str">
            <v>Lương Thế Bảo</v>
          </cell>
          <cell r="K41" t="str">
            <v>Khoa Thời trang và Du lịch</v>
          </cell>
          <cell r="L41" t="str">
            <v>ltb@hcmute.edu.vn</v>
          </cell>
          <cell r="M41" t="str">
            <v xml:space="preserve">-01 Bài báo khoa học đăng trên tạp chí trong nước trong danh mục của Hội đồng Giáo sư Nhà nước tính 0,5 điểm </v>
          </cell>
          <cell r="N41">
            <v>15000000</v>
          </cell>
          <cell r="O41" t="str">
            <v>Mười lăm triệu đồng</v>
          </cell>
          <cell r="P41" t="str">
            <v>23159062@student.hcmute.edu.vn</v>
          </cell>
          <cell r="Q41" t="str">
            <v>0343994649</v>
          </cell>
        </row>
        <row r="42">
          <cell r="B42" t="str">
            <v>SV2026-43</v>
          </cell>
          <cell r="C42" t="str">
            <v>X</v>
          </cell>
          <cell r="D42" t="str">
            <v>Nghiên cứu nhuộm vải bông bằng dịch chiết kết hợp từ tô mộc, nghệ vàng và hoa đậu biếc</v>
          </cell>
          <cell r="E42" t="str">
            <v>Huỳnh Minh Châu 23109053</v>
          </cell>
          <cell r="F42" t="str">
            <v xml:space="preserve">Huỳnh Minh Châu </v>
          </cell>
          <cell r="G42" t="str">
            <v>Thời trang và Du lịch</v>
          </cell>
          <cell r="H42" t="str">
            <v>23109053</v>
          </cell>
          <cell r="I42" t="str">
            <v>Phạm Vũ Quỳnh Như 23109125</v>
          </cell>
          <cell r="J42" t="str">
            <v>Nguyễn Tuấn Anh</v>
          </cell>
          <cell r="K42" t="str">
            <v>Khoa Thời trang và Du lịch</v>
          </cell>
          <cell r="L42" t="str">
            <v>nta@hcmute.edu.vn</v>
          </cell>
          <cell r="M42" t="str">
            <v xml:space="preserve">-01 Bài báo khoa học đăng trên tạp chí trong nước trong danh mục của Hội đồng Giáo sư Nhà nước tính 0,5 điểm </v>
          </cell>
          <cell r="N42">
            <v>15000000</v>
          </cell>
          <cell r="O42" t="str">
            <v>Mười lăm triệu đồng</v>
          </cell>
          <cell r="P42" t="str">
            <v>23109053@student.hcmute.edu.vn</v>
          </cell>
          <cell r="Q42" t="str">
            <v>0335023391</v>
          </cell>
        </row>
        <row r="43">
          <cell r="B43" t="str">
            <v>SV2026-44</v>
          </cell>
          <cell r="C43" t="str">
            <v>X</v>
          </cell>
          <cell r="D43" t="str">
            <v xml:space="preserve">Khảo sát và đánh giá khả năng chống tia UV của vải bông nhuộm bằng dịch chiết từ một số loại thực vật tại Việt Nam </v>
          </cell>
          <cell r="E43" t="str">
            <v>Võ Thị Quỳnh Trâm 23109159</v>
          </cell>
          <cell r="F43" t="str">
            <v xml:space="preserve">Võ Thị Quỳnh Trâm </v>
          </cell>
          <cell r="G43" t="str">
            <v>Thời trang và Du lịch</v>
          </cell>
          <cell r="H43" t="str">
            <v>23109159</v>
          </cell>
          <cell r="I43" t="str">
            <v>Trần Thị Anh Thúy 23109143</v>
          </cell>
          <cell r="J43" t="str">
            <v>Nguyễn Tuấn Anh</v>
          </cell>
          <cell r="K43" t="str">
            <v>Khoa Thời trang và Du lịch</v>
          </cell>
          <cell r="L43" t="str">
            <v>nta@hcmute.edu.vn</v>
          </cell>
          <cell r="M43" t="str">
            <v>01 Bài báo khoa học đăng trên tạp chí trong nước trong danh mục của Hội đồng Giáo sư Nhà nước tính 0,5 điểm 
-01 Báo cáo tổng kết</v>
          </cell>
          <cell r="N43">
            <v>15000000</v>
          </cell>
          <cell r="O43" t="str">
            <v>Mười lăm triệu đồng</v>
          </cell>
          <cell r="P43" t="str">
            <v>23109159@student.hcmute.edu.vn</v>
          </cell>
          <cell r="Q43" t="str">
            <v>0858382309</v>
          </cell>
        </row>
        <row r="44">
          <cell r="B44" t="str">
            <v>SV2026-45</v>
          </cell>
          <cell r="C44" t="str">
            <v>X</v>
          </cell>
          <cell r="D44" t="str">
            <v>Nghiên cứu ứng dụng cellulose vi sinh vật (Scoby) trong sản xuất vật liệu thời trang sinh thái</v>
          </cell>
          <cell r="E44" t="str">
            <v>Ngô Đặng Khánh Ly 24123035</v>
          </cell>
          <cell r="F44" t="str">
            <v xml:space="preserve">Ngô Đặng Khánh Ly </v>
          </cell>
          <cell r="G44" t="str">
            <v>Thời trang và Du lịch</v>
          </cell>
          <cell r="H44" t="str">
            <v>24123035</v>
          </cell>
          <cell r="I44" t="str">
            <v>Võ Đăng Khoa 24123028
Trần Ngọc Anh 24124094
Phan Đăng Bảo 23128091
Huỳnh Bảo Hân 24124121</v>
          </cell>
          <cell r="J44" t="str">
            <v>Trần Thị Cẩm Tú</v>
          </cell>
          <cell r="K44" t="str">
            <v>Khoa Thời trang và Du lịch</v>
          </cell>
          <cell r="L44" t="str">
            <v>camtuspkt@hcmute.edu.vn</v>
          </cell>
          <cell r="M44" t="str">
            <v xml:space="preserve">-01 Bài báo khoa học đăng trên tạp chí trong nước trong danh mục của Hội đồng Giáo sư Nhà nước tính 0,5 điểm </v>
          </cell>
          <cell r="N44">
            <v>15000000</v>
          </cell>
          <cell r="O44" t="str">
            <v>Mười lăm triệu đồng</v>
          </cell>
          <cell r="P44" t="str">
            <v>24123035@student.hcmute.edu.vn</v>
          </cell>
          <cell r="Q44" t="str">
            <v>0334216492</v>
          </cell>
        </row>
        <row r="45">
          <cell r="B45" t="str">
            <v>SV2026-46</v>
          </cell>
          <cell r="C45" t="str">
            <v>X</v>
          </cell>
          <cell r="D45" t="str">
            <v>Nghiên cứu quy trình sản xuất vải giả da từ cellulose vi sinh vật (Scoby)</v>
          </cell>
          <cell r="E45" t="str">
            <v>Võ Đăng Khoa 24123028</v>
          </cell>
          <cell r="F45" t="str">
            <v xml:space="preserve">Võ Đăng Khoa </v>
          </cell>
          <cell r="G45" t="str">
            <v>Thời trang và Du lịch</v>
          </cell>
          <cell r="H45" t="str">
            <v>24123028</v>
          </cell>
          <cell r="I45" t="str">
            <v>Trần Ngọc Anh 24124094
Phan Đăng Bảo 23128091
Ngô Đặng Khánh Ly 24123035
Huỳnh Bảo Hân 24124121</v>
          </cell>
          <cell r="J45" t="str">
            <v>Trần Thị Cẩm Tú</v>
          </cell>
          <cell r="K45" t="str">
            <v>Khoa Thời trang và Du lịch</v>
          </cell>
          <cell r="L45" t="str">
            <v>camtuspkt@hcmute.edu.vn</v>
          </cell>
          <cell r="M45" t="str">
            <v xml:space="preserve">-01 Bài báo khoa học đăng trên tạp chí trong nước trong danh mục của Hội đồng Giáo sư Nhà nước tính 0,5 điểm </v>
          </cell>
          <cell r="N45">
            <v>15000000</v>
          </cell>
          <cell r="O45" t="str">
            <v>Mười lăm triệu đồng</v>
          </cell>
          <cell r="P45" t="str">
            <v>24123028@student.hcmute.edu.vn</v>
          </cell>
          <cell r="Q45" t="str">
            <v>0838450992</v>
          </cell>
        </row>
        <row r="46">
          <cell r="B46" t="str">
            <v>SV2026-47</v>
          </cell>
          <cell r="C46" t="str">
            <v>X</v>
          </cell>
          <cell r="D46" t="str">
            <v>Đề xuất ứng dụng liệu pháp bibliotherapy trong hỗ trợ giảm căng thẳng học tập cho sinh viên trường đại học Công nghệ Kỹ thuật TP.HCM</v>
          </cell>
          <cell r="E46" t="str">
            <v>Phòng Ngọc Anh Thư 24164044</v>
          </cell>
          <cell r="F46" t="str">
            <v xml:space="preserve">Phòng Ngọc Anh Thư </v>
          </cell>
          <cell r="G46" t="str">
            <v>Viện Sư phạm Kỹ thuật</v>
          </cell>
          <cell r="H46" t="str">
            <v>24164044</v>
          </cell>
          <cell r="I46">
            <v>0</v>
          </cell>
          <cell r="J46" t="str">
            <v>Hoàng Anh</v>
          </cell>
          <cell r="K46" t="str">
            <v>Viện SPKT</v>
          </cell>
          <cell r="L46" t="str">
            <v xml:space="preserve">hoanganh@hcmute.edu.vn </v>
          </cell>
          <cell r="M46" t="str">
            <v>01 Báo cáo đề xuất ứng dụng Bibliotherapy trong hỗ trợ giảm căng thẳng học tập của sinh viên Trường Đại học Công nghệ Kỹ Thuật TPHCM</v>
          </cell>
          <cell r="N46">
            <v>5000000</v>
          </cell>
          <cell r="O46" t="str">
            <v>Năm triệu đồng</v>
          </cell>
          <cell r="P46" t="str">
            <v>thuphong1003@gmail.com</v>
          </cell>
          <cell r="Q46" t="str">
            <v>0788701319</v>
          </cell>
        </row>
        <row r="47">
          <cell r="B47" t="str">
            <v>SV2026-48</v>
          </cell>
          <cell r="C47" t="str">
            <v>X</v>
          </cell>
          <cell r="D47" t="str">
            <v>Xây dựng bộ công cụ truyền thông số hướng dẫn sử dụng mạng xã hội theo hướng tích cực cho học sinh THPT</v>
          </cell>
          <cell r="E47" t="str">
            <v>Huỳnh Ngọc Gia Hân 24164014</v>
          </cell>
          <cell r="F47" t="str">
            <v xml:space="preserve">Huỳnh Ngọc Gia Hân </v>
          </cell>
          <cell r="G47" t="str">
            <v>Viện Sư phạm Kỹ thuật</v>
          </cell>
          <cell r="H47" t="str">
            <v>24164014</v>
          </cell>
          <cell r="I47" t="str">
            <v>Hoàng Bảo Nhi 24164032
Nguyễn Bảo Nhã Uyên 24164054
Nguyễn Ká Quan 24164035
Nguyễn Vũ Lan Nhi 24164033</v>
          </cell>
          <cell r="J47" t="str">
            <v>Diệp Phương Chi</v>
          </cell>
          <cell r="K47" t="str">
            <v>Viện SPKT</v>
          </cell>
          <cell r="L47" t="str">
            <v>chidp@hcmute.edu.vn</v>
          </cell>
          <cell r="M47" t="str">
            <v>01 Bộ công cụ truyền thông số hướng dẫn sử dụng mạng xã hội theo hướng tích cực cho học sinh THPT</v>
          </cell>
          <cell r="N47">
            <v>5000000</v>
          </cell>
          <cell r="O47" t="str">
            <v>Năm triệu đồng</v>
          </cell>
          <cell r="P47" t="str">
            <v>24164014@student.hcmute.edu.vn</v>
          </cell>
          <cell r="Q47" t="str">
            <v>0817945068</v>
          </cell>
        </row>
        <row r="48">
          <cell r="B48" t="str">
            <v>SV2026-49</v>
          </cell>
          <cell r="C48" t="str">
            <v>X</v>
          </cell>
          <cell r="D48" t="str">
            <v>Ảnh hưởng phong cách nuôi dạy của cha mẹ đến hành vi cho nhận của sinh viên ngành Tâm lý học giáo dục trường Đại học Công nghệ Kỹ Thuật TPHCM</v>
          </cell>
          <cell r="E48" t="str">
            <v>Vũ Ngọc Minh Châu 24164007</v>
          </cell>
          <cell r="F48" t="str">
            <v xml:space="preserve">Vũ Ngọc Minh Châu </v>
          </cell>
          <cell r="G48" t="str">
            <v>Viện Sư phạm Kỹ thuật</v>
          </cell>
          <cell r="H48" t="str">
            <v>24164007</v>
          </cell>
          <cell r="I48" t="str">
            <v>Võ Thị Kim Ngân 24164024
Hà Phương Thảo 24164038
Ngô Hoàng Thanh Trúc 24164049
Đỗ Nguyễn Thanh Vy 24164057</v>
          </cell>
          <cell r="J48" t="str">
            <v>Đỗ Thị Mỹ Trang</v>
          </cell>
          <cell r="K48" t="str">
            <v>Viện SPKT</v>
          </cell>
          <cell r="L48" t="str">
            <v xml:space="preserve">mytrang@hcmute.edu.vn </v>
          </cell>
          <cell r="M48" t="str">
            <v>01 bộ kết quả phân tích thực trạng ảnh hưởng của phong cách giáo dục gia đình đến hành vi cho nhận của sinh viên ngành Tâm lý học giáo dục trường đại học Công nghệ Kỹ thuật TPHCM.</v>
          </cell>
          <cell r="N48">
            <v>5000000</v>
          </cell>
          <cell r="O48" t="str">
            <v>Năm triệu đồng</v>
          </cell>
          <cell r="P48" t="str">
            <v>24164007@student.hcmute.edu.vn</v>
          </cell>
          <cell r="Q48" t="str">
            <v>0965246640</v>
          </cell>
        </row>
        <row r="49">
          <cell r="B49" t="str">
            <v>SV2026-50</v>
          </cell>
          <cell r="C49" t="str">
            <v>X</v>
          </cell>
          <cell r="D49" t="str">
            <v>Thực trạng nhận thức và hành vi sử dụng trí tuệ nhân tạo trong học tập của sinh viên Trường Đại học Công nghệ Kỹ thuật Thành phố Hồ Chí Minh</v>
          </cell>
          <cell r="E49" t="str">
            <v>Huỳnh Thị Kim Tiến 24951018</v>
          </cell>
          <cell r="F49" t="str">
            <v xml:space="preserve">Huỳnh Thị Kim Tiến </v>
          </cell>
          <cell r="G49" t="str">
            <v>Viện Sư phạm Kỹ thuật</v>
          </cell>
          <cell r="H49" t="str">
            <v>24951018</v>
          </cell>
          <cell r="I49" t="str">
            <v xml:space="preserve">Nguyễn Thành Đạt  24951005
</v>
          </cell>
          <cell r="J49" t="str">
            <v>Đặng Thị Diệu Hiền</v>
          </cell>
          <cell r="K49" t="str">
            <v>Viện SPKT</v>
          </cell>
          <cell r="L49" t="str">
            <v xml:space="preserve">hiendtd@hcmute.edu.vn </v>
          </cell>
          <cell r="M49" t="str">
            <v>01 Bài báo đăng trên tạp chí trong nước trong danh mục HĐ GSNN tính điểm từ 0.5</v>
          </cell>
          <cell r="N49">
            <v>15000000</v>
          </cell>
          <cell r="O49" t="str">
            <v>Mười lăm triệu đồng</v>
          </cell>
          <cell r="P49" t="str">
            <v xml:space="preserve">24951018@student.hcmute.edu.vn
</v>
          </cell>
          <cell r="Q49" t="str">
            <v>0704 46 3394</v>
          </cell>
        </row>
        <row r="50">
          <cell r="B50" t="str">
            <v>SV2026-51</v>
          </cell>
          <cell r="C50" t="str">
            <v>X</v>
          </cell>
          <cell r="D50" t="str">
            <v>Ứng dụng và phát huy nghệ thuật tranh Đông Hồ vào các sản phẩm thiết kế đồ họa</v>
          </cell>
          <cell r="E50" t="str">
            <v>Hồ Ngọc Như Ý 23156075</v>
          </cell>
          <cell r="F50" t="str">
            <v xml:space="preserve">Hồ Ngọc Như Ý </v>
          </cell>
          <cell r="G50" t="str">
            <v>In - Truyền thông</v>
          </cell>
          <cell r="H50" t="str">
            <v>23156075</v>
          </cell>
          <cell r="I50">
            <v>0</v>
          </cell>
          <cell r="J50" t="str">
            <v>Nguyễn Thị Ngọc Châu</v>
          </cell>
          <cell r="K50" t="str">
            <v>Khoa In và Truyền thông</v>
          </cell>
          <cell r="L50" t="str">
            <v>chauntn@hcmute.edu.vn</v>
          </cell>
          <cell r="M50" t="str">
            <v>01 Bài báo khoa học đăng toàn văn trong kỷ yếu hội nghị, hội thảo quốc tế có chỉ số ISSN/ISBN 
01 Báo cáo tổng kết</v>
          </cell>
          <cell r="N50">
            <v>10000000</v>
          </cell>
          <cell r="O50" t="str">
            <v>Mười triệu đồng</v>
          </cell>
          <cell r="P50" t="str">
            <v xml:space="preserve">23156075@student.hcmute.edu.vn  </v>
          </cell>
          <cell r="Q50" t="str">
            <v xml:space="preserve"> 0355 666 772</v>
          </cell>
        </row>
        <row r="51">
          <cell r="B51" t="str">
            <v>SV2026-52</v>
          </cell>
          <cell r="C51" t="str">
            <v>X</v>
          </cell>
          <cell r="D51" t="str">
            <v>Chế tạo vật liệu Ga2O3 pha tạp Sn bằng phương pháp SILAR cải tiến</v>
          </cell>
          <cell r="E51" t="str">
            <v>Đoàn Lê Trung Hậu 23130015</v>
          </cell>
          <cell r="F51" t="str">
            <v xml:space="preserve">Đoàn Lê Trung Hậu </v>
          </cell>
          <cell r="G51" t="str">
            <v>Khoa học ứng dụng</v>
          </cell>
          <cell r="H51" t="str">
            <v>23130015</v>
          </cell>
          <cell r="I51" t="str">
            <v>Nguyễn Minh Đức 24130022
Nguyễn Đặng Minh Huy 23130022</v>
          </cell>
          <cell r="J51" t="str">
            <v>Đỗ Huy Bình</v>
          </cell>
          <cell r="K51" t="str">
            <v>Khoa Khoa học ứng dụng</v>
          </cell>
          <cell r="L51" t="str">
            <v>binhdh@hcmute.edu.vn</v>
          </cell>
          <cell r="M51" t="str">
            <v>01 Bài báo cáo tổng kết
01 Bài báo khoa học đăng trên tạp chí trong nước trong danh mục của Hội đồng Giáo sư Nhà nước tính 0.5 điểm trở lên hoặc tạp chí quốc tế có chỉ số xuất bản ISBN</v>
          </cell>
          <cell r="N51">
            <v>15000000</v>
          </cell>
          <cell r="O51" t="str">
            <v>Mười lăm triệu đồng</v>
          </cell>
          <cell r="P51" t="str">
            <v>23130015@student.hcmute.edu.vn</v>
          </cell>
          <cell r="Q51" t="str">
            <v>0981099392</v>
          </cell>
        </row>
        <row r="52">
          <cell r="B52" t="str">
            <v>SV2026-53</v>
          </cell>
          <cell r="C52" t="str">
            <v>X</v>
          </cell>
          <cell r="D52" t="str">
            <v>Chế tạo vật liệu Ga2O3 pha tạp Sn bằng phương pháp SILAR.</v>
          </cell>
          <cell r="E52" t="str">
            <v>Phạm Quang Đạt 22130006</v>
          </cell>
          <cell r="F52" t="str">
            <v xml:space="preserve">Phạm Quang Đạt </v>
          </cell>
          <cell r="G52" t="str">
            <v>Khoa học ứng dụng</v>
          </cell>
          <cell r="H52" t="str">
            <v>22130006</v>
          </cell>
          <cell r="I52" t="str">
            <v>Trần Đức Thanh Khoa 23130026
Bùi Xuân Đạt 23130069</v>
          </cell>
          <cell r="J52" t="str">
            <v>Đỗ Huy Bình</v>
          </cell>
          <cell r="K52" t="str">
            <v>Khoa Khoa học ứng dụng</v>
          </cell>
          <cell r="L52" t="str">
            <v>binhdh@hcmute.edu.vn</v>
          </cell>
          <cell r="M52" t="str">
            <v>01 Bài báo cáo tổng kết
01 Bài báo khoa học đăng trên tạp chí trong nước trong danh mục của Hội đồng Giáo sư Nhà nước tính 0.5 điểm trở lên hoặc tạp chí quốc tế có chỉ số xuất bản ISBN</v>
          </cell>
          <cell r="N52">
            <v>15000000</v>
          </cell>
          <cell r="O52" t="str">
            <v>Mười lăm triệu đồng</v>
          </cell>
          <cell r="P52" t="str">
            <v>22130006@student.hcmute.edu.vn</v>
          </cell>
          <cell r="Q52" t="str">
            <v>0345697860</v>
          </cell>
        </row>
        <row r="53">
          <cell r="B53" t="str">
            <v>SV2026-54</v>
          </cell>
          <cell r="C53" t="str">
            <v>X</v>
          </cell>
          <cell r="D53" t="str">
            <v>Nghiên cứu tổng hợp vật liệu M–Prussian Blue analogs làm cathode cho pin sodium-ion hiệu năng cao</v>
          </cell>
          <cell r="E53" t="str">
            <v>Phan Anh Huy 22130010</v>
          </cell>
          <cell r="F53" t="str">
            <v xml:space="preserve">Phan Anh Huy </v>
          </cell>
          <cell r="G53" t="str">
            <v>Khoa học ứng dụng</v>
          </cell>
          <cell r="H53" t="str">
            <v>22130010</v>
          </cell>
          <cell r="I53" t="str">
            <v>Ngô Thị Mỹ Dung 21130056</v>
          </cell>
          <cell r="J53" t="str">
            <v>Ngô Hải Đăng</v>
          </cell>
          <cell r="K53" t="str">
            <v>Khoa Khoa học ứng dụng</v>
          </cell>
          <cell r="L53" t="str">
            <v>dangnh@hcmute.edu.vn</v>
          </cell>
          <cell r="M53" t="str">
            <v>01 Bài báo cáo tổng kết
01 Bài báo khoa học đăng trên tạp chí trong nước trong danh mục của Hội đồng Giáo sư Nhà nước tính 0.5 điểm trở lên hoặc tạp chí quốc tế có chỉ số xuất bản ISBN</v>
          </cell>
          <cell r="N53">
            <v>15000000</v>
          </cell>
          <cell r="O53" t="str">
            <v>Mười lăm triệu đồng</v>
          </cell>
          <cell r="P53" t="str">
            <v>22130010@student.hcmute.edu.vn</v>
          </cell>
          <cell r="Q53" t="str">
            <v>0919989067</v>
          </cell>
        </row>
        <row r="54">
          <cell r="B54" t="str">
            <v>SV2026-55</v>
          </cell>
          <cell r="C54" t="str">
            <v>X</v>
          </cell>
          <cell r="D54" t="str">
            <v>Chế tạo SERS bằng phương pháp tổng hợp xanh ZnO/Ag ứng dụng phát hiện thuốc diệt cỏ</v>
          </cell>
          <cell r="E54" t="str">
            <v>Trương Văn Phước 23130040</v>
          </cell>
          <cell r="F54" t="str">
            <v xml:space="preserve">Trương Văn Phước </v>
          </cell>
          <cell r="G54" t="str">
            <v>Khoa học ứng dụng</v>
          </cell>
          <cell r="H54" t="str">
            <v>23130040</v>
          </cell>
          <cell r="I54" t="str">
            <v xml:space="preserve">Lê Thanh Lâm 21130079 
Nguyễn Hải Đăng 21130063 
Lê Minh Triết 21130102 </v>
          </cell>
          <cell r="J54" t="str">
            <v>Nguyễn Thụy Ngọc Thủy</v>
          </cell>
          <cell r="K54" t="str">
            <v>Khoa Khoa học ứng dụng</v>
          </cell>
          <cell r="L54" t="str">
            <v>thuyntn@hcmute.edu.vn</v>
          </cell>
          <cell r="M54" t="str">
            <v>01 Bài báo cáo tổng kết
01 Bài báo KH đăng trên tạp chí trong nước trong danh mục của Hội đồng Giáo sư Nhà nước tính 0.5 điểm trở lên hoặc tạp chí quốc tế có chỉ số xuất bản ISBN</v>
          </cell>
          <cell r="N54">
            <v>15000000</v>
          </cell>
          <cell r="O54" t="str">
            <v>Mười lăm triệu đồng</v>
          </cell>
          <cell r="P54" t="str">
            <v>23130040@student.hcmute.edu.vn</v>
          </cell>
          <cell r="Q54">
            <v>762958950</v>
          </cell>
        </row>
        <row r="55">
          <cell r="B55" t="str">
            <v>SV2026-56</v>
          </cell>
          <cell r="C55" t="str">
            <v>X</v>
          </cell>
          <cell r="D55" t="str">
            <v>Chế tạo vật liệu nanocomposite GO/Ga2O3 pha tạp Sn</v>
          </cell>
          <cell r="E55" t="str">
            <v>Hoàng Nguyễn Quỳnh Anh 22130001</v>
          </cell>
          <cell r="F55" t="str">
            <v xml:space="preserve">Hoàng Nguyễn Quỳnh Anh </v>
          </cell>
          <cell r="G55" t="str">
            <v>Khoa học ứng dụng</v>
          </cell>
          <cell r="H55" t="str">
            <v>22130001</v>
          </cell>
          <cell r="I55" t="str">
            <v>Nguyễn Lê Nhật Tân 21130097
Trần Văn Khoa 23130027</v>
          </cell>
          <cell r="J55" t="str">
            <v>Đỗ Huy Bình</v>
          </cell>
          <cell r="K55" t="str">
            <v>Khoa Khoa học ứng dụng</v>
          </cell>
          <cell r="L55" t="str">
            <v>binhdh@hcmute.edu.vn</v>
          </cell>
          <cell r="M55" t="str">
            <v>01 Bài báo cáo tổng kết
01 Bài báo khoa học đăng trên tạp chí trong nước trong danh mục của Hội đồng Giáo sư Nhà nước tính 0.5 điểm trở lên hoặc tạp chí quốc tế có chỉ số xuất bản ISBN</v>
          </cell>
          <cell r="N55">
            <v>15000000</v>
          </cell>
          <cell r="O55" t="str">
            <v>Mười lăm triệu đồng</v>
          </cell>
          <cell r="P55" t="str">
            <v>22130001@student.hcmute.edu.vn</v>
          </cell>
          <cell r="Q55" t="str">
            <v>0375427241</v>
          </cell>
        </row>
        <row r="56">
          <cell r="B56" t="str">
            <v>SV2026-57</v>
          </cell>
          <cell r="C56" t="str">
            <v>X</v>
          </cell>
          <cell r="D56" t="str">
            <v>Tổng hợp vật liệu Gallium Oxide pha tạp Sn bằng phương pháp thủy nhiệt</v>
          </cell>
          <cell r="E56" t="str">
            <v>Nguyễn Thị Thanh Thảo 22130022</v>
          </cell>
          <cell r="F56" t="str">
            <v xml:space="preserve">Nguyễn Thị Thanh Thảo </v>
          </cell>
          <cell r="G56" t="str">
            <v>Khoa học ứng dụng</v>
          </cell>
          <cell r="H56" t="str">
            <v>22130022</v>
          </cell>
          <cell r="I56" t="str">
            <v>Lê Thị Kim Thanh 22130021
Nguyễn Ngọc Anh 23130003
Nguyễn Huỳnh Hải Duy 23130009</v>
          </cell>
          <cell r="J56" t="str">
            <v>Đỗ Huy Bình</v>
          </cell>
          <cell r="K56" t="str">
            <v>Khoa Khoa học ứng dụng</v>
          </cell>
          <cell r="L56" t="str">
            <v>binhdh@hcmute.edu.vn</v>
          </cell>
          <cell r="M56" t="str">
            <v>01 Bài báo cáo tổng kết
01 Bài báo khoa học đăng trên tạp chí trong nước trong danh mục của Hội đồng Giáo sư Nhà nước tính 0.5 điểm trở lên hoặc tạp chí quốc tế có chỉ số xuất bản ISBN</v>
          </cell>
          <cell r="N56">
            <v>15000000</v>
          </cell>
          <cell r="O56" t="str">
            <v>Mười lăm triệu đồng</v>
          </cell>
          <cell r="P56" t="str">
            <v>22130022@student.hcmute.edu.vn</v>
          </cell>
          <cell r="Q56" t="str">
            <v>0347283072</v>
          </cell>
        </row>
        <row r="57">
          <cell r="B57" t="str">
            <v>SV2026-58</v>
          </cell>
          <cell r="C57" t="str">
            <v>X</v>
          </cell>
          <cell r="D57" t="str">
            <v>Nghiên cứu chế tạo màng polymer phân hủy sinh học trên nền PVA/Chitosan kết hợp tinh dầu tràm ứng dụng làm màng bao bì thực phẩm</v>
          </cell>
          <cell r="E57" t="str">
            <v>Nguyễn Văn Bình 23130006</v>
          </cell>
          <cell r="F57" t="str">
            <v xml:space="preserve">Nguyễn Văn Bình </v>
          </cell>
          <cell r="G57" t="str">
            <v>Khoa học ứng dụng</v>
          </cell>
          <cell r="H57" t="str">
            <v>23130006</v>
          </cell>
          <cell r="I57" t="str">
            <v>Huỳnh Tấn Phát 22130018
Nguyễn Vũ Anh Tuấn 24130086</v>
          </cell>
          <cell r="J57" t="str">
            <v>Nguyễn Vũ Việt Linh</v>
          </cell>
          <cell r="K57" t="str">
            <v>Khoa Khoa học ứng dụng</v>
          </cell>
          <cell r="L57" t="str">
            <v>linhnv@hcmute.edu.vn</v>
          </cell>
          <cell r="M57" t="str">
            <v>01 Bài báo cáo tổng kết
01 Bài báo khoa học đăng trên tạp chí trong nước trong danh mục của Hội đồng Giáo sư Nhà nước tính 0.5 điểm trở lên</v>
          </cell>
          <cell r="N57">
            <v>15000000</v>
          </cell>
          <cell r="O57" t="str">
            <v>Mười lăm triệu đồng</v>
          </cell>
          <cell r="P57" t="str">
            <v>23130006@student.hcmute.edu.vn</v>
          </cell>
          <cell r="Q57" t="str">
            <v>*0345724436</v>
          </cell>
        </row>
        <row r="58">
          <cell r="B58" t="str">
            <v>SV2026-59</v>
          </cell>
          <cell r="C58" t="str">
            <v>X</v>
          </cell>
          <cell r="D58" t="str">
            <v>Nghiên cứu vật liệu vải cotton kháng khuẩn sử dụng chitosan và nano bạc ứng dụng trong ngành dệt may</v>
          </cell>
          <cell r="E58" t="str">
            <v>Huỳnh Tấn Phát 22130018</v>
          </cell>
          <cell r="F58" t="str">
            <v xml:space="preserve">Huỳnh Tấn Phát </v>
          </cell>
          <cell r="G58" t="str">
            <v>Khoa học ứng dụng</v>
          </cell>
          <cell r="H58" t="str">
            <v>22130018</v>
          </cell>
          <cell r="I58">
            <v>0</v>
          </cell>
          <cell r="J58" t="str">
            <v>Nguyễn Vũ Việt Linh</v>
          </cell>
          <cell r="K58" t="str">
            <v>Khoa Khoa học ứng dụng</v>
          </cell>
          <cell r="L58" t="str">
            <v>linhnv@hcmute.edu.vn</v>
          </cell>
          <cell r="M58" t="str">
            <v>01 Bài báo cáo tổng kết</v>
          </cell>
          <cell r="N58">
            <v>5000000</v>
          </cell>
          <cell r="O58" t="str">
            <v>Năm triệu đồng</v>
          </cell>
          <cell r="P58" t="str">
            <v>22130018@student.hcmute.edu.vn</v>
          </cell>
          <cell r="Q58">
            <v>947122772</v>
          </cell>
        </row>
        <row r="59">
          <cell r="B59" t="str">
            <v>SV2026-60</v>
          </cell>
          <cell r="C59" t="str">
            <v>X</v>
          </cell>
          <cell r="D59" t="str">
            <v>Khảo sát ảnh hưởng của thông số chế tạo lên hình thái và tính chất sợi in 3D từ PLA phế liệu</v>
          </cell>
          <cell r="E59" t="str">
            <v>Võ Hữu Nghĩa 22130017</v>
          </cell>
          <cell r="F59" t="str">
            <v xml:space="preserve">Võ Hữu Nghĩa </v>
          </cell>
          <cell r="G59" t="str">
            <v>Khoa học ứng dụng</v>
          </cell>
          <cell r="H59" t="str">
            <v>22130017</v>
          </cell>
          <cell r="I59" t="str">
            <v>Trần Thái Trung Tuấn 21130104</v>
          </cell>
          <cell r="J59" t="str">
            <v>Nguyễn Vũ Việt Linh</v>
          </cell>
          <cell r="K59" t="str">
            <v>Khoa Khoa học ứng dụng</v>
          </cell>
          <cell r="L59" t="str">
            <v>linhnv@hcmute.edu.vn</v>
          </cell>
          <cell r="M59" t="str">
            <v>01 Bài báo cáo tổng kết
01 Bài báo khoa học đăng trên tạp chí trong nước trong danh mục của Hội đồng Giáo sư Nhà nước tính 0.5 điểm trở lên</v>
          </cell>
          <cell r="N59">
            <v>15000000</v>
          </cell>
          <cell r="O59" t="str">
            <v>Mười lăm triệu đồng</v>
          </cell>
          <cell r="P59" t="str">
            <v>22130017@student.hcmute.edu.vn</v>
          </cell>
          <cell r="Q59" t="str">
            <v>0979082146</v>
          </cell>
        </row>
        <row r="60">
          <cell r="B60" t="str">
            <v>SV2026-61</v>
          </cell>
          <cell r="C60" t="str">
            <v>X</v>
          </cell>
          <cell r="D60" t="str">
            <v xml:space="preserve">Nghiên cứu chế tạo vật liệu hấp thụ dầu từ đầu lọc thuốc lá hiệu Thăng Long đã qua sử dụng </v>
          </cell>
          <cell r="E60" t="str">
            <v>Nguyễn Trường Tiến 21130101</v>
          </cell>
          <cell r="F60" t="str">
            <v xml:space="preserve">Nguyễn Trường Tiến </v>
          </cell>
          <cell r="G60" t="str">
            <v>Khoa học ứng dụng</v>
          </cell>
          <cell r="H60" t="str">
            <v>21130101</v>
          </cell>
          <cell r="I60" t="str">
            <v>Trần Văn Lợi 23130033</v>
          </cell>
          <cell r="J60" t="str">
            <v>Nguyễn Vũ Việt Linh</v>
          </cell>
          <cell r="K60" t="str">
            <v>Khoa Khoa học ứng dụng</v>
          </cell>
          <cell r="L60" t="str">
            <v>linhnv@hcmute.edu.vn</v>
          </cell>
          <cell r="M60" t="str">
            <v>01 Bài báo cáo tổng kết</v>
          </cell>
          <cell r="N60">
            <v>5000000</v>
          </cell>
          <cell r="O60" t="str">
            <v>Năm triệu đồng</v>
          </cell>
          <cell r="P60" t="str">
            <v>21130101@student.hcmute.edu.vn</v>
          </cell>
          <cell r="Q60" t="str">
            <v>*0792601712</v>
          </cell>
        </row>
        <row r="61">
          <cell r="B61" t="str">
            <v>SV2026-62</v>
          </cell>
          <cell r="C61" t="str">
            <v>X</v>
          </cell>
          <cell r="D61" t="str">
            <v>Ứng dụng kỹ thuật SEIRA sử dụng dây nano bạc để phát hiện dư lượng thuốc trừ sâu</v>
          </cell>
          <cell r="E61" t="str">
            <v>Lê Thị Phương Nhi 23130037</v>
          </cell>
          <cell r="F61" t="str">
            <v xml:space="preserve">Lê Thị Phương Nhi </v>
          </cell>
          <cell r="G61" t="str">
            <v>Khoa học ứng dụng</v>
          </cell>
          <cell r="H61" t="str">
            <v>23130037</v>
          </cell>
          <cell r="I61" t="str">
            <v>Vũ Như Ý 23130068
Nguyễn Quang Duy 23130010
Trương Lê Minh Khánh 24130044
Trần Đình Tuấn 22130025</v>
          </cell>
          <cell r="J61" t="str">
            <v>Phạm Thị Kim Hằng</v>
          </cell>
          <cell r="K61" t="str">
            <v>Khoa Khoa học ứng dụng</v>
          </cell>
          <cell r="L61" t="str">
            <v>hangptk@hcmute.edu.vn</v>
          </cell>
          <cell r="M61" t="str">
            <v>01 Bài báo cáo tổng kết
01 Bài báo khoa học đăng trên tạp chí trong nước trong danh mục của Hội đồng Giáo sư Nhà nước tính 0.5 điểm trở lên</v>
          </cell>
          <cell r="N61">
            <v>15000000</v>
          </cell>
          <cell r="O61" t="str">
            <v>Mười lăm triệu đồng</v>
          </cell>
          <cell r="P61" t="str">
            <v>23130037@student.hcmute.edu.vn</v>
          </cell>
          <cell r="Q61" t="str">
            <v>0348522754</v>
          </cell>
        </row>
        <row r="62">
          <cell r="B62" t="str">
            <v>SV2026-63</v>
          </cell>
          <cell r="C62" t="str">
            <v>X</v>
          </cell>
          <cell r="D62" t="str">
            <v>Nghiên cứu vật liệu Oxit kim loại bọc Ag nanowire tăng cường tín hiệu SEIRA</v>
          </cell>
          <cell r="E62" t="str">
            <v>Trần Đình Tuấn 22130025</v>
          </cell>
          <cell r="F62" t="str">
            <v xml:space="preserve">Trần Đình Tuấn </v>
          </cell>
          <cell r="G62" t="str">
            <v>Khoa học ứng dụng</v>
          </cell>
          <cell r="H62" t="str">
            <v>22130025</v>
          </cell>
          <cell r="I62" t="str">
            <v>Trần Mỹ Hân 23130014  
Lê Thị Phương Nhi 23130037 
Đỗ Thụy Như Ý 23130067 
Vũ Như Ý 23130068</v>
          </cell>
          <cell r="J62" t="str">
            <v>Phạm Thị Kim Hằng</v>
          </cell>
          <cell r="K62" t="str">
            <v>Khoa Khoa học ứng dụng</v>
          </cell>
          <cell r="L62" t="str">
            <v>hangptk@hcmute.edu.vn</v>
          </cell>
          <cell r="M62" t="str">
            <v>01 Bài báo cáo tổng kết
01 Bài báo khoa học đăng trên tạp chí trong nước trong danh mục của Hội đồng Giáo sư Nhà nước tính 0.5 điểm trở lên</v>
          </cell>
          <cell r="N62">
            <v>15000000</v>
          </cell>
          <cell r="O62" t="str">
            <v>Mười lăm triệu đồng</v>
          </cell>
          <cell r="P62" t="str">
            <v>22130025@student.hcmute.edu.vn</v>
          </cell>
          <cell r="Q62" t="str">
            <v>0839087154</v>
          </cell>
        </row>
        <row r="63">
          <cell r="B63" t="str">
            <v>SV2026-64</v>
          </cell>
          <cell r="C63" t="str">
            <v>X</v>
          </cell>
          <cell r="D63" t="str">
            <v>Chế tạo và khảo sát cấu trúc và tính chất của nano đồng</v>
          </cell>
          <cell r="E63" t="str">
            <v>Lê Minh Tiến 23130053</v>
          </cell>
          <cell r="F63" t="str">
            <v xml:space="preserve">Lê Minh Tiến </v>
          </cell>
          <cell r="G63" t="str">
            <v>Khoa học ứng dụng</v>
          </cell>
          <cell r="H63" t="str">
            <v>23130053</v>
          </cell>
          <cell r="I63" t="str">
            <v>Trần Mỹ Hân 23130014
Nguyễn Minh Tiến 23130054
Đỗ Thụy Như Ý 23130067 
Lê Thị Phương Nhi 23130037</v>
          </cell>
          <cell r="J63" t="str">
            <v>Ngô Hải Đăng</v>
          </cell>
          <cell r="K63" t="str">
            <v>Khoa Khoa học ứng dụng</v>
          </cell>
          <cell r="L63" t="str">
            <v>dangnh@hcmute.edu.vn</v>
          </cell>
          <cell r="M63" t="str">
            <v>01 Bài báo cáo tổng kết
01 Bài báo khoa học đăng trên tạp chí trong nước trong danh mục của Hội đồng Giáo sư Nhà nước tính 0.5 điểm trở lên</v>
          </cell>
          <cell r="N63">
            <v>15000000</v>
          </cell>
          <cell r="O63" t="str">
            <v>Mười lăm triệu đồng</v>
          </cell>
          <cell r="P63" t="str">
            <v>23130053@student.hcmute.edu.vn</v>
          </cell>
          <cell r="Q63" t="str">
            <v>0589941368</v>
          </cell>
        </row>
        <row r="64">
          <cell r="B64" t="str">
            <v>SV2026-65</v>
          </cell>
          <cell r="C64" t="str">
            <v>X</v>
          </cell>
          <cell r="D64" t="str">
            <v>Chế tạo và khảo sát các tính chất của màng mỏng Ta2O5</v>
          </cell>
          <cell r="E64" t="str">
            <v>Thạch Bảo Khang 22130014</v>
          </cell>
          <cell r="F64" t="str">
            <v xml:space="preserve">Thạch Bảo Khang </v>
          </cell>
          <cell r="G64" t="str">
            <v>Khoa học ứng dụng</v>
          </cell>
          <cell r="H64" t="str">
            <v>22130014</v>
          </cell>
          <cell r="I64" t="str">
            <v>Nguyễn Quang Duy 23130010
Nguyễn Minh Tiến 23130054
Vũ Như Ý 23130068</v>
          </cell>
          <cell r="J64" t="str">
            <v>Phạm Thị Kim Hằng</v>
          </cell>
          <cell r="K64" t="str">
            <v>Khoa Khoa học ứng dụng</v>
          </cell>
          <cell r="L64" t="str">
            <v>hangptk@hcmute.edu.vn</v>
          </cell>
          <cell r="M64" t="str">
            <v>01 Bài báo cáo tổng kết
01 Bài báo khoa học đăng trên tạp chí trong nước trong danh mục của Hội đồng Giáo sư Nhà nước tính 0.5 điểm trở lên</v>
          </cell>
          <cell r="N64">
            <v>15000000</v>
          </cell>
          <cell r="O64" t="str">
            <v>Mười lăm triệu đồng</v>
          </cell>
          <cell r="P64" t="str">
            <v>22130014@student.hcmute.edu.vn</v>
          </cell>
          <cell r="Q64">
            <v>932766448</v>
          </cell>
        </row>
        <row r="65">
          <cell r="B65" t="str">
            <v>SV2026-66</v>
          </cell>
          <cell r="C65" t="str">
            <v>X</v>
          </cell>
          <cell r="D65" t="str">
            <v>Ảnh hưởng của pha tạp đến tính chất quang xúc tác của vật liệu  α-FeOOH</v>
          </cell>
          <cell r="E65" t="str">
            <v>Phạm Thị Bích Diệp
22130005</v>
          </cell>
          <cell r="F65" t="str">
            <v xml:space="preserve">Phạm Thị Bích Diệp
</v>
          </cell>
          <cell r="G65" t="str">
            <v>Khoa học ứng dụng</v>
          </cell>
          <cell r="H65" t="str">
            <v>22130005</v>
          </cell>
          <cell r="I65" t="str">
            <v>Lê Minh Tiến 23130053
Nguyễn Quang Duy 23130010
Trần Mỹ Hân 23130014
Trương Lê Minh Khánh 24130044</v>
          </cell>
          <cell r="J65" t="str">
            <v>Ngô Hải Đăng</v>
          </cell>
          <cell r="K65" t="str">
            <v>Khoa Khoa học ứng dụng</v>
          </cell>
          <cell r="L65" t="str">
            <v>dangnh@hcmute.edu.vn</v>
          </cell>
          <cell r="M65" t="str">
            <v>01 Bài báo cáo tổng kết
01 Bài báo khoa học đăng trên tạp chí trong nước trong danh mục của Hội đồng Giáo sư Nhà nước tính 0.5 điểm trở lên</v>
          </cell>
          <cell r="N65">
            <v>15000000</v>
          </cell>
          <cell r="O65" t="str">
            <v>Mười lăm triệu đồng</v>
          </cell>
          <cell r="P65" t="str">
            <v>22130005@student.hcmute.edu.vn</v>
          </cell>
          <cell r="Q65">
            <v>862388734</v>
          </cell>
        </row>
        <row r="66">
          <cell r="B66" t="str">
            <v>SV2026-67</v>
          </cell>
          <cell r="C66" t="str">
            <v>X</v>
          </cell>
          <cell r="D66" t="str">
            <v>Nghiên cứu tín hiệu tăng cường SEIRA - Carbon Dots trên giấy lọc</v>
          </cell>
          <cell r="E66" t="str">
            <v>Nguyễn Quang Duy 23130010</v>
          </cell>
          <cell r="F66" t="str">
            <v xml:space="preserve">Nguyễn Quang Duy </v>
          </cell>
          <cell r="G66" t="str">
            <v>Khoa học ứng dụng</v>
          </cell>
          <cell r="H66" t="str">
            <v>23130010</v>
          </cell>
          <cell r="I66" t="str">
            <v>Lê Thị Phương Nhi 23130037
Lê Minh Tiến 23130053
Vũ Như Ý 23130068
Trương Lê Minh Khánh 24130044</v>
          </cell>
          <cell r="J66" t="str">
            <v>Ngô Hải Đăng</v>
          </cell>
          <cell r="K66" t="str">
            <v>Khoa Khoa học ứng dụng</v>
          </cell>
          <cell r="L66" t="str">
            <v>dangnh@hcmute.edu.vn</v>
          </cell>
          <cell r="M66" t="str">
            <v>01 Bài báo cáo tổng kết
01 Bài báo khoa học đăng trên tạp chí trong nước trong danh mục của Hội đồng Giáo sư Nhà nước tính 0.5 điểm trở lên</v>
          </cell>
          <cell r="N66">
            <v>15000000</v>
          </cell>
          <cell r="O66" t="str">
            <v>Mười lăm triệu đồng</v>
          </cell>
          <cell r="P66" t="str">
            <v>23130010@student.hcmute.edu.vn</v>
          </cell>
          <cell r="Q66" t="str">
            <v>0325570381</v>
          </cell>
        </row>
        <row r="67">
          <cell r="B67" t="str">
            <v>SV2026-68</v>
          </cell>
          <cell r="C67" t="str">
            <v>X</v>
          </cell>
          <cell r="D67" t="str">
            <v>Ảnh hưởng của điều kiện chế tạo đến tính chất màng mỏng Tungstentrioxide (WO3)</v>
          </cell>
          <cell r="E67" t="str">
            <v>Dương Hồng Dịu Thơ 22130023</v>
          </cell>
          <cell r="F67" t="str">
            <v xml:space="preserve">Dương Hồng Dịu Thơ </v>
          </cell>
          <cell r="G67" t="str">
            <v>Khoa học ứng dụng</v>
          </cell>
          <cell r="H67" t="str">
            <v>22130023</v>
          </cell>
          <cell r="I67" t="str">
            <v>Lê Thị Phương Nhi 23130037
Nguyễn Minh Tiến 23130054
Trương Lê Minh Khánh 24130044</v>
          </cell>
          <cell r="J67" t="str">
            <v>Trần Thị Khánh Chi</v>
          </cell>
          <cell r="K67" t="str">
            <v>Khoa Khoa học ứng dụng</v>
          </cell>
          <cell r="L67" t="str">
            <v>chittk@hcmute.edu.vn</v>
          </cell>
          <cell r="M67" t="str">
            <v>01 Bài báo cáo tổng kết
01 Bài báo khoa học đăng trên tạp chí trong nước trong danh mục của Hội đồng Giáo sư Nhà nước tính 0.5 điểm trở lên</v>
          </cell>
          <cell r="N67">
            <v>15000000</v>
          </cell>
          <cell r="O67" t="str">
            <v>Mười lăm triệu đồng</v>
          </cell>
          <cell r="P67" t="str">
            <v>22130023@student.hcmute.edu.vn</v>
          </cell>
          <cell r="Q67">
            <v>337552351</v>
          </cell>
        </row>
        <row r="68">
          <cell r="B68" t="str">
            <v>SV2026-69</v>
          </cell>
          <cell r="C68" t="str">
            <v>X</v>
          </cell>
          <cell r="D68" t="str">
            <v>Nghiên cứu tổng hợp bê tông xanh sử dụng rác thải vỏ trứng gà</v>
          </cell>
          <cell r="E68" t="str">
            <v>Nguyễn Minh Tiến 23130054</v>
          </cell>
          <cell r="F68" t="str">
            <v xml:space="preserve">Nguyễn Minh Tiến </v>
          </cell>
          <cell r="G68" t="str">
            <v>Khoa học ứng dụng</v>
          </cell>
          <cell r="H68" t="str">
            <v>23130054</v>
          </cell>
          <cell r="I68" t="str">
            <v>Nguyễn Quang Duy 23130010
Vũ Như Ý 23130068
Phạm Thị Bích Diệp 22130005
Trần Đình Tuấn 22130025</v>
          </cell>
          <cell r="J68" t="str">
            <v>Phạm Thị Kim Hằng</v>
          </cell>
          <cell r="K68" t="str">
            <v>Khoa Khoa học ứng dụng</v>
          </cell>
          <cell r="L68" t="str">
            <v>hangptk@hcmute.edu.vn</v>
          </cell>
          <cell r="M68" t="str">
            <v>01 Bài báo cáo tổng kết
01 Bài báo khoa học đăng trên tạp chí trong nước trong danh mục của Hội đồng Giáo sư Nhà nước tính 0.5 điểm trở lên</v>
          </cell>
          <cell r="N68">
            <v>15000000</v>
          </cell>
          <cell r="O68" t="str">
            <v>Mười lăm triệu đồng</v>
          </cell>
          <cell r="P68" t="str">
            <v>23130054@student.hcmute.edu.vn</v>
          </cell>
          <cell r="Q68">
            <v>348148809</v>
          </cell>
        </row>
        <row r="69">
          <cell r="B69" t="str">
            <v>SV2026-70</v>
          </cell>
          <cell r="C69" t="str">
            <v>X</v>
          </cell>
          <cell r="D69" t="str">
            <v xml:space="preserve">Nghiên cứu chế tạo vật liệu than sinh học từ phế phẩm nông nghiệp </v>
          </cell>
          <cell r="E69" t="str">
            <v>Đặng Tô Hoài Vy 22130026</v>
          </cell>
          <cell r="F69" t="str">
            <v xml:space="preserve">Đặng Tô Hoài Vy </v>
          </cell>
          <cell r="G69" t="str">
            <v>Khoa học ứng dụng</v>
          </cell>
          <cell r="H69" t="str">
            <v>22130026</v>
          </cell>
          <cell r="I69" t="str">
            <v>Võ Văn Chương 24130009</v>
          </cell>
          <cell r="J69" t="str">
            <v>Nguyễn Chí Thanh</v>
          </cell>
          <cell r="K69" t="str">
            <v>Khoa Khoa học ứng dụng</v>
          </cell>
          <cell r="L69" t="str">
            <v>thanhnc@hcmute.edu.vn</v>
          </cell>
          <cell r="M69" t="str">
            <v>01 Bài báo cáo tổng kết
01 Bài báo khoa học đăng trên tạp chí trong nước trong danh mục của Hội đồng Giáo sư Nhà nước tính 0.5 điểm trở lên</v>
          </cell>
          <cell r="N69">
            <v>15000000</v>
          </cell>
          <cell r="O69" t="str">
            <v>Mười lăm triệu đồng</v>
          </cell>
          <cell r="P69" t="str">
            <v>22130026@student.hcmute.edu.vn</v>
          </cell>
          <cell r="Q69" t="str">
            <v>0367303489</v>
          </cell>
        </row>
        <row r="70">
          <cell r="B70" t="str">
            <v>SV2026-71</v>
          </cell>
          <cell r="C70" t="str">
            <v>X</v>
          </cell>
          <cell r="D70" t="str">
            <v>Chế tạo vật liệu cellulose aerogel thân thiện với môi trường từ phế thải giấy</v>
          </cell>
          <cell r="E70" t="str">
            <v>Phạm Thị Kim Hiên 24130029</v>
          </cell>
          <cell r="F70" t="str">
            <v xml:space="preserve">Phạm Thị Kim Hiên </v>
          </cell>
          <cell r="G70" t="str">
            <v>Khoa học ứng dụng</v>
          </cell>
          <cell r="H70" t="str">
            <v>24130029</v>
          </cell>
          <cell r="I70" t="str">
            <v>Huỳnh Ngọc Mỹ Duyên 24130016</v>
          </cell>
          <cell r="J70" t="str">
            <v>Nguyễn Chí Thanh</v>
          </cell>
          <cell r="K70" t="str">
            <v>Khoa Khoa học ứng dụng</v>
          </cell>
          <cell r="L70" t="str">
            <v>thanhnc@hcmute.edu.vn</v>
          </cell>
          <cell r="M70" t="str">
            <v>01 Bài báo cáo tổng kết
01 Bài báo khoa học đăng trên tạp chí trong nước trong danh mục của Hội đồng Giáo sư Nhà nước tính 0.5 điểm trở lên</v>
          </cell>
          <cell r="N70">
            <v>15000000</v>
          </cell>
          <cell r="O70" t="str">
            <v>Mười lăm triệu đồng</v>
          </cell>
          <cell r="P70" t="str">
            <v>24130029@student.hcmute.edu.vn</v>
          </cell>
          <cell r="Q70" t="str">
            <v>0866685271</v>
          </cell>
        </row>
        <row r="71">
          <cell r="B71" t="str">
            <v>SV2026-72</v>
          </cell>
          <cell r="C71" t="str">
            <v>X</v>
          </cell>
          <cell r="D71" t="str">
            <v>Nghiên cứu chế tạo vật liệu microcellulose từ giấy phế liệu-định hướng ứng dụng làm vật liệu hấp phụ ion kim loại nặng</v>
          </cell>
          <cell r="E71" t="str">
            <v>Huỳnh Ngọc Mỹ Duyên 24130016</v>
          </cell>
          <cell r="F71" t="str">
            <v xml:space="preserve">Huỳnh Ngọc Mỹ Duyên </v>
          </cell>
          <cell r="G71" t="str">
            <v>Khoa học ứng dụng</v>
          </cell>
          <cell r="H71" t="str">
            <v>24130016</v>
          </cell>
          <cell r="I71" t="str">
            <v xml:space="preserve">Võ Văn Chương 24130009
</v>
          </cell>
          <cell r="J71" t="str">
            <v>Nguyễn Chí Thanh</v>
          </cell>
          <cell r="K71" t="str">
            <v>Khoa Khoa học ứng dụng</v>
          </cell>
          <cell r="L71" t="str">
            <v>thanhnc@hcmute.edu.vn</v>
          </cell>
          <cell r="M71" t="str">
            <v>01 Bài báo cáo tổng kết
01 Bài báo khoa học đăng trên tạp chí trong nước trong danh mục của Hội đồng Giáo sư Nhà nước tính 0.5 điểm trở lên</v>
          </cell>
          <cell r="N71">
            <v>15000000</v>
          </cell>
          <cell r="O71" t="str">
            <v>Mười lăm triệu đồng</v>
          </cell>
          <cell r="P71" t="str">
            <v>24130016@student.hcmute.edu.vn</v>
          </cell>
          <cell r="Q71" t="str">
            <v>0765418805</v>
          </cell>
        </row>
        <row r="72">
          <cell r="B72" t="str">
            <v>SV2026-73</v>
          </cell>
          <cell r="C72" t="str">
            <v>X</v>
          </cell>
          <cell r="D72" t="str">
            <v>Tối ưu hóa quy trình trích ly vật liệu cellulose từ đài sen</v>
          </cell>
          <cell r="E72" t="str">
            <v>Võ Văn Chương 24130009</v>
          </cell>
          <cell r="F72" t="str">
            <v xml:space="preserve">Võ Văn Chương </v>
          </cell>
          <cell r="G72" t="str">
            <v>Khoa học ứng dụng</v>
          </cell>
          <cell r="H72" t="str">
            <v>24130009</v>
          </cell>
          <cell r="I72" t="str">
            <v>Phạm Thị Kim Hiên 24130029</v>
          </cell>
          <cell r="J72" t="str">
            <v>Nguyễn Chí Thanh</v>
          </cell>
          <cell r="K72" t="str">
            <v>Khoa Khoa học ứng dụng</v>
          </cell>
          <cell r="L72" t="str">
            <v>thanhnc@hcmute.edu.vn</v>
          </cell>
          <cell r="M72" t="str">
            <v>01 Bài báo cáo tổng kết
01 Bài báo khoa học đăng trên tạp chí trong nước trong danh mục của Hội đồng Giáo sư Nhà nước tính 0.5 điểm trở lên</v>
          </cell>
          <cell r="N72">
            <v>15000000</v>
          </cell>
          <cell r="O72" t="str">
            <v>Mười lăm triệu đồng</v>
          </cell>
          <cell r="P72" t="str">
            <v>24130009@student.hcmute.edu.vn</v>
          </cell>
          <cell r="Q72" t="str">
            <v>0898986419</v>
          </cell>
        </row>
        <row r="73">
          <cell r="B73" t="str">
            <v>SV2026-74</v>
          </cell>
          <cell r="C73" t="str">
            <v>X</v>
          </cell>
          <cell r="D73" t="str">
            <v>Nghiên cứu khả năng trộn của bột inox và polypropylene (PP) để tạo feedstock cho công nghệ ép phun</v>
          </cell>
          <cell r="E73" t="str">
            <v>Nguyễn Hữu Lượng 22144347</v>
          </cell>
          <cell r="F73" t="str">
            <v xml:space="preserve">Nguyễn Hữu Lượng </v>
          </cell>
          <cell r="G73" t="str">
            <v>Cơ khí Chế tạo máy</v>
          </cell>
          <cell r="H73" t="str">
            <v>22144347</v>
          </cell>
          <cell r="I73" t="str">
            <v>Hoàng Xuân Mạnh 22144349
Phạm Tiến Mạnh 22144351</v>
          </cell>
          <cell r="J73" t="str">
            <v>Nguyễn Văn Thức</v>
          </cell>
          <cell r="K73" t="str">
            <v>Khoa CKM</v>
          </cell>
          <cell r="L73" t="str">
            <v>nvthuc@hcmute.edu.vn</v>
          </cell>
          <cell r="M73" t="str">
            <v>01 Báo cáo tổng kết</v>
          </cell>
          <cell r="N73">
            <v>5000000</v>
          </cell>
          <cell r="O73" t="str">
            <v>Năm triệu đồng</v>
          </cell>
          <cell r="P73" t="str">
            <v>22144347@student.hcmute.edu.vn</v>
          </cell>
          <cell r="Q73" t="str">
            <v>0395655352</v>
          </cell>
        </row>
        <row r="74">
          <cell r="B74" t="str">
            <v>SV2026-75</v>
          </cell>
          <cell r="C74" t="str">
            <v>X</v>
          </cell>
          <cell r="D74" t="str">
            <v xml:space="preserve">Nghiên cứu thiết kế chế tạo Drone sử dụng thuật toán điều khiển Fuzzy trong PX4 </v>
          </cell>
          <cell r="E74" t="str">
            <v>Nguyễn Thành Danh 22146282</v>
          </cell>
          <cell r="F74" t="str">
            <v xml:space="preserve">Nguyễn Thành Danh </v>
          </cell>
          <cell r="G74" t="str">
            <v>Cơ khí Chế tạo máy</v>
          </cell>
          <cell r="H74" t="str">
            <v>22146282</v>
          </cell>
          <cell r="I74" t="str">
            <v>Huỳnh Minh Gia Bảo 24146010</v>
          </cell>
          <cell r="J74" t="str">
            <v>Hà Lê Như Ngọc Thành</v>
          </cell>
          <cell r="K74" t="str">
            <v>Khoa CKM</v>
          </cell>
          <cell r="L74" t="str">
            <v>thanh.hlnn@hcmute.edu.vn</v>
          </cell>
          <cell r="M74" t="str">
            <v>- Mô hình UAV 4 cánh
- Thuật toán điều khiển Fuzzy
- Kết quả mô phỏng và thực nghiệm
- Báo cáo tổng kết</v>
          </cell>
          <cell r="N74">
            <v>10000000</v>
          </cell>
          <cell r="O74" t="str">
            <v>Mười triệu đồng</v>
          </cell>
          <cell r="P74" t="str">
            <v>22146282@student.hcmute.edu.vn</v>
          </cell>
          <cell r="Q74" t="str">
            <v>0942365776</v>
          </cell>
        </row>
        <row r="75">
          <cell r="B75" t="str">
            <v>SV2026-76</v>
          </cell>
          <cell r="C75" t="str">
            <v>X</v>
          </cell>
          <cell r="D75" t="str">
            <v>Tính toán thiết kế chế tạo máy đột bằng khí nén</v>
          </cell>
          <cell r="E75" t="str">
            <v>Lê Võ Minh Quân 22146203</v>
          </cell>
          <cell r="F75" t="str">
            <v xml:space="preserve">Lê Võ Minh Quân </v>
          </cell>
          <cell r="G75" t="str">
            <v>Cơ khí Chế tạo máy</v>
          </cell>
          <cell r="H75" t="str">
            <v>22146203</v>
          </cell>
          <cell r="I75" t="str">
            <v>Nguyễn Hồng Thơ 22146236
Nguyễn Minh Nhân 22146187
Nguyễn Doãn Thắng 22146227</v>
          </cell>
          <cell r="J75" t="str">
            <v>Dương Thế Phong</v>
          </cell>
          <cell r="K75" t="str">
            <v>Khoa CKM</v>
          </cell>
          <cell r="L75" t="str">
            <v>phongdt@hcmute.edu.vn</v>
          </cell>
          <cell r="M75" t="str">
            <v>- Mô hình máy đột bằng khí nén hoàn chỉnh
- Bộ bản vẽ thiết kế máy đột (2D và 3D)
- Báo cáo tổng kết đề tài nghiên cứu và thuyết minh.</v>
          </cell>
          <cell r="N75">
            <v>10000000</v>
          </cell>
          <cell r="O75" t="str">
            <v>Mười triệu đồng</v>
          </cell>
          <cell r="P75" t="str">
            <v>22146203@student.hcmute.edu.vn</v>
          </cell>
          <cell r="Q75" t="str">
            <v>0981943918</v>
          </cell>
        </row>
        <row r="76">
          <cell r="B76" t="str">
            <v>SV2026-77</v>
          </cell>
          <cell r="C76" t="str">
            <v>X</v>
          </cell>
          <cell r="D76" t="str">
            <v>Khảo sát hiện tượng dao động cán dao phay tại thời điểm vào dao</v>
          </cell>
          <cell r="E76" t="str">
            <v>Nguyễn Quốc Huy 22144104</v>
          </cell>
          <cell r="F76" t="str">
            <v xml:space="preserve">Nguyễn Quốc Huy </v>
          </cell>
          <cell r="G76" t="str">
            <v>Cơ khí Chế tạo máy</v>
          </cell>
          <cell r="H76" t="str">
            <v>22144104</v>
          </cell>
          <cell r="I76" t="str">
            <v>Trần Minh Khương 22144128
Trần Đức Chính 22144064</v>
          </cell>
          <cell r="J76" t="str">
            <v>Nguyễn Văn Sơn</v>
          </cell>
          <cell r="K76" t="str">
            <v>Khoa CKM</v>
          </cell>
          <cell r="L76" t="str">
            <v>sonnv@hcmute.edu.vn</v>
          </cell>
          <cell r="M76" t="str">
            <v>- 02 Bài báo khoa học đăng trên tạp chí trong nước trong danh mục của HĐ GSNN tính từ 0,5 điểm trở lên</v>
          </cell>
          <cell r="N76">
            <v>25000000</v>
          </cell>
          <cell r="O76" t="str">
            <v>Hai mươi lăm triệu đồng</v>
          </cell>
          <cell r="P76" t="str">
            <v>22144104@student.hcmute.edu.vn</v>
          </cell>
          <cell r="Q76" t="str">
            <v xml:space="preserve"> 0388904506</v>
          </cell>
        </row>
        <row r="77">
          <cell r="B77" t="str">
            <v>SV2026-78</v>
          </cell>
          <cell r="C77" t="str">
            <v>X</v>
          </cell>
          <cell r="D77" t="str">
            <v>Nghiên cứu, thiết kế, cải tiến hệ thống điều khiển máy thử mỏi.</v>
          </cell>
          <cell r="E77" t="str">
            <v>Nguyễn Minh Châu 23143006</v>
          </cell>
          <cell r="F77" t="str">
            <v xml:space="preserve">Nguyễn Minh Châu </v>
          </cell>
          <cell r="G77" t="str">
            <v>Cơ khí Chế tạo máy</v>
          </cell>
          <cell r="H77" t="str">
            <v>23143006</v>
          </cell>
          <cell r="I77" t="str">
            <v>Nguyễn Phước Tiến 23143040
'Dương Văn Thông 23143037
'Đỗ Hoàng Phụng 22143143</v>
          </cell>
          <cell r="J77" t="str">
            <v>Trần Thanh Lam</v>
          </cell>
          <cell r="K77" t="str">
            <v>Khoa CKM</v>
          </cell>
          <cell r="L77" t="str">
            <v>lamtt@hcmute.edu.vn</v>
          </cell>
          <cell r="M77" t="str">
            <v>- Hệ thống điều khiển máy mỏi (mô hình)
- Báo cáo tổng kết: Đạt yêu cầu báo cáo khoa học</v>
          </cell>
          <cell r="N77">
            <v>10000000</v>
          </cell>
          <cell r="O77" t="str">
            <v>Mười triệu đồng</v>
          </cell>
          <cell r="P77" t="str">
            <v>23143006@student.hcmute.edu.vn</v>
          </cell>
          <cell r="Q77" t="str">
            <v>0354382981</v>
          </cell>
        </row>
        <row r="78">
          <cell r="B78" t="str">
            <v>SV2026-79</v>
          </cell>
          <cell r="C78" t="str">
            <v>X</v>
          </cell>
          <cell r="D78" t="str">
            <v>Phân tích dữ liệu và tối ưu hóa thông số giảm chấn cho cán dao phay theo phương pháp Taguchi - ANOVA</v>
          </cell>
          <cell r="E78" t="str">
            <v>Nguyễn Phan Trường Huy 23144218</v>
          </cell>
          <cell r="F78" t="str">
            <v xml:space="preserve">Nguyễn Phan Trường Huy </v>
          </cell>
          <cell r="G78" t="str">
            <v>Cơ khí Chế tạo máy</v>
          </cell>
          <cell r="H78" t="str">
            <v>23144218</v>
          </cell>
          <cell r="I78" t="str">
            <v>Nguyễn Thanh Phúc 21144113
Lý Văn Bình 21144367</v>
          </cell>
          <cell r="J78" t="str">
            <v>Nguyễn Văn Minh (THN)</v>
          </cell>
          <cell r="K78" t="str">
            <v>Khoa CKM</v>
          </cell>
          <cell r="L78" t="str">
            <v>minhngvan@hcmute.edu.vn</v>
          </cell>
          <cell r="M78" t="str">
            <v>- 02 Bài báo khoa học đăng trên tạp chí trong nước trong danh mục của HĐ GSNN tính từ 0,5 điểm trở lên</v>
          </cell>
          <cell r="N78">
            <v>25000000</v>
          </cell>
          <cell r="O78" t="str">
            <v>Hai mươi lăm triệu đồng</v>
          </cell>
          <cell r="P78" t="str">
            <v>23144218@student.hcmute.edu.vn</v>
          </cell>
          <cell r="Q78" t="str">
            <v>0974748642</v>
          </cell>
        </row>
        <row r="79">
          <cell r="B79" t="str">
            <v>SV2026-80</v>
          </cell>
          <cell r="C79" t="str">
            <v>X</v>
          </cell>
          <cell r="D79" t="str">
            <v>Nghiên cứu DSC và FTIR của vật liệu Polymers</v>
          </cell>
          <cell r="E79" t="str">
            <v>Hồ Văn Duy 24144132</v>
          </cell>
          <cell r="F79" t="str">
            <v xml:space="preserve">Hồ Văn Duy </v>
          </cell>
          <cell r="G79" t="str">
            <v>Cơ khí Chế tạo máy</v>
          </cell>
          <cell r="H79" t="str">
            <v>24144132</v>
          </cell>
          <cell r="I79" t="str">
            <v>Nguyễn Thành Danh 22144006
Trương Nguyễn Thế Bảo 22144004
Hoàng Quang Dương 22144009</v>
          </cell>
          <cell r="J79" t="str">
            <v>Nguyễn Thị Ánh Tuyết</v>
          </cell>
          <cell r="K79" t="str">
            <v>Khoa CKM</v>
          </cell>
          <cell r="L79" t="str">
            <v>ntatuyet@hcmute.edu.vn</v>
          </cell>
          <cell r="M79" t="str">
            <v>- Báo cáo tổng kết: 	Đạt yêu cầu báo cáo khoa học</v>
          </cell>
          <cell r="N79">
            <v>5000000</v>
          </cell>
          <cell r="O79" t="str">
            <v>Năm triệu đồng</v>
          </cell>
          <cell r="P79" t="str">
            <v>22144004@student.hcmute.edu.vn</v>
          </cell>
          <cell r="Q79" t="str">
            <v>0987247360</v>
          </cell>
        </row>
        <row r="80">
          <cell r="B80" t="str">
            <v>SV2026-81</v>
          </cell>
          <cell r="C80" t="str">
            <v>X</v>
          </cell>
          <cell r="D80" t="str">
            <v>Nghiên cứu phương pháp và kỹ thuật gia công chế tác ghế gỗ thư giãn Egroniomics (Egronomics wooden lounge chair)</v>
          </cell>
          <cell r="E80" t="str">
            <v>Đỗ Hữu Hưng 23138021</v>
          </cell>
          <cell r="F80" t="str">
            <v xml:space="preserve">Đỗ Hữu Hưng </v>
          </cell>
          <cell r="G80" t="str">
            <v>Cơ khí Chế tạo máy</v>
          </cell>
          <cell r="H80" t="str">
            <v>23138021</v>
          </cell>
          <cell r="I80" t="str">
            <v>Phan Thị Thu Thảo 23138052</v>
          </cell>
          <cell r="J80" t="str">
            <v xml:space="preserve">Nguyễn Văn Tú </v>
          </cell>
          <cell r="K80" t="str">
            <v>Khoa CKM</v>
          </cell>
          <cell r="L80" t="str">
            <v>tunv@hcmute.edu.vn</v>
          </cell>
          <cell r="M80" t="str">
            <v>01 Báo cáo tổng kết:Đạt yêu cầu của báo cáo khoa học.</v>
          </cell>
          <cell r="N80">
            <v>5000000</v>
          </cell>
          <cell r="O80" t="str">
            <v>Năm triệu đồng</v>
          </cell>
          <cell r="P80" t="str">
            <v>23138021@student.hcmute.edu.vn</v>
          </cell>
          <cell r="Q80" t="str">
            <v>0339080373</v>
          </cell>
        </row>
        <row r="81">
          <cell r="B81" t="str">
            <v>SV2026-82</v>
          </cell>
          <cell r="C81" t="str">
            <v>X</v>
          </cell>
          <cell r="D81" t="str">
            <v>Nghiên cứu thiết kế, mô phỏng và chế tạo mô hình cơ cấu hộp giảm tốc phục vụ học tập bảo dưỡng cơ khí</v>
          </cell>
          <cell r="E81" t="str">
            <v>Nguyễn Phạm Quốc Khánh 23144098</v>
          </cell>
          <cell r="F81" t="str">
            <v xml:space="preserve">Nguyễn Phạm Quốc Khánh </v>
          </cell>
          <cell r="G81" t="str">
            <v>Cơ khí Chế tạo máy</v>
          </cell>
          <cell r="H81" t="str">
            <v>23144098</v>
          </cell>
          <cell r="I81" t="str">
            <v>Võ Ngô Quân 22144173
Phan Minh Quân 23144145</v>
          </cell>
          <cell r="J81" t="str">
            <v>Dương Thị Vân Anh</v>
          </cell>
          <cell r="K81" t="str">
            <v>Khoa CKM</v>
          </cell>
          <cell r="L81" t="str">
            <v>anhdtv@hcmute.edu.vn</v>
          </cell>
          <cell r="M81" t="str">
            <v>- 01 Báo cáo tổng kết: Đạt yêu cầu báo cáo khoa học</v>
          </cell>
          <cell r="N81">
            <v>5000000</v>
          </cell>
          <cell r="O81" t="str">
            <v>Năm triệu đồng</v>
          </cell>
          <cell r="P81" t="str">
            <v>23144098@student.hcmute.edu.vn</v>
          </cell>
          <cell r="Q81" t="str">
            <v>0916226671</v>
          </cell>
        </row>
        <row r="82">
          <cell r="B82" t="str">
            <v>SV2026-83</v>
          </cell>
          <cell r="C82" t="str">
            <v>X</v>
          </cell>
          <cell r="D82" t="str">
            <v>Mô phỏng hiện tượng đàn hồi ngược của nhôm A5052 trong quá trình chấn chữ V</v>
          </cell>
          <cell r="E82" t="str">
            <v>Huỳnh Tấn Lợi 24144219</v>
          </cell>
          <cell r="F82" t="str">
            <v xml:space="preserve">Huỳnh Tấn Lợi </v>
          </cell>
          <cell r="G82" t="str">
            <v>Cơ khí Chế tạo máy</v>
          </cell>
          <cell r="H82" t="str">
            <v>24144219</v>
          </cell>
          <cell r="I82" t="str">
            <v>Tăng Minh Mẫn 24144227
Nguyễn Mai Luân 24144222</v>
          </cell>
          <cell r="J82" t="str">
            <v>Nguyễn Văn Thức</v>
          </cell>
          <cell r="K82" t="str">
            <v>Khoa CKM</v>
          </cell>
          <cell r="L82" t="str">
            <v>nvthuc@hcmute.edu.vn</v>
          </cell>
          <cell r="M82" t="str">
            <v>- 01 Báo cáo tổng kết:Đạt yêu cầu của báo cáo khoa học.</v>
          </cell>
          <cell r="N82">
            <v>5000000</v>
          </cell>
          <cell r="O82" t="str">
            <v>Năm triệu đồng</v>
          </cell>
          <cell r="P82" t="str">
            <v>24144219@student.hcmute.edu.vn</v>
          </cell>
          <cell r="Q82" t="str">
            <v>0944762590</v>
          </cell>
        </row>
        <row r="83">
          <cell r="B83" t="str">
            <v>SV2026-84</v>
          </cell>
          <cell r="C83" t="str">
            <v>X</v>
          </cell>
          <cell r="D83" t="str">
            <v>Phát triển giải thuật điều khiển xe robot tự cân bằng</v>
          </cell>
          <cell r="E83" t="str">
            <v>Đoàn Nguyễn Anh Khoa 23134030</v>
          </cell>
          <cell r="F83" t="str">
            <v xml:space="preserve">Đoàn Nguyễn Anh Khoa </v>
          </cell>
          <cell r="G83" t="str">
            <v>Cơ khí Chế tạo máy</v>
          </cell>
          <cell r="H83" t="str">
            <v>23134030</v>
          </cell>
          <cell r="I83" t="str">
            <v xml:space="preserve">Bùi Đình Khôi 23134032
Lê Thanh Sang 23134049
Nguyễn Minh Nghĩa 23134039
</v>
          </cell>
          <cell r="J83" t="str">
            <v>Lê Thanh Tùng</v>
          </cell>
          <cell r="K83" t="str">
            <v>Khoa CKM</v>
          </cell>
          <cell r="L83" t="str">
            <v>tunglt@hcmute.edu.vn</v>
          </cell>
          <cell r="M83" t="str">
            <v>01 bài báo  đăng trên tạp chí trong nước trong danh mục của HĐ GSNN tính từ 0,5 điểm trở lên.
'Chương trình Giải thuật điều khiển xe robot tự cân bằng bằng AI/ML/DL/RL
- Báo cáo tổng kết đề tài</v>
          </cell>
          <cell r="N83">
            <v>10000000</v>
          </cell>
          <cell r="O83" t="str">
            <v>Mười triệu đồng</v>
          </cell>
          <cell r="P83" t="str">
            <v>23134030@student.hcmute.edu.vn</v>
          </cell>
          <cell r="Q83" t="str">
            <v>0392259556</v>
          </cell>
        </row>
        <row r="84">
          <cell r="B84" t="str">
            <v>SV2026-85</v>
          </cell>
          <cell r="C84" t="str">
            <v>X</v>
          </cell>
          <cell r="D84" t="str">
            <v>Nghiên cứu giải thuật nhận diện đối tượng và vật cản bằng Stereo Camera cho bộ điều khiển trên tàu tự hành trên mặt nước.</v>
          </cell>
          <cell r="E84" t="str">
            <v>Trần Văn Tiến 22146417</v>
          </cell>
          <cell r="F84" t="str">
            <v xml:space="preserve">Trần Văn Tiến </v>
          </cell>
          <cell r="G84" t="str">
            <v>Cơ khí Chế tạo máy</v>
          </cell>
          <cell r="H84" t="str">
            <v>22146417</v>
          </cell>
          <cell r="I84" t="str">
            <v>Lâm Phước An 22146257
Nguyễn Ngọc An 22146259
Huỳnh Sang Lành 23146296</v>
          </cell>
          <cell r="J84" t="str">
            <v>Trần Minh Thiên</v>
          </cell>
          <cell r="K84" t="str">
            <v>Khoa CKM</v>
          </cell>
          <cell r="L84" t="str">
            <v>thientm@hcmute.edu.vn</v>
          </cell>
          <cell r="M84" t="str">
            <v xml:space="preserve">-Bài báo khoa học: Bài báo khoa học đăng trên tạp chí không thuộc mục 1; hoặc bài báo đăng trên hội thảo quốc tế có chỉ số xuất bản ISBN/ISSN; hoặc sản phẩm mô hình, thiết bị (không có hợp đồng chuyển giao công nghệ).
- Báo cáo tổng kết
</v>
          </cell>
          <cell r="N84">
            <v>10000000</v>
          </cell>
          <cell r="O84" t="str">
            <v>Mười triệu đồng</v>
          </cell>
          <cell r="P84" t="str">
            <v>22146417@student.hcmute.edu.vn</v>
          </cell>
          <cell r="Q84" t="str">
            <v>0399013031</v>
          </cell>
        </row>
        <row r="85">
          <cell r="B85" t="str">
            <v>SV2026-86</v>
          </cell>
          <cell r="C85" t="str">
            <v>X</v>
          </cell>
          <cell r="D85" t="str">
            <v>Thiết kế mô hình chân của robot dạng chó</v>
          </cell>
          <cell r="E85" t="str">
            <v>Lê Tuyến 24143395</v>
          </cell>
          <cell r="F85" t="str">
            <v xml:space="preserve">Lê Tuyến </v>
          </cell>
          <cell r="G85" t="str">
            <v>Cơ khí Chế tạo máy</v>
          </cell>
          <cell r="H85" t="str">
            <v>24143395</v>
          </cell>
          <cell r="I85" t="str">
            <v>Trương Nguyễn Thế Bảo 22144004
Võ Quốc Lập 22144025</v>
          </cell>
          <cell r="J85" t="str">
            <v>Trần Minh Thế Uyên</v>
          </cell>
          <cell r="K85" t="str">
            <v>Khoa CKM</v>
          </cell>
          <cell r="L85" t="str">
            <v>uyentmt@hcmute.edu.vn</v>
          </cell>
          <cell r="M85" t="str">
            <v>- 02 Bài báo khoa học đăng trên tạp chí trong nước trong danh mục của HĐ GSNN tính từ 0,5 điểm trở lên</v>
          </cell>
          <cell r="N85">
            <v>25000000</v>
          </cell>
          <cell r="O85" t="str">
            <v>Hai mươi lăm triệu đồng</v>
          </cell>
          <cell r="P85" t="str">
            <v>22144025@student.hcmute.edu.vn</v>
          </cell>
          <cell r="Q85" t="str">
            <v>0938658324</v>
          </cell>
        </row>
        <row r="86">
          <cell r="B86" t="str">
            <v>SV2026-87</v>
          </cell>
          <cell r="C86" t="str">
            <v>X</v>
          </cell>
          <cell r="D86" t="str">
            <v>Chế tạo mô hình hỗ trợ lực nâng cho cánh tay</v>
          </cell>
          <cell r="E86" t="str">
            <v>Trịnh Minh Quân 22143150</v>
          </cell>
          <cell r="F86" t="str">
            <v xml:space="preserve">Trịnh Minh Quân </v>
          </cell>
          <cell r="G86" t="str">
            <v>Cơ khí Chế tạo máy</v>
          </cell>
          <cell r="H86" t="str">
            <v>22143150</v>
          </cell>
          <cell r="I86" t="str">
            <v>Nguyễn Thành Oanh 22143137</v>
          </cell>
          <cell r="J86" t="str">
            <v>Trần Minh Thế Uyên</v>
          </cell>
          <cell r="K86" t="str">
            <v>Khoa CKM</v>
          </cell>
          <cell r="L86" t="str">
            <v>uyentmt@hcmute.edu.vn</v>
          </cell>
          <cell r="M86" t="str">
            <v>- 02 Bài báo khoa học đăng trên tạp chí trong nước trong danh mục của HĐ GSNN tính từ 0,5 điểm trở lên</v>
          </cell>
          <cell r="N86">
            <v>25000000</v>
          </cell>
          <cell r="O86" t="str">
            <v>Hai mươi lăm triệu đồng</v>
          </cell>
          <cell r="P86" t="str">
            <v>22143150@student.hcmute.edu.vn</v>
          </cell>
          <cell r="Q86" t="str">
            <v>0969479487</v>
          </cell>
        </row>
        <row r="87">
          <cell r="B87" t="str">
            <v>SV2026-88</v>
          </cell>
          <cell r="C87" t="str">
            <v>X</v>
          </cell>
          <cell r="D87" t="str">
            <v>Phân tích dữ liệu và tối ưu hóa thông số phun ép đến độ bền xoắn của mẫu thử</v>
          </cell>
          <cell r="E87" t="str">
            <v>Nguyễn Hữu Chiến 22144063</v>
          </cell>
          <cell r="F87" t="str">
            <v xml:space="preserve">Nguyễn Hữu Chiến </v>
          </cell>
          <cell r="G87" t="str">
            <v>Cơ khí Chế tạo máy</v>
          </cell>
          <cell r="H87" t="str">
            <v>22144063</v>
          </cell>
          <cell r="I87" t="str">
            <v>Trần Quốc Tuấn 20144005
Nguyễn Hoàng Long 24144055
Trần Nguyễn Anh Quân 22144031</v>
          </cell>
          <cell r="J87" t="str">
            <v>Đoàn  Tất Linh</v>
          </cell>
          <cell r="K87" t="str">
            <v>Khoa CKM</v>
          </cell>
          <cell r="L87" t="str">
            <v>linhdt@hcmute.edu.vn</v>
          </cell>
          <cell r="M87" t="str">
            <v>- 02 Bài báo khoa học đăng trên tạp chí trong nước trong danh mục của HĐ GSNN tính từ 0,5 điểm trở lên</v>
          </cell>
          <cell r="N87">
            <v>25000000</v>
          </cell>
          <cell r="O87" t="str">
            <v>Hai mươi lăm triệu đồng</v>
          </cell>
          <cell r="P87" t="str">
            <v>22144031@student.hcmute.edu.vn</v>
          </cell>
          <cell r="Q87" t="str">
            <v>0947004207</v>
          </cell>
        </row>
        <row r="88">
          <cell r="B88" t="str">
            <v>SV2026-89</v>
          </cell>
          <cell r="C88" t="str">
            <v>X</v>
          </cell>
          <cell r="D88" t="str">
            <v>Thiết kế chế tạo Cobot 6 bậc tự do</v>
          </cell>
          <cell r="E88" t="str">
            <v>Nguyễn Thị Ánh Ngọc 23134040</v>
          </cell>
          <cell r="F88" t="str">
            <v xml:space="preserve">Nguyễn Thị Ánh Ngọc </v>
          </cell>
          <cell r="G88" t="str">
            <v>Cơ khí Chế tạo máy</v>
          </cell>
          <cell r="H88" t="str">
            <v>23134040</v>
          </cell>
          <cell r="I88" t="str">
            <v>Võ Phước Thắng 22146229
Nguyễn Chí Bình 22146084
Trần Văn Dương 21146079</v>
          </cell>
          <cell r="J88" t="str">
            <v>Cái Việt Anh Dũng</v>
          </cell>
          <cell r="K88" t="str">
            <v>Khoa CKM</v>
          </cell>
          <cell r="L88" t="str">
            <v>dungcva@hcmute.edu.vn</v>
          </cell>
          <cell r="M88" t="str">
            <v>-Mô hình thiết bị robot tương tác (Cobot)
- Bản vẽ mô hình
- Báo cáo tổng kết</v>
          </cell>
          <cell r="N88">
            <v>10000000</v>
          </cell>
          <cell r="O88" t="str">
            <v>Mười triệu đồng</v>
          </cell>
          <cell r="P88" t="str">
            <v xml:space="preserve">23134040@student.hcmute.edu.vn </v>
          </cell>
          <cell r="Q88" t="str">
            <v>0355879132</v>
          </cell>
        </row>
        <row r="89">
          <cell r="B89" t="str">
            <v>SV2026-90</v>
          </cell>
          <cell r="C89" t="str">
            <v>X</v>
          </cell>
          <cell r="D89" t="str">
            <v>Tính toán thiết kế máy CNC 3 trục sử dụng dây nhiệt</v>
          </cell>
          <cell r="E89" t="str">
            <v>Nguyễn Tiến Anh 23146047</v>
          </cell>
          <cell r="F89" t="str">
            <v xml:space="preserve">Nguyễn Tiến Anh </v>
          </cell>
          <cell r="G89" t="str">
            <v>Cơ khí Chế tạo máy</v>
          </cell>
          <cell r="H89" t="str">
            <v>23146047</v>
          </cell>
          <cell r="I89" t="str">
            <v>Ngô Trần Trọng Khôi	 23146099
Phương Tiến Hiệp	 23146076
Huỳnh Đạt	 23146063
Trần Thạch Tuân	 23146160</v>
          </cell>
          <cell r="J89" t="str">
            <v>Nguyễn Hoài Nam</v>
          </cell>
          <cell r="K89" t="str">
            <v>Khoa CKM</v>
          </cell>
          <cell r="L89" t="str">
            <v>namnh@hcmute.edu.vn</v>
          </cell>
          <cell r="M89" t="str">
            <v>- Mô hình máy CNC 3 trục 
- Tập bản vẽ
- Báo cáo tổng kết: Đạt yêu cầu báo cáo khoa học</v>
          </cell>
          <cell r="N89">
            <v>10000000</v>
          </cell>
          <cell r="O89" t="str">
            <v>Mười triệu đồng</v>
          </cell>
          <cell r="P89" t="str">
            <v>23146047@student.hcmute.edu.vn</v>
          </cell>
          <cell r="Q89" t="str">
            <v>23146047</v>
          </cell>
        </row>
        <row r="90">
          <cell r="B90" t="str">
            <v>SV2026-91</v>
          </cell>
          <cell r="C90" t="str">
            <v>X</v>
          </cell>
          <cell r="D90" t="str">
            <v>Thực nghiệm và phân tích kết quả về khả năng tải của mô hình cơ nhân tạo (so sánh với mô hình của Festo)</v>
          </cell>
          <cell r="E90" t="str">
            <v>Hà Quốc Huy 23144216</v>
          </cell>
          <cell r="F90" t="str">
            <v xml:space="preserve">Hà Quốc Huy </v>
          </cell>
          <cell r="G90" t="str">
            <v>Cơ khí Chế tạo máy</v>
          </cell>
          <cell r="H90" t="str">
            <v>23144216</v>
          </cell>
          <cell r="I90" t="str">
            <v>Huỳnh Duy Hưng 23144221</v>
          </cell>
          <cell r="J90" t="str">
            <v>Huỳnh Đỗ Song Toàn</v>
          </cell>
          <cell r="K90" t="str">
            <v>Khoa CKM</v>
          </cell>
          <cell r="L90" t="str">
            <v>toanhds@hcmute.edu.vn</v>
          </cell>
          <cell r="M90" t="str">
            <v>- 02 Bài báo khoa học đăng trên tạp chí trong nước trong danh mục của HĐ GSNN tính từ 0,5 điểm trở lên</v>
          </cell>
          <cell r="N90">
            <v>25000000</v>
          </cell>
          <cell r="O90" t="str">
            <v>Hai mươi lăm triệu đồng</v>
          </cell>
          <cell r="P90" t="str">
            <v>23144216@student.hcmute.edu.vn</v>
          </cell>
          <cell r="Q90" t="str">
            <v>0816109253</v>
          </cell>
        </row>
        <row r="91">
          <cell r="B91" t="str">
            <v>SV2026-92</v>
          </cell>
          <cell r="C91" t="str">
            <v>X</v>
          </cell>
          <cell r="D91" t="str">
            <v>Nghiên cứu ứng dụng phương pháp tạo hình theo lớp trong chế tạo các mẫu thử độ bền</v>
          </cell>
          <cell r="E91" t="str">
            <v>Bành Văn Hoà Lợi 24104036</v>
          </cell>
          <cell r="F91" t="str">
            <v xml:space="preserve">Bành Văn Hoà Lợi </v>
          </cell>
          <cell r="G91" t="str">
            <v>Cơ khí Chế tạo máy</v>
          </cell>
          <cell r="H91" t="str">
            <v>24104036</v>
          </cell>
          <cell r="I91" t="str">
            <v>Huỳnh Ngọc Mai Ngân 24104039
Trần Hoàng Huy 24104026</v>
          </cell>
          <cell r="J91" t="str">
            <v>Vũ Quang Huy</v>
          </cell>
          <cell r="K91" t="str">
            <v>Khoa CKM</v>
          </cell>
          <cell r="L91" t="str">
            <v>huyvq@hcmute.edu.vn</v>
          </cell>
          <cell r="M91" t="str">
            <v>- 02 Bài báo khoa học đăng trên tạp chí trong nước trong danh mục của HĐ GSNN tính từ 0,5 điểm trở lên</v>
          </cell>
          <cell r="N91">
            <v>25000000</v>
          </cell>
          <cell r="O91" t="str">
            <v>Hai mươi lăm triệu đồng</v>
          </cell>
          <cell r="P91" t="str">
            <v>24104036@student.hcmute.edu.vn</v>
          </cell>
          <cell r="Q91" t="str">
            <v>0799550195</v>
          </cell>
        </row>
        <row r="92">
          <cell r="B92" t="str">
            <v>SV2026-93</v>
          </cell>
          <cell r="C92" t="str">
            <v>X</v>
          </cell>
          <cell r="D92" t="str">
            <v>Nghiên cứu tổng hợp keo Melamine urê-formaldehyde cho sản xuất ván xơ dừa</v>
          </cell>
          <cell r="E92" t="str">
            <v>Lê Nguyên Giang San 24138037</v>
          </cell>
          <cell r="F92" t="str">
            <v xml:space="preserve">Lê Nguyên Giang San </v>
          </cell>
          <cell r="G92" t="str">
            <v>Cơ khí Chế tạo máy</v>
          </cell>
          <cell r="H92" t="str">
            <v>24138037</v>
          </cell>
          <cell r="I92" t="str">
            <v>Lê Dương Thái Bảo 24138006
Nguyễn Thị Hương Giang 24138016
Phạm Ngọc Giao 24138017
Lê Anh Tuấn 24138053</v>
          </cell>
          <cell r="J92" t="str">
            <v>Nguyễn Hải Hoàn</v>
          </cell>
          <cell r="K92" t="str">
            <v>Khoa CKM</v>
          </cell>
          <cell r="L92" t="str">
            <v>hoannh@hcmute.edu.vn</v>
          </cell>
          <cell r="M92" t="str">
            <v>- 01 Báo cáo tổng kết:Đạt yêu cầu của báo cáo khoa học.</v>
          </cell>
          <cell r="N92">
            <v>5000000</v>
          </cell>
          <cell r="O92" t="str">
            <v>Năm triệu đồng</v>
          </cell>
          <cell r="P92" t="str">
            <v>24138037@student.hcmute.edu.vn</v>
          </cell>
          <cell r="Q92" t="str">
            <v>0931316276</v>
          </cell>
        </row>
        <row r="93">
          <cell r="B93" t="str">
            <v>SV2026-94</v>
          </cell>
          <cell r="C93" t="str">
            <v>X</v>
          </cell>
          <cell r="D93" t="str">
            <v>Chế tạo khuôn nghiên cứu độ bền uốn sản phẩm nhựa với các mức nhiệt độ khuôn khác nhau</v>
          </cell>
          <cell r="E93" t="str">
            <v>Võ Quốc Bảo 22143080</v>
          </cell>
          <cell r="F93" t="str">
            <v xml:space="preserve">Võ Quốc Bảo </v>
          </cell>
          <cell r="G93" t="str">
            <v>Cơ khí Chế tạo máy</v>
          </cell>
          <cell r="H93" t="str">
            <v>22143080</v>
          </cell>
          <cell r="I93" t="str">
            <v>Trịnh Hữu Dũng 22143091</v>
          </cell>
          <cell r="J93" t="str">
            <v>Nguyễn Văn Minh (THN)</v>
          </cell>
          <cell r="K93" t="str">
            <v>Khoa CKM</v>
          </cell>
          <cell r="L93" t="str">
            <v>minhngvan@hcmute.edu.vn</v>
          </cell>
          <cell r="M93" t="str">
            <v>- 02 Bài báo khoa học đăng trên tạp chí trong nước trong danh mục của HĐ GSNN tính từ 0,5 điểm trở lên</v>
          </cell>
          <cell r="N93">
            <v>25000000</v>
          </cell>
          <cell r="O93" t="str">
            <v>Hai mươi lăm triệu đồng</v>
          </cell>
          <cell r="P93" t="str">
            <v>22143080@student.hcmute.edu.vn</v>
          </cell>
          <cell r="Q93" t="str">
            <v>0357845885'</v>
          </cell>
        </row>
        <row r="94">
          <cell r="B94" t="str">
            <v>SV2026-95</v>
          </cell>
          <cell r="C94" t="str">
            <v>X</v>
          </cell>
          <cell r="D94" t="str">
            <v>Chế tạo mô hình khảo sát dao động cán dao phay</v>
          </cell>
          <cell r="E94" t="str">
            <v>Nguyễn Tiến Phát 23144136</v>
          </cell>
          <cell r="F94" t="str">
            <v xml:space="preserve">Nguyễn Tiến Phát </v>
          </cell>
          <cell r="G94" t="str">
            <v>Cơ khí Chế tạo máy</v>
          </cell>
          <cell r="H94" t="str">
            <v>23144136</v>
          </cell>
          <cell r="I94" t="str">
            <v>Nguyễn Đức Phát 23144133</v>
          </cell>
          <cell r="J94" t="str">
            <v>Đoàn  Tất Linh</v>
          </cell>
          <cell r="K94" t="str">
            <v>Khoa CKM</v>
          </cell>
          <cell r="L94" t="str">
            <v>linhdt@hcmute.edu.vn</v>
          </cell>
          <cell r="M94" t="str">
            <v>- 02 Bài báo khoa học đăng trên tạp chí trong nước trong danh mục của HĐ GSNN tính từ 0,5 điểm trở lên</v>
          </cell>
          <cell r="N94">
            <v>25000000</v>
          </cell>
          <cell r="O94" t="str">
            <v>Hai mươi lăm triệu đồng</v>
          </cell>
          <cell r="P94" t="str">
            <v>23144136@student.hcmute.edu.vn</v>
          </cell>
          <cell r="Q94" t="str">
            <v>0386248232</v>
          </cell>
        </row>
        <row r="95">
          <cell r="B95" t="str">
            <v>SV2026-96</v>
          </cell>
          <cell r="C95" t="str">
            <v>X</v>
          </cell>
          <cell r="D95" t="str">
            <v>Thiết kế, chế tạo máy phay gỗ CNC mini ứng dụng trong nghiên cứu và giảng dạy</v>
          </cell>
          <cell r="E95" t="str">
            <v>Huỳnh Minh Chiến 22143184</v>
          </cell>
          <cell r="F95" t="str">
            <v xml:space="preserve">Huỳnh Minh Chiến </v>
          </cell>
          <cell r="G95" t="str">
            <v>Cơ khí Chế tạo máy</v>
          </cell>
          <cell r="H95" t="str">
            <v>22143184</v>
          </cell>
          <cell r="I95" t="str">
            <v>Trần Minh Đức 22143202
Đặng Văn Hoa 22143206</v>
          </cell>
          <cell r="J95" t="str">
            <v>Nguyễn Trà Kim Quyên</v>
          </cell>
          <cell r="K95" t="str">
            <v>Khoa CKM</v>
          </cell>
          <cell r="L95" t="str">
            <v>linhdt@hcmute.edu.vn</v>
          </cell>
          <cell r="M95" t="str">
            <v>- Mô hình máy phay gỗ CNC mini
- Báo cáo tổng kết</v>
          </cell>
          <cell r="N95">
            <v>10000000</v>
          </cell>
          <cell r="O95" t="str">
            <v>Mười triệu đồng</v>
          </cell>
          <cell r="P95" t="str">
            <v>22143184@student.hcmute.edu.vn</v>
          </cell>
          <cell r="Q95" t="str">
            <v>0344776098</v>
          </cell>
        </row>
        <row r="96">
          <cell r="B96" t="str">
            <v>SV2026-97</v>
          </cell>
          <cell r="C96" t="str">
            <v>X</v>
          </cell>
          <cell r="D96" t="str">
            <v>Phát triển giải thuật chạy tự hành cho xe không người lái</v>
          </cell>
          <cell r="E96" t="str">
            <v>Nguyễn Công Danh 22146088</v>
          </cell>
          <cell r="F96" t="str">
            <v xml:space="preserve">Nguyễn Công Danh </v>
          </cell>
          <cell r="G96" t="str">
            <v>Cơ khí Chế tạo máy</v>
          </cell>
          <cell r="H96" t="str">
            <v>22146088</v>
          </cell>
          <cell r="I96" t="str">
            <v xml:space="preserve">Võ Đại Trí 23134058
Trần Trăng Sáng 23134050
Phạm Hoàng Thông 23134054
</v>
          </cell>
          <cell r="J96" t="str">
            <v xml:space="preserve">Nguyễn Lê Tường </v>
          </cell>
          <cell r="K96" t="str">
            <v>Khoa CKM</v>
          </cell>
          <cell r="L96" t="str">
            <v>tuongnl@hcmute.edu.vn</v>
          </cell>
          <cell r="M96" t="str">
            <v>- 01 Bài báo khoa học (đăng trên tạp chí trong nước trong danh mục của Hội đồng Giáo sư Nhà nước tính 0,5 điểm trở lên)
- Báo cáo tổng kết đề tài</v>
          </cell>
          <cell r="N96">
            <v>15000000</v>
          </cell>
          <cell r="O96" t="str">
            <v>Mười lăm triệu đồng</v>
          </cell>
          <cell r="P96" t="str">
            <v>22146088@student.hcmute.edu.vn</v>
          </cell>
          <cell r="Q96" t="str">
            <v>0389611137</v>
          </cell>
        </row>
        <row r="97">
          <cell r="B97" t="str">
            <v>SV2026-98</v>
          </cell>
          <cell r="C97" t="str">
            <v>X</v>
          </cell>
          <cell r="D97" t="str">
            <v>Trạm điều khiển xe Robot tự hành QCAR.</v>
          </cell>
          <cell r="E97" t="str">
            <v>Võ Đại Trí 23134058</v>
          </cell>
          <cell r="F97" t="str">
            <v xml:space="preserve">Võ Đại Trí </v>
          </cell>
          <cell r="G97" t="str">
            <v>Cơ khí Chế tạo máy</v>
          </cell>
          <cell r="H97" t="str">
            <v>23134058</v>
          </cell>
          <cell r="I97" t="str">
            <v>Nguyễn Hữu Đan 22146099
Trương Quang Lê Đạt 22146105
Đào Việt Dũng 22146096</v>
          </cell>
          <cell r="J97" t="str">
            <v>Trần Thụy Uyên Phương</v>
          </cell>
          <cell r="K97" t="str">
            <v>Khoa CKM</v>
          </cell>
          <cell r="L97" t="str">
            <v>phuongttu@hcmute.edu.vn</v>
          </cell>
          <cell r="M97" t="str">
            <v>- 01 Bài báo khoa học (đăng trên tạp chí trong nước trong danh mục của Hội đồng Giáo sư Nhà nước tính 0,5 điểm trở lên)
- Báo cáo tổng kết đề tài</v>
          </cell>
          <cell r="N97">
            <v>15000000</v>
          </cell>
          <cell r="O97" t="str">
            <v>Mười lăm triệu đồng</v>
          </cell>
          <cell r="P97" t="str">
            <v>23134058@student.hcmute.edu.vn</v>
          </cell>
          <cell r="Q97" t="str">
            <v>0814039642</v>
          </cell>
        </row>
        <row r="98">
          <cell r="B98" t="str">
            <v>SV2026-99</v>
          </cell>
          <cell r="C98" t="str">
            <v>X</v>
          </cell>
          <cell r="D98" t="str">
            <v>Thiết kế chế tạo tủ bếp thông minh</v>
          </cell>
          <cell r="E98" t="str">
            <v>Trần Ngọc Thiên Kim 25138023</v>
          </cell>
          <cell r="F98" t="str">
            <v xml:space="preserve">Trần Ngọc Thiên Kim </v>
          </cell>
          <cell r="G98" t="str">
            <v>Cơ khí Chế tạo máy</v>
          </cell>
          <cell r="H98" t="str">
            <v>25138023</v>
          </cell>
          <cell r="I98" t="str">
            <v>Võ Ngọc Thanh Vy 24116285
Nguyễn Trần Xuân Phú 25134079</v>
          </cell>
          <cell r="J98" t="str">
            <v>Nguyễn Văn Đoàn</v>
          </cell>
          <cell r="K98" t="str">
            <v>Khoa CKM</v>
          </cell>
          <cell r="L98" t="str">
            <v>nvdoan@hcmute.edu.vn</v>
          </cell>
          <cell r="M98" t="str">
            <v>- Mô hình tủ bếp thông minh: Mô hình có cơ cấu đúng, có thể vận hành được.
- Báo cáo tổng kết</v>
          </cell>
          <cell r="N98">
            <v>10000000</v>
          </cell>
          <cell r="O98" t="str">
            <v>Mười triệu đồng</v>
          </cell>
          <cell r="P98" t="str">
            <v>25138023@student.hcmute.edu.vn</v>
          </cell>
          <cell r="Q98" t="str">
            <v>0989366903</v>
          </cell>
        </row>
        <row r="99">
          <cell r="B99" t="str">
            <v>SV2026-100</v>
          </cell>
          <cell r="C99" t="str">
            <v>X</v>
          </cell>
          <cell r="D99" t="str">
            <v>Phân tích và tối ưu độ bền uốn của đường hàn của sản phẩm nhựa</v>
          </cell>
          <cell r="E99" t="str">
            <v>Đỗ Trần Nhật Minh 23144119</v>
          </cell>
          <cell r="F99" t="str">
            <v xml:space="preserve">Đỗ Trần Nhật Minh </v>
          </cell>
          <cell r="G99" t="str">
            <v>Cơ khí Chế tạo máy</v>
          </cell>
          <cell r="H99" t="str">
            <v>23144119</v>
          </cell>
          <cell r="I99" t="str">
            <v>Trần Nhất Long 23144116</v>
          </cell>
          <cell r="J99" t="str">
            <v>Võ Kim Hằng</v>
          </cell>
          <cell r="K99" t="str">
            <v>Khoa CKM</v>
          </cell>
          <cell r="L99" t="str">
            <v>hangvk@hcmute.edu.vn</v>
          </cell>
          <cell r="M99" t="str">
            <v>- 02 Bài báo khoa học đăng trên tạp chí trong nước trong danh mục của HĐ GSNN tính từ 0,5 điểm trở lên</v>
          </cell>
          <cell r="N99">
            <v>25000000</v>
          </cell>
          <cell r="O99" t="str">
            <v>Hai mươi lăm triệu đồng</v>
          </cell>
          <cell r="P99" t="str">
            <v>23144119@student.hcmute.edu.vn</v>
          </cell>
          <cell r="Q99" t="str">
            <v>0919135655</v>
          </cell>
        </row>
        <row r="100">
          <cell r="B100" t="str">
            <v>SV2026-101</v>
          </cell>
          <cell r="C100" t="str">
            <v>X</v>
          </cell>
          <cell r="D100" t="str">
            <v>Ứng dụng phương pháp tạo hình theo lớp trong chế tạo các mẫu thử xoắn</v>
          </cell>
          <cell r="E100" t="str">
            <v>Nguyễn Thành Luân 22144142</v>
          </cell>
          <cell r="F100" t="str">
            <v xml:space="preserve">Nguyễn Thành Luân </v>
          </cell>
          <cell r="G100" t="str">
            <v>Cơ khí Chế tạo máy</v>
          </cell>
          <cell r="H100" t="str">
            <v>22144142</v>
          </cell>
          <cell r="I100" t="str">
            <v>Nguyễn Hoàng Đạt 20143193
Huỳnh Thiện Phát 22144160</v>
          </cell>
          <cell r="J100" t="str">
            <v>Phạm Sơn Minh</v>
          </cell>
          <cell r="K100" t="str">
            <v>Khoa CKM</v>
          </cell>
          <cell r="L100" t="str">
            <v>minhps@hcmute.edu.vn</v>
          </cell>
          <cell r="M100" t="str">
            <v>- 02 Bài báo khoa học đăng trên tạp chí trong nước trong danh mục của HĐ GSNN tính từ 0,5 điểm trở lên</v>
          </cell>
          <cell r="N100">
            <v>25000000</v>
          </cell>
          <cell r="O100" t="str">
            <v>Hai mươi lăm triệu đồng</v>
          </cell>
          <cell r="P100" t="str">
            <v>22144142@student.hcmute.edu.vn</v>
          </cell>
          <cell r="Q100" t="str">
            <v>0981698495</v>
          </cell>
        </row>
        <row r="101">
          <cell r="B101" t="str">
            <v>SV2026-102</v>
          </cell>
          <cell r="C101" t="str">
            <v>X</v>
          </cell>
          <cell r="D101" t="str">
            <v>Nghiên cứu tăng cường liên kết trong feedstock composite bằng pha wax /soluble cho công nghệ ép phun</v>
          </cell>
          <cell r="E101" t="str">
            <v>Cù Khánh An 22144045</v>
          </cell>
          <cell r="F101" t="str">
            <v xml:space="preserve">Cù Khánh An </v>
          </cell>
          <cell r="G101" t="str">
            <v>Cơ khí Chế tạo máy</v>
          </cell>
          <cell r="H101" t="str">
            <v>22144045</v>
          </cell>
          <cell r="I101" t="str">
            <v>Đỗ Huy Thức 22144206
Trương Anh Thuận 22144205
Giang Tính 22144211</v>
          </cell>
          <cell r="J101" t="str">
            <v>Nguyễn Văn Thức</v>
          </cell>
          <cell r="K101" t="str">
            <v>Khoa CKM</v>
          </cell>
          <cell r="L101" t="str">
            <v>nvthuc@hcmute.edu.vn</v>
          </cell>
          <cell r="M101" t="str">
            <v>- 01 Báo cáo tổng kết:Đạt yêu cầu của báo cáo khoa học.</v>
          </cell>
          <cell r="N101">
            <v>5000000</v>
          </cell>
          <cell r="O101" t="str">
            <v>Năm triệu đồng</v>
          </cell>
          <cell r="P101" t="str">
            <v>22144045@student.hcmute.edu.vn</v>
          </cell>
          <cell r="Q101" t="str">
            <v>0356574202</v>
          </cell>
        </row>
        <row r="102">
          <cell r="B102" t="str">
            <v>SV2026-103</v>
          </cell>
          <cell r="C102"/>
          <cell r="D102" t="str">
            <v xml:space="preserve">Thiết kế và điều khiển mô hình tời trợ lực truyền động bằng cáp </v>
          </cell>
          <cell r="E102" t="str">
            <v>Nguyễn Thành Quý 22146209</v>
          </cell>
          <cell r="F102" t="str">
            <v xml:space="preserve">Nguyễn Thành Quý </v>
          </cell>
          <cell r="G102" t="str">
            <v>Cơ khí Chế tạo máy</v>
          </cell>
          <cell r="H102" t="str">
            <v>22146209</v>
          </cell>
          <cell r="I102" t="str">
            <v>Phạm Gia Thiều 22146230
Vạn Trung Quân 22146204
Cao Hoàng Trí Quang 22146200
Cấn Mạnh Toàn 22146241</v>
          </cell>
          <cell r="J102" t="str">
            <v>Tưởng Phước Thọ</v>
          </cell>
          <cell r="K102" t="str">
            <v>Khoa CKM</v>
          </cell>
          <cell r="L102" t="str">
            <v>thotp@hcmute.edu.vn</v>
          </cell>
          <cell r="M102" t="str">
            <v>- Mô hình tời trợ lực tải trọng 5kg và hành trình cáp 2m.
- 01 Báo cáo tổng kết</v>
          </cell>
          <cell r="N102">
            <v>10000000</v>
          </cell>
          <cell r="O102" t="str">
            <v>Mười triệu đồng</v>
          </cell>
          <cell r="P102" t="str">
            <v>22146209@student.hcmute.edu.vn</v>
          </cell>
          <cell r="Q102" t="str">
            <v>0941 899 501</v>
          </cell>
        </row>
        <row r="103">
          <cell r="B103" t="str">
            <v>SV2026-104</v>
          </cell>
          <cell r="C103" t="str">
            <v>X</v>
          </cell>
          <cell r="D103" t="str">
            <v xml:space="preserve">Chế tạo mô hình thí nghiệm cơ nhân tạo sử dụng khí nén </v>
          </cell>
          <cell r="E103" t="str">
            <v>Nguyễn Duy Khanh 23145330</v>
          </cell>
          <cell r="F103" t="str">
            <v xml:space="preserve">Nguyễn Duy Khanh </v>
          </cell>
          <cell r="G103" t="str">
            <v>Cơ khí Chế tạo máy</v>
          </cell>
          <cell r="H103" t="str">
            <v>23145330</v>
          </cell>
          <cell r="I103" t="str">
            <v xml:space="preserve">		Huỳnh Duy Hưng 23144221</v>
          </cell>
          <cell r="J103" t="str">
            <v>Đặng Hùng Sơn</v>
          </cell>
          <cell r="K103" t="str">
            <v>Khoa Giao thông và Năng lượng</v>
          </cell>
          <cell r="L103" t="str">
            <v>sondh@hcmute.edu.vn</v>
          </cell>
          <cell r="M103" t="str">
            <v>- 02 Bài báo khoa học đăng trên tạp chí trong nước trong danh mục của HĐ GSNN tính từ 0,5 điểm trở lên</v>
          </cell>
          <cell r="N103">
            <v>25000000</v>
          </cell>
          <cell r="O103" t="str">
            <v>Hai mươi lăm triệu đồng</v>
          </cell>
          <cell r="P103" t="str">
            <v>23145330@student.hcmute.edu.vn</v>
          </cell>
          <cell r="Q103" t="str">
            <v>0329201064</v>
          </cell>
        </row>
        <row r="104">
          <cell r="B104" t="str">
            <v>SV2026-105</v>
          </cell>
          <cell r="C104" t="str">
            <v>X</v>
          </cell>
          <cell r="D104" t="str">
            <v>Nghiên cứu, thiết kế cải tiến và mô phỏng hộp số Harmonic phục vụ học tập bảo dưỡng cơ khí</v>
          </cell>
          <cell r="E104" t="str">
            <v>Nguyễn Trương Phú Khoa 23144101</v>
          </cell>
          <cell r="F104" t="str">
            <v xml:space="preserve">Nguyễn Trương Phú Khoa </v>
          </cell>
          <cell r="G104" t="str">
            <v>Cơ khí Chế tạo máy</v>
          </cell>
          <cell r="H104" t="str">
            <v>23144101</v>
          </cell>
          <cell r="I104" t="str">
            <v>Tôn Lê Minh Đức 23144065
Nguyễn Huy Hoàng 23144081
Phạm Gia Huy 23144087
Phan Anh Khoa 23144102</v>
          </cell>
          <cell r="J104" t="str">
            <v>Dương Thị Vân Anh</v>
          </cell>
          <cell r="K104" t="str">
            <v>Khoa CKM</v>
          </cell>
          <cell r="L104" t="str">
            <v>anhdtv@hcmute.edu.vn</v>
          </cell>
          <cell r="M104" t="str">
            <v>- 01 Báo cáo tổng kết: Đạt yêu cầu của báo cáo khoa học.</v>
          </cell>
          <cell r="N104">
            <v>5000000</v>
          </cell>
          <cell r="O104" t="str">
            <v>Năm triệu đồng</v>
          </cell>
          <cell r="P104" t="str">
            <v>23144101@student.hcmute.edu.vn</v>
          </cell>
          <cell r="Q104" t="str">
            <v>0856092299</v>
          </cell>
        </row>
        <row r="105">
          <cell r="B105" t="str">
            <v>SV2026-106</v>
          </cell>
          <cell r="C105"/>
          <cell r="D105" t="str">
            <v xml:space="preserve">Nghiên cứu và ứng dụng công nghệ in 3D trong chế tạo khuôn uốn ống </v>
          </cell>
          <cell r="E105" t="str">
            <v>Nguyễn Hữu Trọng 23143371</v>
          </cell>
          <cell r="F105" t="str">
            <v xml:space="preserve">Nguyễn Hữu Trọng </v>
          </cell>
          <cell r="G105" t="str">
            <v>Cơ khí Chế tạo máy</v>
          </cell>
          <cell r="H105" t="str">
            <v>23143371</v>
          </cell>
          <cell r="I105" t="str">
            <v>Trần Gia Bảo 23143227
Lưu Đình Kiên 23143289</v>
          </cell>
          <cell r="J105" t="str">
            <v>Trần Ngọc Thiện</v>
          </cell>
          <cell r="K105" t="str">
            <v>Khoa CKM</v>
          </cell>
          <cell r="L105" t="str">
            <v>thientn@hcmute.edu.vn</v>
          </cell>
          <cell r="M105" t="str">
            <v>- Mô hình khuôn
-Bản vẽ thiết kế khuôn
- Báo cáo tổng kết:Đạt yêu cầu báo cáo khoa học</v>
          </cell>
          <cell r="N105">
            <v>10000000</v>
          </cell>
          <cell r="O105" t="str">
            <v>Mười triệu đồng</v>
          </cell>
          <cell r="P105" t="str">
            <v>23143371@student.hcmute.edu.vn</v>
          </cell>
          <cell r="Q105" t="str">
            <v>0387823612</v>
          </cell>
        </row>
        <row r="106">
          <cell r="B106" t="str">
            <v>SV2026-108</v>
          </cell>
          <cell r="C106" t="str">
            <v>X</v>
          </cell>
          <cell r="D106" t="str">
            <v>Ứng dụng lý thuyết đồ thị trong bài toán tính lượng dư gia công cắt gọt kim loại</v>
          </cell>
          <cell r="E106" t="str">
            <v>Đinh Thành Luân 23143024</v>
          </cell>
          <cell r="F106" t="str">
            <v xml:space="preserve">Đinh Thành Luân </v>
          </cell>
          <cell r="G106" t="str">
            <v>Cơ khí Chế tạo máy</v>
          </cell>
          <cell r="H106" t="str">
            <v>23143024</v>
          </cell>
          <cell r="I106" t="str">
            <v>Trần Trung Tính 23143206
Phan Văn Phúc 23143031</v>
          </cell>
          <cell r="J106" t="str">
            <v>Nguyễn Hoài Nam</v>
          </cell>
          <cell r="K106" t="str">
            <v>Khoa CKM</v>
          </cell>
          <cell r="L106" t="str">
            <v>namnh@hcmute.edu.vn</v>
          </cell>
          <cell r="M106" t="str">
            <v>- 01 Báo cáo tổng kết:Đạt yêu cầu của báo cáo khoa học.</v>
          </cell>
          <cell r="N106">
            <v>5000000</v>
          </cell>
          <cell r="O106" t="str">
            <v>Năm triệu đồng</v>
          </cell>
          <cell r="P106" t="str">
            <v>23143024@student.hcmute.edu.vn</v>
          </cell>
          <cell r="Q106" t="str">
            <v>0398769709</v>
          </cell>
        </row>
        <row r="107">
          <cell r="B107" t="str">
            <v>SV2026-109</v>
          </cell>
          <cell r="C107" t="str">
            <v>X</v>
          </cell>
          <cell r="D107" t="str">
            <v>Nghiên cứu, thiết kế và thực nghiệm hệ thống phân loại sản phẩm sử dụng trí tuệ nhân tạo đúc trên băng chuyền chi phí thấp.</v>
          </cell>
          <cell r="E107" t="str">
            <v>Võ Hồng Đức 24134023</v>
          </cell>
          <cell r="F107" t="str">
            <v xml:space="preserve">Võ Hồng Đức </v>
          </cell>
          <cell r="G107" t="str">
            <v>Cơ khí Chế tạo máy</v>
          </cell>
          <cell r="H107" t="str">
            <v>24134023</v>
          </cell>
          <cell r="I107" t="str">
            <v xml:space="preserve">Lê Thu Hoàng  24134025
Huỳnh Phúc Thịnh 24134068
Nguyễn Trần Hải Đăng 24134022
Nguyễn Khánh Duy 24134014          </v>
          </cell>
          <cell r="J107" t="str">
            <v>Nguyễn Lê Đăng Hải</v>
          </cell>
          <cell r="K107" t="str">
            <v>Khoa CKM</v>
          </cell>
          <cell r="L107" t="str">
            <v>hainld@hcmute.edu.vn</v>
          </cell>
          <cell r="M107" t="str">
            <v>-Mô hình thiết bị
- Bản vẽ mô hình
- Báo cáo tổng kết: Đạt yêu cầu báo cáo khoa học</v>
          </cell>
          <cell r="N107">
            <v>10000000</v>
          </cell>
          <cell r="O107" t="str">
            <v>Mười triệu đồng</v>
          </cell>
          <cell r="P107" t="str">
            <v>24134023@student.hcmute.edu.vn</v>
          </cell>
          <cell r="Q107" t="str">
            <v>0987482611</v>
          </cell>
        </row>
        <row r="108">
          <cell r="B108" t="str">
            <v>SV2026-110</v>
          </cell>
          <cell r="C108" t="str">
            <v>X</v>
          </cell>
          <cell r="D108" t="str">
            <v>Nghiên cứu ảnh hưởng áp suất đến lực kéo của mô hình cơ nhân tạo ứng với các thiết kế khác nhau</v>
          </cell>
          <cell r="E108" t="str">
            <v>Võ Hồng Bảo 24144119</v>
          </cell>
          <cell r="F108" t="str">
            <v xml:space="preserve">Võ Hồng Bảo </v>
          </cell>
          <cell r="G108" t="str">
            <v>Cơ khí Chế tạo máy</v>
          </cell>
          <cell r="H108" t="str">
            <v>24144119</v>
          </cell>
          <cell r="I108" t="str">
            <v>Võ Thuận Phát 241442595</v>
          </cell>
          <cell r="J108" t="str">
            <v>Trần Thái Sơn</v>
          </cell>
          <cell r="K108" t="str">
            <v>Khoa CKM</v>
          </cell>
          <cell r="L108" t="str">
            <v>tranthaison@hcmute.edu.vn</v>
          </cell>
          <cell r="M108" t="str">
            <v>- 02 Bài báo khoa học đăng trên tạp chí trong nước trong danh mục của HĐ GSNN tính từ 0,5 điểm trở lên</v>
          </cell>
          <cell r="N108">
            <v>25000000</v>
          </cell>
          <cell r="O108" t="str">
            <v>Hai mươi lăm triệu đồng</v>
          </cell>
          <cell r="P108" t="str">
            <v>24144119@student.hcmute.edu.vn</v>
          </cell>
          <cell r="Q108" t="str">
            <v>0774923861</v>
          </cell>
        </row>
        <row r="109">
          <cell r="B109" t="str">
            <v>SV2026-111</v>
          </cell>
          <cell r="C109" t="str">
            <v>X</v>
          </cell>
          <cell r="D109" t="str">
            <v>Nghiên cứu lắp ráp hệ thống điều khiển mô hình chân 3 bậc tự do cho chân của robot</v>
          </cell>
          <cell r="E109" t="str">
            <v>Trần Khải An 24144109</v>
          </cell>
          <cell r="F109" t="str">
            <v xml:space="preserve">Trần Khải An </v>
          </cell>
          <cell r="G109" t="str">
            <v>Cơ khí Chế tạo máy</v>
          </cell>
          <cell r="H109" t="str">
            <v>24144109</v>
          </cell>
          <cell r="I109" t="str">
            <v xml:space="preserve">Nguyễn Thành Danh 22144006
Phạm Ngô Gia Huy 22144016
</v>
          </cell>
          <cell r="J109" t="str">
            <v>Trần Thái Sơn</v>
          </cell>
          <cell r="K109" t="str">
            <v>Khoa CKM</v>
          </cell>
          <cell r="L109" t="str">
            <v>tranthaison@hcmute.edu.vn</v>
          </cell>
          <cell r="M109" t="str">
            <v>- 02 Bài báo khoa học đăng trên tạp chí trong nước trong danh mục của HĐ GSNN tính từ 0,5 điểm trở lên</v>
          </cell>
          <cell r="N109">
            <v>25000000</v>
          </cell>
          <cell r="O109" t="str">
            <v>Hai mươi lăm triệu đồng</v>
          </cell>
          <cell r="P109" t="str">
            <v>22144016@student.hcmute.edu.vn</v>
          </cell>
          <cell r="Q109" t="str">
            <v>0899205726</v>
          </cell>
        </row>
        <row r="110">
          <cell r="B110" t="str">
            <v>SV2026-112</v>
          </cell>
          <cell r="C110" t="str">
            <v>X</v>
          </cell>
          <cell r="D110" t="str">
            <v>Nghiên cứu ảnh hưởng thông số tạo hình theo lớp đến độ bền mẫu thử</v>
          </cell>
          <cell r="E110" t="str">
            <v>Nguyễn Đỗ Hoàng An 24104003</v>
          </cell>
          <cell r="F110" t="str">
            <v xml:space="preserve">Nguyễn Đỗ Hoàng An </v>
          </cell>
          <cell r="G110" t="str">
            <v>Cơ khí Chế tạo máy</v>
          </cell>
          <cell r="H110" t="str">
            <v>24104003</v>
          </cell>
          <cell r="I110" t="str">
            <v>Nguyễn Hữu Cường 24104007
Lê Huỳnh 24142218</v>
          </cell>
          <cell r="J110" t="str">
            <v>Nguyễn Văn Sơn</v>
          </cell>
          <cell r="K110" t="str">
            <v>Khoa CKM</v>
          </cell>
          <cell r="L110" t="str">
            <v>sonnv@hcmute.edu.vn</v>
          </cell>
          <cell r="M110" t="str">
            <v>- 02 Bài báo khoa học đăng trên tạp chí trong nước trong danh mục của HĐ GSNN tính từ 0,5 điểm trở lên</v>
          </cell>
          <cell r="N110">
            <v>25000000</v>
          </cell>
          <cell r="O110" t="str">
            <v>Hai mươi lăm triệu đồng</v>
          </cell>
          <cell r="P110" t="str">
            <v>24104003@student.hcmute.edu.vn</v>
          </cell>
          <cell r="Q110" t="str">
            <v>0933418104</v>
          </cell>
        </row>
        <row r="111">
          <cell r="B111" t="str">
            <v>SV2026-113</v>
          </cell>
          <cell r="C111" t="str">
            <v>X</v>
          </cell>
          <cell r="D111" t="str">
            <v>Chế tạo và lắp ráp mô hình  robot 4 chân</v>
          </cell>
          <cell r="E111" t="str">
            <v>Võ Hoàng Việt 21143422</v>
          </cell>
          <cell r="F111" t="str">
            <v xml:space="preserve">Võ Hoàng Việt </v>
          </cell>
          <cell r="G111" t="str">
            <v>Cơ khí Chế tạo máy</v>
          </cell>
          <cell r="H111" t="str">
            <v>21143422</v>
          </cell>
          <cell r="I111" t="str">
            <v>Nguyễn Trung Hiếu 19144120</v>
          </cell>
          <cell r="J111" t="str">
            <v>Phan Công Bình</v>
          </cell>
          <cell r="K111" t="str">
            <v>Khoa CKM</v>
          </cell>
          <cell r="L111" t="str">
            <v>binhpc@hcmute.edu.vn</v>
          </cell>
          <cell r="M111" t="str">
            <v>- 02 Bài báo khoa học đăng trên tạp chí trong nước trong danh mục của HĐ GSNN tính từ 0,5 điểm trở lên</v>
          </cell>
          <cell r="N111">
            <v>25000000</v>
          </cell>
          <cell r="O111" t="str">
            <v>Hai mươi lăm triệu đồng</v>
          </cell>
          <cell r="P111" t="str">
            <v>21143422@student.hcmute.edu.vn</v>
          </cell>
          <cell r="Q111" t="str">
            <v>0589415897</v>
          </cell>
        </row>
        <row r="112">
          <cell r="B112" t="str">
            <v>SV2026-114</v>
          </cell>
          <cell r="C112" t="str">
            <v>X</v>
          </cell>
          <cell r="D112" t="str">
            <v>Nghiên cứu chế tạo mô hình thử áp suất ống composite</v>
          </cell>
          <cell r="E112" t="str">
            <v>Dương Xuân Khải 22144119</v>
          </cell>
          <cell r="F112" t="str">
            <v xml:space="preserve">Dương Xuân Khải </v>
          </cell>
          <cell r="G112" t="str">
            <v>Cơ khí Chế tạo máy</v>
          </cell>
          <cell r="H112" t="str">
            <v>22144119</v>
          </cell>
          <cell r="I112" t="str">
            <v>Võ Anh Hào 22144086
Nguyễn Gia Huy 22144101
Tạ Ngọc Tuấn Kiêt 22144131</v>
          </cell>
          <cell r="J112" t="str">
            <v>Phan Thị Đăng Thư</v>
          </cell>
          <cell r="K112" t="str">
            <v>Khoa CKM</v>
          </cell>
          <cell r="L112" t="str">
            <v>thuptd@hcmute.edu.vn</v>
          </cell>
          <cell r="M112" t="str">
            <v>- Báo cáo tổng kết: 	Đạt yêu cầu báo cáo khoa học</v>
          </cell>
          <cell r="N112">
            <v>5000000</v>
          </cell>
          <cell r="O112" t="str">
            <v>Năm triệu đồng</v>
          </cell>
          <cell r="P112" t="str">
            <v>22144119@student.hcmute.edu.vn</v>
          </cell>
          <cell r="Q112" t="str">
            <v>0794916251</v>
          </cell>
        </row>
        <row r="113">
          <cell r="B113" t="str">
            <v>SV2026-115</v>
          </cell>
          <cell r="C113" t="str">
            <v>X</v>
          </cell>
          <cell r="D113" t="str">
            <v>Chế tạo mô hình điều khiển cơ nhân tạo hỗ trợ lực nâng cho cánh tay</v>
          </cell>
          <cell r="E113" t="str">
            <v>Ngô Đức Long 22144137</v>
          </cell>
          <cell r="F113" t="str">
            <v xml:space="preserve">Ngô Đức Long </v>
          </cell>
          <cell r="G113" t="str">
            <v>Cơ khí Chế tạo máy</v>
          </cell>
          <cell r="H113" t="str">
            <v>22144137</v>
          </cell>
          <cell r="I113" t="str">
            <v>Ngô Sĩ Đăng 22143098</v>
          </cell>
          <cell r="J113" t="str">
            <v>Lê Minh Tài</v>
          </cell>
          <cell r="K113" t="str">
            <v>Khoa CKM</v>
          </cell>
          <cell r="L113" t="str">
            <v>tailm@hcmute.edu.vn</v>
          </cell>
          <cell r="M113" t="str">
            <v>- 02 Bài báo khoa học đăng trên tạp chí trong nước trong danh mục của HĐ GSNN tính từ 0,5 điểm trở lên</v>
          </cell>
          <cell r="N113">
            <v>25000000</v>
          </cell>
          <cell r="O113" t="str">
            <v>Hai mươi lăm triệu đồng</v>
          </cell>
          <cell r="P113" t="str">
            <v>22144137@student.hcmute.edu.vn</v>
          </cell>
          <cell r="Q113" t="str">
            <v>0917776235</v>
          </cell>
        </row>
        <row r="114">
          <cell r="B114" t="str">
            <v>SV2026-116</v>
          </cell>
          <cell r="C114" t="str">
            <v>X</v>
          </cell>
          <cell r="D114" t="str">
            <v>Xe robot tự cân bằng</v>
          </cell>
          <cell r="E114" t="str">
            <v>Nguyễn Thiện Nhân 23134041</v>
          </cell>
          <cell r="F114" t="str">
            <v xml:space="preserve">Nguyễn Thiện Nhân </v>
          </cell>
          <cell r="G114" t="str">
            <v>Cơ khí Chế tạo máy</v>
          </cell>
          <cell r="H114" t="str">
            <v>23134041</v>
          </cell>
          <cell r="I114" t="str">
            <v>Phạm Đức Huy 23134026
Lưu Tấn Phát 23134043
Vũ Phạm Đức Văn 23134064
Trương Hồng Lĩnh 23134035</v>
          </cell>
          <cell r="J114" t="str">
            <v>Nguyễn Lê Tường</v>
          </cell>
          <cell r="K114" t="str">
            <v>Khoa CKM</v>
          </cell>
          <cell r="L114" t="str">
            <v>tuongnl@hcmute.edu.vn</v>
          </cell>
          <cell r="M114" t="str">
            <v>- 01 Bài báo khoa học (đăng trên tạp chí trong nước trong danh mục của Hội đồng Giáo sư Nhà nước tính 0,5 điểm trở lên)
- Báo cáo tổng kết đề tài</v>
          </cell>
          <cell r="N114">
            <v>15000000</v>
          </cell>
          <cell r="O114" t="str">
            <v>Mười lăm triệu đồng</v>
          </cell>
          <cell r="P114" t="str">
            <v>23134041@student.hcmute.edu.vn</v>
          </cell>
          <cell r="Q114" t="str">
            <v>0326426040</v>
          </cell>
        </row>
        <row r="115">
          <cell r="B115" t="str">
            <v>SV2026-117</v>
          </cell>
          <cell r="C115" t="str">
            <v>X</v>
          </cell>
          <cell r="D115" t="str">
            <v>Thiết kế, chế tạo, điều khiển hệ thống lưu kho tự động</v>
          </cell>
          <cell r="E115" t="str">
            <v>Nguyễn Phương Nguyên 22146361</v>
          </cell>
          <cell r="F115" t="str">
            <v xml:space="preserve">Nguyễn Phương Nguyên </v>
          </cell>
          <cell r="G115" t="str">
            <v>Cơ khí Chế tạo máy</v>
          </cell>
          <cell r="H115" t="str">
            <v>22146361</v>
          </cell>
          <cell r="I115" t="str">
            <v xml:space="preserve">Đinh Gia Khánh 22146330
Nguyễn Đoàn Anh Khoa 22146333
</v>
          </cell>
          <cell r="J115" t="str">
            <v>Nguyễn Văn Đoàn</v>
          </cell>
          <cell r="K115" t="str">
            <v>Khoa CKM</v>
          </cell>
          <cell r="L115" t="str">
            <v>nvdoan@hcmute.edu.vn</v>
          </cell>
          <cell r="M115" t="str">
            <v>-Mô hình hệ thống lưu kho tự động
- Bản vẽ của hệ thống: Đúng chuẩn TCVN
- Báo cáo tổng kết:  Đạt yêu cầu báo cáo khoa học</v>
          </cell>
          <cell r="N115">
            <v>10000000</v>
          </cell>
          <cell r="O115" t="str">
            <v>Mười triệu đồng</v>
          </cell>
          <cell r="P115" t="str">
            <v>22146361@student.hcmute.edu.vn</v>
          </cell>
          <cell r="Q115" t="str">
            <v>0919526766</v>
          </cell>
        </row>
        <row r="116">
          <cell r="B116" t="str">
            <v>SV2026-118</v>
          </cell>
          <cell r="C116" t="str">
            <v>X</v>
          </cell>
          <cell r="D116" t="str">
            <v>Mô phỏng quá trình gia nhiệt bằng từ trường cho insert của khuôn</v>
          </cell>
          <cell r="E116" t="str">
            <v>Nguyễn Chí Chơn 22144253</v>
          </cell>
          <cell r="F116" t="str">
            <v xml:space="preserve">Nguyễn Chí Chơn </v>
          </cell>
          <cell r="G116" t="str">
            <v>Cơ khí Chế tạo máy</v>
          </cell>
          <cell r="H116" t="str">
            <v>22144253</v>
          </cell>
          <cell r="I116" t="str">
            <v>Võ Nguyễn Anh Tú 22144226
Lê Nhật Trung 22144040</v>
          </cell>
          <cell r="J116" t="str">
            <v>Võ Kim Hằng</v>
          </cell>
          <cell r="K116" t="str">
            <v>Khoa Giao thông và Năng lượng</v>
          </cell>
          <cell r="L116" t="str">
            <v>hangvk@hcmute.edu.vn</v>
          </cell>
          <cell r="M116" t="str">
            <v>- 02 Bài báo khoa học đăng trên tạp chí trong nước trong danh mục của HĐ GSNN tính từ 0,5 điểm trở lên</v>
          </cell>
          <cell r="N116">
            <v>25000000</v>
          </cell>
          <cell r="O116" t="str">
            <v>Hai mươi lăm triệu đồng</v>
          </cell>
          <cell r="P116" t="str">
            <v>22144040@student.hcmute.edu.vn</v>
          </cell>
          <cell r="Q116" t="str">
            <v>0916230175</v>
          </cell>
        </row>
        <row r="117">
          <cell r="B117" t="str">
            <v>SV2026-119</v>
          </cell>
          <cell r="C117" t="str">
            <v>X</v>
          </cell>
          <cell r="D117" t="str">
            <v>Thực nghiệm độ bền xoắn cho chi tiết nhựa</v>
          </cell>
          <cell r="E117" t="str">
            <v>Trịnh Hữu Dũng 22143091</v>
          </cell>
          <cell r="F117" t="str">
            <v xml:space="preserve">Trịnh Hữu Dũng </v>
          </cell>
          <cell r="G117" t="str">
            <v>Cơ khí Chế tạo máy</v>
          </cell>
          <cell r="H117" t="str">
            <v>22143091</v>
          </cell>
          <cell r="I117" t="str">
            <v>Trần Nguyễn Anh	 Quân 22144031</v>
          </cell>
          <cell r="J117" t="str">
            <v>Lê Minh Tài</v>
          </cell>
          <cell r="K117" t="str">
            <v>Khoa CKM</v>
          </cell>
          <cell r="L117" t="str">
            <v>tailm@hcmute.edu.vn</v>
          </cell>
          <cell r="M117" t="str">
            <v>- 02 Bài báo khoa học đăng trên tạp chí trong nước trong danh mục của HĐ GSNN tính từ 0,5 điểm trở lên</v>
          </cell>
          <cell r="N117">
            <v>25000000</v>
          </cell>
          <cell r="O117" t="str">
            <v>Hai mươi lăm triệu đồng</v>
          </cell>
          <cell r="P117" t="str">
            <v>22143091@student.hcmute.edu.vn</v>
          </cell>
          <cell r="Q117" t="str">
            <v xml:space="preserve"> 0914245786</v>
          </cell>
        </row>
        <row r="118">
          <cell r="B118" t="str">
            <v>SV2026-120</v>
          </cell>
          <cell r="C118" t="str">
            <v>X</v>
          </cell>
          <cell r="D118" t="str">
            <v>Nghiên cứu qui trình chế tạo tấm khuôn bằng phương pháp tạo hình theo lớp</v>
          </cell>
          <cell r="E118" t="str">
            <v>Dương Hồng Đức 23144201</v>
          </cell>
          <cell r="F118" t="str">
            <v xml:space="preserve">Dương Hồng Đức </v>
          </cell>
          <cell r="G118" t="str">
            <v>Cơ khí Chế tạo máy</v>
          </cell>
          <cell r="H118" t="str">
            <v>23144201</v>
          </cell>
          <cell r="I118" t="str">
            <v>Huỳnh Trung Hậu 23144203</v>
          </cell>
          <cell r="J118" t="str">
            <v>Huỳnh Đỗ Song Toàn</v>
          </cell>
          <cell r="K118" t="str">
            <v>Khoa CKM</v>
          </cell>
          <cell r="L118" t="str">
            <v>toanhds@hcmute.edu.vn</v>
          </cell>
          <cell r="M118" t="str">
            <v xml:space="preserve"> - 02 Bài báo khoa học đăng trên tạp chí trong nước trong danh mục của HĐ GSNN tính từ 0,5 điểm trở lên</v>
          </cell>
          <cell r="N118">
            <v>25000000</v>
          </cell>
          <cell r="O118" t="str">
            <v>Hai mươi lăm triệu đồng</v>
          </cell>
          <cell r="P118" t="str">
            <v>23144201@student.hcmute.edu.vn</v>
          </cell>
          <cell r="Q118" t="str">
            <v>0326698841</v>
          </cell>
        </row>
        <row r="119">
          <cell r="B119" t="str">
            <v>SV2026-121</v>
          </cell>
          <cell r="C119" t="str">
            <v>X</v>
          </cell>
          <cell r="D119" t="str">
            <v>Nghiên cứu qui trình phun ép sản phẩm tròn với vật liệu composite</v>
          </cell>
          <cell r="E119" t="str">
            <v>Lê Phước Hoàng 23144080</v>
          </cell>
          <cell r="F119" t="str">
            <v xml:space="preserve">Lê Phước Hoàng </v>
          </cell>
          <cell r="G119" t="str">
            <v>Cơ khí Chế tạo máy</v>
          </cell>
          <cell r="H119" t="str">
            <v>23144080</v>
          </cell>
          <cell r="I119" t="str">
            <v>Huỳnh Văn Hưỡng 23144091
Nguyễn Đình Nguyên 23144126</v>
          </cell>
          <cell r="J119" t="str">
            <v>Lê Bá Tân</v>
          </cell>
          <cell r="K119" t="str">
            <v>Khoa Giao thông và Năng lượng</v>
          </cell>
          <cell r="L119" t="str">
            <v>tanlb@hcmute.edu.vn</v>
          </cell>
          <cell r="M119" t="str">
            <v>- 02 Bài báo khoa học đăng trên tạp chí trong nước trong danh mục của HĐ GSNN tính từ 0,5 điểm trở lên</v>
          </cell>
          <cell r="N119">
            <v>25000000</v>
          </cell>
          <cell r="O119" t="str">
            <v>Hai mươi lăm triệu đồng</v>
          </cell>
          <cell r="P119" t="str">
            <v>23144080@student.hcmute.edu.vn</v>
          </cell>
          <cell r="Q119" t="str">
            <v>0345628457</v>
          </cell>
        </row>
        <row r="120">
          <cell r="B120" t="str">
            <v>SV2026-122</v>
          </cell>
          <cell r="C120" t="str">
            <v>X</v>
          </cell>
          <cell r="D120" t="str">
            <v>Cải tiến thiết kế và chế tạo bộ truyền bánh răng trong công nghệ hàn ống tự động (dạng hồ quang kín)</v>
          </cell>
          <cell r="E120" t="str">
            <v>Lê Văn Rây 23143344</v>
          </cell>
          <cell r="F120" t="str">
            <v xml:space="preserve">Lê Văn Rây </v>
          </cell>
          <cell r="G120" t="str">
            <v>Cơ khí Chế tạo máy</v>
          </cell>
          <cell r="H120" t="str">
            <v>23143344</v>
          </cell>
          <cell r="I120" t="str">
            <v>Phạm Hoàng Tiên Phong 23143329
'Huỳnh Minh Phúc Thuần 23143365</v>
          </cell>
          <cell r="J120" t="str">
            <v>Trần Ngọc Thiện</v>
          </cell>
          <cell r="K120" t="str">
            <v>Khoa CKM</v>
          </cell>
          <cell r="L120" t="str">
            <v xml:space="preserve">thientn@hcmute.edu.vn </v>
          </cell>
          <cell r="M120" t="str">
            <v xml:space="preserve">- Mô hình bộ truyền động bánh răng
- Tập bản vẽ
- Báo cáo tổng kết
</v>
          </cell>
          <cell r="N120">
            <v>10000000</v>
          </cell>
          <cell r="O120" t="str">
            <v>Mười triệu đồng</v>
          </cell>
          <cell r="P120" t="str">
            <v xml:space="preserve">23143344@student.hcmute.edu.vn </v>
          </cell>
          <cell r="Q120" t="str">
            <v>0373984611</v>
          </cell>
        </row>
        <row r="121">
          <cell r="B121" t="str">
            <v>SV2026-123</v>
          </cell>
          <cell r="C121" t="str">
            <v>X</v>
          </cell>
          <cell r="D121" t="str">
            <v>Nghiên cứu thiết kế chế tạo eVTOL dùng trong vận tải</v>
          </cell>
          <cell r="E121" t="str">
            <v>Đoàn Hải Đăng 23134010</v>
          </cell>
          <cell r="F121" t="str">
            <v xml:space="preserve">Đoàn Hải Đăng </v>
          </cell>
          <cell r="G121" t="str">
            <v>Cơ khí Chế tạo máy</v>
          </cell>
          <cell r="H121" t="str">
            <v>23134010</v>
          </cell>
          <cell r="I121" t="str">
            <v>Nguyễn Văn An 24134002</v>
          </cell>
          <cell r="J121" t="str">
            <v>Hà Lê Như Ngọc Thành</v>
          </cell>
          <cell r="K121" t="str">
            <v>Khoa CKM</v>
          </cell>
          <cell r="L121" t="str">
            <v>thanh.hlnn@hcmute.edu.vn</v>
          </cell>
          <cell r="M121" t="str">
            <v>- Mô hình máy bay eVTOL
- Thuật toán điều khiển máy bay eVTOL
- Mô phỏng và điều khiển trên Matlab Simulink
- Báo cáo tổng kết: Đạt yêu cầu báo cáo khoa học</v>
          </cell>
          <cell r="N121">
            <v>10000000</v>
          </cell>
          <cell r="O121" t="str">
            <v>Mười triệu đồng</v>
          </cell>
          <cell r="P121" t="str">
            <v>23134010@student.hcmute.edu.vn</v>
          </cell>
          <cell r="Q121" t="str">
            <v>0396603140</v>
          </cell>
        </row>
        <row r="122">
          <cell r="B122" t="str">
            <v>SV2026-124</v>
          </cell>
          <cell r="C122" t="str">
            <v>X</v>
          </cell>
          <cell r="D122" t="str">
            <v>Giải thuật phát hiện đường đi và chướng ngại vật cho xe tự hành</v>
          </cell>
          <cell r="E122" t="str">
            <v>Nguyễn Quang Tùng 23134062</v>
          </cell>
          <cell r="F122" t="str">
            <v xml:space="preserve">Nguyễn Quang Tùng </v>
          </cell>
          <cell r="G122" t="str">
            <v>Cơ khí Chế tạo máy</v>
          </cell>
          <cell r="H122" t="str">
            <v>23134062</v>
          </cell>
          <cell r="I122" t="str">
            <v xml:space="preserve">Trần Trăng Sáng 23134050
Nguyễn Trung Tín 23134055
Trần Gia Huy 23134027 </v>
          </cell>
          <cell r="J122" t="str">
            <v>Lê Thanh Tùng</v>
          </cell>
          <cell r="K122" t="str">
            <v>Khoa CKM</v>
          </cell>
          <cell r="L122" t="str">
            <v>tunglt@hcmute.edu.vn</v>
          </cell>
          <cell r="M122" t="str">
            <v>- Mô hình hệ thống thu nhận hình ảnh và nhận dạng vạch kẻ đường
- Báo cáo tổng kết</v>
          </cell>
          <cell r="N122">
            <v>10000000</v>
          </cell>
          <cell r="O122" t="str">
            <v>Mười triệu đồng</v>
          </cell>
          <cell r="P122" t="str">
            <v>23134062@student.hcmute.edu.vn</v>
          </cell>
          <cell r="Q122" t="str">
            <v>0981196914</v>
          </cell>
        </row>
        <row r="123">
          <cell r="B123" t="str">
            <v>SV2026-125</v>
          </cell>
          <cell r="C123" t="str">
            <v>X</v>
          </cell>
          <cell r="D123" t="str">
            <v>Thiết kế mô hình robot 4 chân</v>
          </cell>
          <cell r="E123" t="str">
            <v>Lê Nguyễn Anh Khoa 21143063</v>
          </cell>
          <cell r="F123" t="str">
            <v xml:space="preserve">Lê Nguyễn Anh Khoa </v>
          </cell>
          <cell r="G123" t="str">
            <v>Cơ khí Chế tạo máy</v>
          </cell>
          <cell r="H123" t="str">
            <v>21143063</v>
          </cell>
          <cell r="I123" t="str">
            <v>Đoàn Tấn Đạt 19143103</v>
          </cell>
          <cell r="J123" t="str">
            <v>Lê Bá Tân</v>
          </cell>
          <cell r="K123" t="str">
            <v>Khoa CKM</v>
          </cell>
          <cell r="L123" t="str">
            <v>tanlb@hcmute.edu.vn</v>
          </cell>
          <cell r="M123" t="str">
            <v>- 02 Bài báo khoa học đăng trên tạp chí trong nước trong danh mục của HĐ GSNN tính từ 0,5 điểm trở lên</v>
          </cell>
          <cell r="N123">
            <v>25000000</v>
          </cell>
          <cell r="O123" t="str">
            <v>Hai mươi lăm triệu đồng</v>
          </cell>
          <cell r="P123" t="str">
            <v>21143063@student.hcmute.edu.vn</v>
          </cell>
          <cell r="Q123" t="str">
            <v>0339249416</v>
          </cell>
        </row>
        <row r="124">
          <cell r="B124" t="str">
            <v>SV2026-126</v>
          </cell>
          <cell r="C124" t="str">
            <v>X</v>
          </cell>
          <cell r="D124" t="str">
            <v>Mô hình hóa và thiết kế bộ điều khiển cho Robot SCARA đánh cờ Caro với quỹ đạo là tín hiệu tham chiếu từ camera</v>
          </cell>
          <cell r="E124" t="str">
            <v>Phạm Thanh Trí 22134015</v>
          </cell>
          <cell r="F124" t="str">
            <v xml:space="preserve">Phạm Thanh Trí </v>
          </cell>
          <cell r="G124" t="str">
            <v>Cơ khí Chế tạo máy</v>
          </cell>
          <cell r="H124" t="str">
            <v>22134015</v>
          </cell>
          <cell r="I124" t="str">
            <v xml:space="preserve">Phạm Quang Nghĩa 22134007
Vũ Trung Tâm 22146396
Đào Hồng Anh 23146171
</v>
          </cell>
          <cell r="J124" t="str">
            <v>Trần Minh Thiên</v>
          </cell>
          <cell r="K124" t="str">
            <v>Khoa CKM</v>
          </cell>
          <cell r="L124" t="str">
            <v>thientm@hcmute.edu.vn</v>
          </cell>
          <cell r="M124" t="str">
            <v>- Bài báo khoa học: đăng trên tạp chí không thuộc mục 1; hoặc bài báo đăng trên hội thảo khoa học quốc tế có chỉ số xuất bản ISSN/ISBN; hoặc sản phẩm mô hình, thiết bị (không có hợp đồng chuyển giao công nghệ).
- Báo cáo tổng kết</v>
          </cell>
          <cell r="N124">
            <v>10000000</v>
          </cell>
          <cell r="O124" t="str">
            <v>Mười triệu đồng</v>
          </cell>
          <cell r="P124" t="str">
            <v>22134015@student.hcmute.edu.vn</v>
          </cell>
          <cell r="Q124" t="str">
            <v>0835961170</v>
          </cell>
        </row>
        <row r="125">
          <cell r="B125" t="str">
            <v>SV2026-127</v>
          </cell>
          <cell r="C125" t="str">
            <v>X</v>
          </cell>
          <cell r="D125" t="str">
            <v>Phân tích dữ liệu và tối ưu hóa thông số giảm chấn cho cán dao phay theo phương pháp Taguchi - ANOVA trong trường hợp phay góc cong</v>
          </cell>
          <cell r="E125" t="str">
            <v>Nguyễn Văn Quang 23144142</v>
          </cell>
          <cell r="F125" t="str">
            <v xml:space="preserve">Nguyễn Văn Quang </v>
          </cell>
          <cell r="G125" t="str">
            <v>Cơ khí Chế tạo máy</v>
          </cell>
          <cell r="H125" t="str">
            <v>23144142</v>
          </cell>
          <cell r="I125" t="str">
            <v>Nguyễn Quốc Thắng 23144157
Nhữ Đình Bảo Phúc 23144139</v>
          </cell>
          <cell r="J125" t="str">
            <v>Nguyễn Lê Hồng Sơn</v>
          </cell>
          <cell r="K125" t="str">
            <v>Khoa Giao thông và Năng lượng</v>
          </cell>
          <cell r="L125" t="str">
            <v>sonnlh@hcmute.edu.vn</v>
          </cell>
          <cell r="M125" t="str">
            <v>- 02 Bài báo khoa học đăng trên tạp chí trong nước trong danh mục của HĐ GSNN tính từ 0,5 điểm trở lên</v>
          </cell>
          <cell r="N125">
            <v>25000000</v>
          </cell>
          <cell r="O125" t="str">
            <v>Hai mươi lăm triệu đồng</v>
          </cell>
          <cell r="P125" t="str">
            <v>23144142@student.hcmute.edu.vn</v>
          </cell>
          <cell r="Q125" t="str">
            <v>0966974268</v>
          </cell>
        </row>
        <row r="126">
          <cell r="B126" t="str">
            <v>SV2026-128</v>
          </cell>
          <cell r="C126" t="str">
            <v>X</v>
          </cell>
          <cell r="D126" t="str">
            <v>Nghiên cứu cơ tính của chất dẻo sinh học tinh bột bắp và PVA</v>
          </cell>
          <cell r="E126" t="str">
            <v>Trần Trọng Tín
22143161</v>
          </cell>
          <cell r="F126" t="str">
            <v xml:space="preserve">Trần Trọng Tín
</v>
          </cell>
          <cell r="G126" t="str">
            <v>Cơ khí Chế tạo máy</v>
          </cell>
          <cell r="H126" t="str">
            <v>22143161</v>
          </cell>
          <cell r="I126" t="str">
            <v>Trần Văn Lợi 22143128
Nguyễn Tấn Thanh Long 22143124
Võ Tiến Phát 22143139
Hoàng Minh Nhật  22143136</v>
          </cell>
          <cell r="J126" t="str">
            <v>Phạm Thị Hồng Nga</v>
          </cell>
          <cell r="K126" t="str">
            <v>Khoa CKM</v>
          </cell>
          <cell r="L126" t="str">
            <v>hongnga@hcmute.edu.vn</v>
          </cell>
          <cell r="M126" t="str">
            <v>- 01 Bài báo khoa học (đăng trên tạp chí trong nước trong danh mục của Hội đồng Giáo sư Nhà nước tính 0,5 điểm trở lên) 
- Bản báo cáo phân tích kết quả
- Mẫu thử cơ tính
- Báo cáo tổng kết</v>
          </cell>
          <cell r="N126">
            <v>15000000</v>
          </cell>
          <cell r="O126" t="str">
            <v>Mười lăm triệu đồng</v>
          </cell>
          <cell r="P126" t="str">
            <v>22143161@student.hcmute.edu.vn</v>
          </cell>
          <cell r="Q126" t="str">
            <v>0964983221</v>
          </cell>
        </row>
        <row r="127">
          <cell r="B127" t="str">
            <v>SV2026-129</v>
          </cell>
          <cell r="C127" t="str">
            <v>X</v>
          </cell>
          <cell r="D127" t="str">
            <v>Thiết kế chế tạo bàn gỗ gấp mở tự động</v>
          </cell>
          <cell r="E127" t="str">
            <v>Tống Khánh Linh 25138025</v>
          </cell>
          <cell r="F127" t="str">
            <v xml:space="preserve">Tống Khánh Linh </v>
          </cell>
          <cell r="G127" t="str">
            <v>Cơ khí Chế tạo máy</v>
          </cell>
          <cell r="H127" t="str">
            <v>25138025</v>
          </cell>
          <cell r="I127" t="str">
            <v>Lâm Xương Duy 25138008
Trần Lương Minh Anh 25134002</v>
          </cell>
          <cell r="J127" t="str">
            <v>Nguyễn Văn Đoàn</v>
          </cell>
          <cell r="K127" t="str">
            <v>Khoa CKM</v>
          </cell>
          <cell r="L127" t="str">
            <v>nvdoan@hcmute.edu.vn</v>
          </cell>
          <cell r="M127" t="str">
            <v>- Mô hình bàn gỗ gấp mở tự động
- Bản vẽ bàn gỗ gấp mở tự động
- Báo cáo tổng kết: :Đạt yêu cầu báo cáo khoa học</v>
          </cell>
          <cell r="N127">
            <v>10000000</v>
          </cell>
          <cell r="O127" t="str">
            <v>Mười triệu đồng</v>
          </cell>
          <cell r="P127" t="str">
            <v>25138025@student.hcmute.edu.vn</v>
          </cell>
          <cell r="Q127" t="str">
            <v>0869578107</v>
          </cell>
        </row>
        <row r="128">
          <cell r="B128" t="str">
            <v>SV2026-130</v>
          </cell>
          <cell r="C128" t="str">
            <v>X</v>
          </cell>
          <cell r="D128" t="str">
            <v>Thiết kế và mô phỏng hệ thống rót cho chi tiết đồ lưu niệm trong công nghệ đúc mẫu chảy</v>
          </cell>
          <cell r="E128" t="str">
            <v>Huỳnh An Khang 23144094</v>
          </cell>
          <cell r="F128" t="str">
            <v xml:space="preserve">Huỳnh An Khang </v>
          </cell>
          <cell r="G128" t="str">
            <v>Cơ khí Chế tạo máy</v>
          </cell>
          <cell r="H128" t="str">
            <v>23144094</v>
          </cell>
          <cell r="I128" t="str">
            <v>Phạm Quang Hưng 23144089
Lê Hữu Anh Tuấn 23143084</v>
          </cell>
          <cell r="J128" t="str">
            <v>Hoàng Văn Hướng</v>
          </cell>
          <cell r="K128" t="str">
            <v>Khoa CKM</v>
          </cell>
          <cell r="L128" t="str">
            <v>huonghv@hcmute.edu.vn</v>
          </cell>
          <cell r="M128" t="str">
            <v xml:space="preserve"> - Tập bản vẽ: Tập bản vẽ theo tiêu chuẩn TCVN
- Báo cáo tổng kết</v>
          </cell>
          <cell r="N128">
            <v>5000000</v>
          </cell>
          <cell r="O128" t="str">
            <v>Năm triệu đồng</v>
          </cell>
          <cell r="P128" t="str">
            <v xml:space="preserve">23144094@student.hcmute.edu.vn </v>
          </cell>
          <cell r="Q128" t="str">
            <v>0708739042</v>
          </cell>
        </row>
        <row r="129">
          <cell r="B129" t="str">
            <v>SV2026-131</v>
          </cell>
          <cell r="C129" t="str">
            <v>X</v>
          </cell>
          <cell r="D129" t="str">
            <v>Nghiên cứu cơ tính của hỗn hợp vật liệu PP/PBT/PA6/EVA</v>
          </cell>
          <cell r="E129" t="str">
            <v>Nguyễn Kiến Quốc 23144147</v>
          </cell>
          <cell r="F129" t="str">
            <v xml:space="preserve">Nguyễn Kiến Quốc </v>
          </cell>
          <cell r="G129" t="str">
            <v>Cơ khí Chế tạo máy</v>
          </cell>
          <cell r="H129" t="str">
            <v>23144147</v>
          </cell>
          <cell r="I129" t="str">
            <v>Nguyễn Nhựt Hào 23144067
Nguyễn Chí Khang 23144095
Hoàng Đại Hiếu 23144072
Võ Trường Giang 23144066</v>
          </cell>
          <cell r="J129" t="str">
            <v>Phạm Thị Hồng Nga</v>
          </cell>
          <cell r="K129" t="str">
            <v>Khoa CKM</v>
          </cell>
          <cell r="L129" t="str">
            <v>hongnga@hcmute.edu.vn</v>
          </cell>
          <cell r="M129" t="str">
            <v>- 01 Bài báo khoa học (đăng trên tạp chí trong nước trong danh mục của Hội đồng Giáo sư Nhà nước tính 0,5 điểm trở lên)
- Báo cáo tổng kết đề tài</v>
          </cell>
          <cell r="N129">
            <v>15000000</v>
          </cell>
          <cell r="O129" t="str">
            <v>Mười lăm triệu đồng</v>
          </cell>
          <cell r="P129" t="str">
            <v>23144147@student.hcmute.edu.vn</v>
          </cell>
          <cell r="Q129" t="str">
            <v>0379557981</v>
          </cell>
        </row>
        <row r="130">
          <cell r="B130" t="str">
            <v>SV2026-132</v>
          </cell>
          <cell r="C130" t="str">
            <v>X</v>
          </cell>
          <cell r="D130" t="str">
            <v>Trạm điều khiển drone</v>
          </cell>
          <cell r="E130" t="str">
            <v>Trịnh Nhựt Phát 23134044</v>
          </cell>
          <cell r="F130" t="str">
            <v xml:space="preserve">Trịnh Nhựt Phát </v>
          </cell>
          <cell r="G130" t="str">
            <v>Cơ khí Chế tạo máy</v>
          </cell>
          <cell r="H130" t="str">
            <v>23134044</v>
          </cell>
          <cell r="I130" t="str">
            <v>Hồ Quốc Việt 23134065
Lương Gia Bảo 23134003
Nguyễn Hoàng Phát 22146189
Phan Công Tâm 22146215</v>
          </cell>
          <cell r="J130" t="str">
            <v>Lê Thanh Tùng</v>
          </cell>
          <cell r="K130" t="str">
            <v>Khoa CKM</v>
          </cell>
          <cell r="L130" t="str">
            <v>tunglt@hcmute.edu.vn</v>
          </cell>
          <cell r="M130" t="str">
            <v>- Mô hình drone thực nghiệm
- Chương trình trạm điều khiển 
- Báo cáo tổng kết đề tài</v>
          </cell>
          <cell r="N130">
            <v>10000000</v>
          </cell>
          <cell r="O130" t="str">
            <v>Mười triệu đồng</v>
          </cell>
          <cell r="P130" t="str">
            <v>23134044@student.hcmute.edu.vn</v>
          </cell>
          <cell r="Q130" t="str">
            <v>0366306745</v>
          </cell>
        </row>
        <row r="131">
          <cell r="B131" t="str">
            <v>SV2026-133</v>
          </cell>
          <cell r="C131" t="str">
            <v>X</v>
          </cell>
          <cell r="D131" t="str">
            <v>Thiết kế chế tạo máy tạo rung động</v>
          </cell>
          <cell r="E131" t="str">
            <v>Lê Minh Đạt 23144058</v>
          </cell>
          <cell r="F131" t="str">
            <v xml:space="preserve">Lê Minh Đạt </v>
          </cell>
          <cell r="G131" t="str">
            <v>Cơ khí Chế tạo máy</v>
          </cell>
          <cell r="H131" t="str">
            <v>23144058</v>
          </cell>
          <cell r="I131" t="str">
            <v>Dương Gia Bảo 23144047
Võ Trần Hoàng Chí 23144051
Dương Quang Đăng 23144059
Lê Dương Quang Duy 23144053</v>
          </cell>
          <cell r="J131" t="str">
            <v>Trương Thành Công</v>
          </cell>
          <cell r="K131" t="str">
            <v>Khoa CKM</v>
          </cell>
          <cell r="L131" t="str">
            <v>congtt@hcmute.edu.vn</v>
          </cell>
          <cell r="M131" t="str">
            <v>-Mô Hình Máy Rung Khi Đúc
- Bản Vẽ Chi Tiết DWG
- Bản Vẽ Lắp DWG
- Báo cáo tổng kết</v>
          </cell>
          <cell r="N131">
            <v>10000000</v>
          </cell>
          <cell r="O131" t="str">
            <v>Mười triệu đồng</v>
          </cell>
          <cell r="P131" t="str">
            <v>23144058@student.hcmute.edu.vn</v>
          </cell>
          <cell r="Q131" t="str">
            <v>0772081105</v>
          </cell>
        </row>
        <row r="132">
          <cell r="B132" t="str">
            <v>SV2026-134</v>
          </cell>
          <cell r="C132" t="str">
            <v>X</v>
          </cell>
          <cell r="D132" t="str">
            <v>Nghiên cứu và phát triển thuật toán điều khiển xe tự lái sử dụng mô hình học sâu End-to-End</v>
          </cell>
          <cell r="E132" t="str">
            <v>Lê Lữ Anh Khôi 23134033</v>
          </cell>
          <cell r="F132" t="str">
            <v xml:space="preserve">Lê Lữ Anh Khôi </v>
          </cell>
          <cell r="G132" t="str">
            <v>Cơ khí Chế tạo máy</v>
          </cell>
          <cell r="H132" t="str">
            <v>23134033</v>
          </cell>
          <cell r="I132" t="str">
            <v xml:space="preserve">Nguyễn Trịnh Trà Giang 22134005
Võ Thành Nguyễn 22134008
</v>
          </cell>
          <cell r="J132" t="str">
            <v>Bùi Hà Đức</v>
          </cell>
          <cell r="K132" t="str">
            <v>Khoa CKM</v>
          </cell>
          <cell r="L132" t="str">
            <v>ducbh@hcmute.edu.vn</v>
          </cell>
          <cell r="M132" t="str">
            <v>- Bài báo hội nghị ISBN
- Mô hình  điều khiển theo phương pháp End-to-End
- Báo cáo tổng kết</v>
          </cell>
          <cell r="N132">
            <v>10000000</v>
          </cell>
          <cell r="O132" t="str">
            <v>Mười triệu đồng</v>
          </cell>
          <cell r="P132" t="str">
            <v>23134033@student.hcmute.edu.vn</v>
          </cell>
          <cell r="Q132" t="str">
            <v>0334430698</v>
          </cell>
        </row>
        <row r="133">
          <cell r="B133" t="str">
            <v>SV2026-135</v>
          </cell>
          <cell r="C133" t="str">
            <v>X</v>
          </cell>
          <cell r="D133" t="str">
            <v>Thiết kế khuôn phun ép được chế tạo bằng phương pháp tạo hình theo lớp</v>
          </cell>
          <cell r="E133" t="str">
            <v>Huỳnh Trung Hậu 23144203</v>
          </cell>
          <cell r="F133" t="str">
            <v xml:space="preserve">Huỳnh Trung Hậu </v>
          </cell>
          <cell r="G133" t="str">
            <v>Cơ khí Chế tạo máy</v>
          </cell>
          <cell r="H133" t="str">
            <v>23144203</v>
          </cell>
          <cell r="I133" t="str">
            <v>Dương Hồng Đức 23144201</v>
          </cell>
          <cell r="J133" t="str">
            <v>Nguyễn Trọng Hiếu</v>
          </cell>
          <cell r="K133" t="str">
            <v>Khoa CKM</v>
          </cell>
          <cell r="L133" t="str">
            <v>hieunt@hcmute.edu.vn</v>
          </cell>
          <cell r="M133" t="str">
            <v>- 02 Bài báo khoa học đăng trên tạp chí trong nước trong danh mục của HĐ GSNN tính từ 0,5 điểm trở lên</v>
          </cell>
          <cell r="N133">
            <v>25000000</v>
          </cell>
          <cell r="O133" t="str">
            <v>Hai mươi lăm triệu đồng</v>
          </cell>
          <cell r="P133" t="str">
            <v>23144203@student.hcmute.edu.vn</v>
          </cell>
          <cell r="Q133" t="str">
            <v>0878197952</v>
          </cell>
        </row>
        <row r="134">
          <cell r="B134" t="str">
            <v>SV2026-136</v>
          </cell>
          <cell r="C134" t="str">
            <v>X</v>
          </cell>
          <cell r="D134" t="str">
            <v>Mô hình hóa và thiết kế bộ điều khiển đáp ứng quỹ đạo ba chiều trong không gian cho Robot Manipulator ba bậc tự do</v>
          </cell>
          <cell r="E134" t="str">
            <v>Trần Lê Thiên Ân 22146265</v>
          </cell>
          <cell r="F134" t="str">
            <v xml:space="preserve">Trần Lê Thiên Ân </v>
          </cell>
          <cell r="G134" t="str">
            <v>Cơ khí Chế tạo máy</v>
          </cell>
          <cell r="H134" t="str">
            <v>22146265</v>
          </cell>
          <cell r="I134" t="str">
            <v>Đào Chí Quân 22146380
Vũ Trung Tâm 22146396
Chung Hoàng Ân 23146176</v>
          </cell>
          <cell r="J134" t="str">
            <v>Trần Minh Thiên</v>
          </cell>
          <cell r="K134" t="str">
            <v>Khoa CKM</v>
          </cell>
          <cell r="L134" t="str">
            <v>thientm@hcmute.edu.vn</v>
          </cell>
          <cell r="M134" t="str">
            <v>- Bài báo khoa học: đăng trên tạp chí không thuộc mục 1; hoặc bài báo đăng trên hội thảo quốc tế có chỉ số xuất bản ISBN/ISSN; hoặc sản phẩm mô hình, thiết bị (không có hợp đồng chuyển giao công nghệ).
- 01 Báo cáo tổng kết</v>
          </cell>
          <cell r="N134">
            <v>10000000</v>
          </cell>
          <cell r="O134" t="str">
            <v>Mười triệu đồng</v>
          </cell>
          <cell r="P134" t="str">
            <v>22146265@student.hcmute.edu.vn</v>
          </cell>
          <cell r="Q134" t="str">
            <v>0896474865</v>
          </cell>
        </row>
        <row r="135">
          <cell r="B135" t="str">
            <v>SV2026-137</v>
          </cell>
          <cell r="C135" t="str">
            <v>X</v>
          </cell>
          <cell r="D135" t="str">
            <v>Chế tạo mô hình điều khiển góc xoay thông qua module cơ nhân tạo</v>
          </cell>
          <cell r="E135" t="str">
            <v>Trần Nguyễn Viết Nghĩa 23143073</v>
          </cell>
          <cell r="F135" t="str">
            <v xml:space="preserve">Trần Nguyễn Viết Nghĩa </v>
          </cell>
          <cell r="G135" t="str">
            <v>Cơ khí Chế tạo máy</v>
          </cell>
          <cell r="H135" t="str">
            <v>23143073</v>
          </cell>
          <cell r="I135" t="str">
            <v>Đoàn Văn Trung Đạo 24144141</v>
          </cell>
          <cell r="J135" t="str">
            <v>Vũ Quang Huy</v>
          </cell>
          <cell r="K135" t="str">
            <v>Khoa CKM</v>
          </cell>
          <cell r="L135" t="str">
            <v>huyvq@hcmute.edu.vn</v>
          </cell>
          <cell r="M135" t="str">
            <v>- 02 Bài báo khoa học đăng trên tạp chí trong nước trong danh mục của HĐ GSNN tính từ 0,5 điểm trở lên</v>
          </cell>
          <cell r="N135">
            <v>25000000</v>
          </cell>
          <cell r="O135" t="str">
            <v>Hai mươi lăm triệu đồng</v>
          </cell>
          <cell r="P135" t="str">
            <v>23143073@student.hcmute.edu.vn</v>
          </cell>
          <cell r="Q135" t="str">
            <v>0369519869</v>
          </cell>
        </row>
        <row r="136">
          <cell r="B136" t="str">
            <v>SV2026-138</v>
          </cell>
          <cell r="C136"/>
          <cell r="D136" t="str">
            <v>Nghiên cứu độ bền của cơ cấu mềm được chế tạo bằng phương pháp in 3D</v>
          </cell>
          <cell r="E136" t="str">
            <v>Lê Thế Duy 21144369</v>
          </cell>
          <cell r="F136" t="str">
            <v xml:space="preserve">Lê Thế Duy </v>
          </cell>
          <cell r="G136" t="str">
            <v>Cơ khí Chế tạo máy</v>
          </cell>
          <cell r="H136" t="str">
            <v>21144369</v>
          </cell>
          <cell r="I136" t="str">
            <v>Nguyễn Xuân Vinh 21144140</v>
          </cell>
          <cell r="J136" t="str">
            <v>Nguyễn Văn Minh (CNC)</v>
          </cell>
          <cell r="K136" t="str">
            <v>Khoa CKM</v>
          </cell>
          <cell r="L136" t="str">
            <v>minhngvan@hcmute.edu.vn</v>
          </cell>
          <cell r="M136" t="str">
            <v>- Báo cáo tổng kết: 	Đạt yêu cầu báo cáo khoa học</v>
          </cell>
          <cell r="N136">
            <v>5000000</v>
          </cell>
          <cell r="O136" t="str">
            <v>Năm triệu đồng</v>
          </cell>
          <cell r="P136" t="str">
            <v>21144369@student.hcmute.edu.vn</v>
          </cell>
          <cell r="Q136" t="str">
            <v>0932 036415</v>
          </cell>
        </row>
        <row r="137">
          <cell r="B137" t="str">
            <v>SV2026-139</v>
          </cell>
          <cell r="C137" t="str">
            <v>X</v>
          </cell>
          <cell r="D137" t="str">
            <v>Thực nghiệm quá trình tiện có giảm chấn với các vật liệu phôi có độ cứng khác nhau</v>
          </cell>
          <cell r="E137" t="str">
            <v>Trần Hoàng Việt 23144171</v>
          </cell>
          <cell r="F137" t="str">
            <v xml:space="preserve">Trần Hoàng Việt </v>
          </cell>
          <cell r="G137" t="str">
            <v>Cơ khí Chế tạo máy</v>
          </cell>
          <cell r="H137" t="str">
            <v>23144171</v>
          </cell>
          <cell r="I137" t="str">
            <v>Nguyễn Xuân Vinh 21144140
Lê Thanh Tùng 22144449</v>
          </cell>
          <cell r="J137" t="str">
            <v>Trần Thái Sơn</v>
          </cell>
          <cell r="K137" t="str">
            <v>Khoa CKM</v>
          </cell>
          <cell r="L137" t="str">
            <v>tranthaison@hcmute.edu.vn</v>
          </cell>
          <cell r="M137" t="str">
            <v>- 02 Bài báo khoa học đăng trên tạp chí trong nước trong danh mục của HĐ GSNN tính từ 0,5 điểm trở lên</v>
          </cell>
          <cell r="N137">
            <v>25000000</v>
          </cell>
          <cell r="O137" t="str">
            <v>Hai mươi lăm triệu đồng</v>
          </cell>
          <cell r="P137" t="str">
            <v>22144449@student.hcmute.edu.vn</v>
          </cell>
          <cell r="Q137" t="str">
            <v>0789954736</v>
          </cell>
        </row>
        <row r="138">
          <cell r="B138" t="str">
            <v>SV2026-140</v>
          </cell>
          <cell r="C138"/>
          <cell r="D138" t="str">
            <v>Thiết kế chế tạo robot 4 bậc tự do.</v>
          </cell>
          <cell r="E138" t="str">
            <v>Danh Thái Tỷ 22146252</v>
          </cell>
          <cell r="F138" t="str">
            <v xml:space="preserve">Danh Thái Tỷ </v>
          </cell>
          <cell r="G138" t="str">
            <v>Cơ khí Chế tạo máy</v>
          </cell>
          <cell r="H138" t="str">
            <v>22146252</v>
          </cell>
          <cell r="I138" t="str">
            <v>Huỳnh Hoàng Phúc 22146193</v>
          </cell>
          <cell r="J138" t="str">
            <v>Đặng Thiện Ngôn</v>
          </cell>
          <cell r="K138" t="str">
            <v>Khoa CKM</v>
          </cell>
          <cell r="L138" t="str">
            <v>ngondt@hcmute.edu.vn</v>
          </cell>
          <cell r="M138"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Robot 4 bậc tự do
- Báo cáo tổng kết</v>
          </cell>
          <cell r="N138">
            <v>15000000</v>
          </cell>
          <cell r="O138" t="str">
            <v>Mười lăm triệu đồng</v>
          </cell>
          <cell r="P138" t="str">
            <v>22146252@student.hcmute.edu.vn</v>
          </cell>
          <cell r="Q138" t="str">
            <v>0394340744</v>
          </cell>
        </row>
        <row r="139">
          <cell r="B139" t="str">
            <v>SV2026-141</v>
          </cell>
          <cell r="C139" t="str">
            <v>X</v>
          </cell>
          <cell r="D139" t="str">
            <v>Nghiên cứu độ bền của kết cấu lattic</v>
          </cell>
          <cell r="E139" t="str">
            <v>Lý Hoàng Thịnh 22144407</v>
          </cell>
          <cell r="F139" t="str">
            <v xml:space="preserve">Lý Hoàng Thịnh </v>
          </cell>
          <cell r="G139" t="str">
            <v>Cơ khí Chế tạo máy</v>
          </cell>
          <cell r="H139" t="str">
            <v>22144407</v>
          </cell>
          <cell r="I139" t="str">
            <v>Đặng Gia Bảo 22144003
Hoàng Trung Kiên 22144023
Lại Quang Hà 22144012</v>
          </cell>
          <cell r="J139" t="str">
            <v>Nguyễn Văn Minh (CNC)</v>
          </cell>
          <cell r="K139" t="str">
            <v>Khoa CKM</v>
          </cell>
          <cell r="L139" t="str">
            <v>minhngvan@hcmute.edu.vn</v>
          </cell>
          <cell r="M139" t="str">
            <v>- 02 Bài báo khoa học đăng trên tạp chí trong nước trong danh mục của HĐ GSNN tính từ 0,5 điểm trở lên</v>
          </cell>
          <cell r="N139">
            <v>25000000</v>
          </cell>
          <cell r="O139" t="str">
            <v>Hai mươi lăm triệu đồng</v>
          </cell>
          <cell r="P139" t="str">
            <v>22144012@student.hcmute.edu.vn</v>
          </cell>
          <cell r="Q139" t="str">
            <v>0911772641</v>
          </cell>
        </row>
        <row r="140">
          <cell r="B140" t="str">
            <v>SV2026-143</v>
          </cell>
          <cell r="C140" t="str">
            <v>X</v>
          </cell>
          <cell r="D140" t="str">
            <v>Thiết kế khuôn phun ép mẫu thử xoắn</v>
          </cell>
          <cell r="E140" t="str">
            <v>Dương Thành Thắng 22144403</v>
          </cell>
          <cell r="F140" t="str">
            <v xml:space="preserve">Dương Thành Thắng </v>
          </cell>
          <cell r="G140" t="str">
            <v>Cơ khí Chế tạo máy</v>
          </cell>
          <cell r="H140" t="str">
            <v>22144403</v>
          </cell>
          <cell r="I140" t="str">
            <v>Lê Nguyễn Liêm 22144136
Trần Nhật Hào 24144026</v>
          </cell>
          <cell r="J140" t="str">
            <v>Đỗ Thành Trung</v>
          </cell>
          <cell r="K140" t="str">
            <v>P.Khảo thí và ĐBCL</v>
          </cell>
          <cell r="L140" t="str">
            <v>trungdt@hcmute.edu.vn</v>
          </cell>
          <cell r="M140" t="str">
            <v>- 02 Bài báo khoa học đăng trên tạp chí trong nước trong danh mục của HĐ GSNN tính từ 0,5 điểm trở lên</v>
          </cell>
          <cell r="N140">
            <v>25000000</v>
          </cell>
          <cell r="O140" t="str">
            <v>Hai mươi lăm triệu đồng</v>
          </cell>
          <cell r="P140" t="str">
            <v>24144026@student.hcmute.edu.vn</v>
          </cell>
          <cell r="Q140" t="str">
            <v>0962774411</v>
          </cell>
        </row>
        <row r="141">
          <cell r="B141" t="str">
            <v>SV2026-144</v>
          </cell>
          <cell r="C141" t="str">
            <v>X</v>
          </cell>
          <cell r="D141" t="str">
            <v>Thiết kế UAV cứu nạn vùng lũ sử dụng dẫn đường GPS và phát hiện người tự động, tích hợp bản đồ trực tuyến</v>
          </cell>
          <cell r="E141" t="str">
            <v>Nguyễn Khánh Duy 24134014</v>
          </cell>
          <cell r="F141" t="str">
            <v xml:space="preserve">Nguyễn Khánh Duy </v>
          </cell>
          <cell r="G141" t="str">
            <v>Cơ khí Chế tạo máy</v>
          </cell>
          <cell r="H141" t="str">
            <v>24134014</v>
          </cell>
          <cell r="I141" t="str">
            <v>Phạm Minh Hoàng 24134026
Huỳnh Phúc Thịnh 24134068
Nguyễn Phú Lộc 24161305</v>
          </cell>
          <cell r="J141" t="str">
            <v>Lê Mỹ Hà</v>
          </cell>
          <cell r="K141" t="str">
            <v>Khoa CKM</v>
          </cell>
          <cell r="L141" t="str">
            <v>halm@hcmute.edu.vn</v>
          </cell>
          <cell r="M141" t="str">
            <v>- 01 Báo cáo tổng kết:Đạt yêu cầu của báo cáo khoa học.</v>
          </cell>
          <cell r="N141">
            <v>5000000</v>
          </cell>
          <cell r="O141" t="str">
            <v>Năm triệu đồng</v>
          </cell>
          <cell r="P141" t="str">
            <v>24134014@student.hcmute.edu.vn</v>
          </cell>
          <cell r="Q141" t="str">
            <v>0383055917</v>
          </cell>
        </row>
        <row r="142">
          <cell r="B142" t="str">
            <v>SV2026-145</v>
          </cell>
          <cell r="C142" t="str">
            <v>X</v>
          </cell>
          <cell r="D142" t="str">
            <v>Chế tạo mô hình đo khả năng tải của cơ nhân tạo</v>
          </cell>
          <cell r="E142" t="str">
            <v>Huỳnh Duy Hưng 23144221</v>
          </cell>
          <cell r="F142" t="str">
            <v xml:space="preserve">Huỳnh Duy Hưng </v>
          </cell>
          <cell r="G142" t="str">
            <v>Cơ khí Chế tạo máy</v>
          </cell>
          <cell r="H142" t="str">
            <v>23144221</v>
          </cell>
          <cell r="I142" t="str">
            <v xml:space="preserve">		Nguyễn Duy Khanh 23145330</v>
          </cell>
          <cell r="J142" t="str">
            <v>Vũ Quang Huy</v>
          </cell>
          <cell r="K142" t="str">
            <v>Khoa CKM</v>
          </cell>
          <cell r="L142" t="str">
            <v>huyvq@hcmute.edu.vn</v>
          </cell>
          <cell r="M142" t="str">
            <v>- 02 Bài báo khoa học đăng trên tạp chí trong nước trong danh mục của HĐ GSNN tính từ 0,5 điểm trở lên</v>
          </cell>
          <cell r="N142">
            <v>25000000</v>
          </cell>
          <cell r="O142" t="str">
            <v>Hai mươi lăm triệu đồng</v>
          </cell>
          <cell r="P142" t="str">
            <v>23144221@student.hcmute.edu.vn</v>
          </cell>
          <cell r="Q142" t="str">
            <v>0393901907</v>
          </cell>
        </row>
        <row r="143">
          <cell r="B143" t="str">
            <v>SV2026-146</v>
          </cell>
          <cell r="C143" t="str">
            <v>X</v>
          </cell>
          <cell r="D143" t="str">
            <v>Chế tạo mô hình 3 bậc tự do dùng cơ nhân tạo</v>
          </cell>
          <cell r="E143" t="str">
            <v>Nguyễn Văn Thương 23144320</v>
          </cell>
          <cell r="F143" t="str">
            <v xml:space="preserve">Nguyễn Văn Thương </v>
          </cell>
          <cell r="G143" t="str">
            <v>Cơ khí Chế tạo máy</v>
          </cell>
          <cell r="H143" t="str">
            <v>23144320</v>
          </cell>
          <cell r="I143" t="str">
            <v xml:space="preserve">		Nguyễn Văn Trọng 23144328</v>
          </cell>
          <cell r="J143" t="str">
            <v>Vũ Quang Huy</v>
          </cell>
          <cell r="K143" t="str">
            <v>Khoa CKM</v>
          </cell>
          <cell r="L143" t="str">
            <v>huyvq@hcmute.edu.vn</v>
          </cell>
          <cell r="M143" t="str">
            <v>- 02 Bài báo khoa học đăng trên tạp chí trong nước trong danh mục của HĐ GSNN tính từ 0,5 điểm trở lên</v>
          </cell>
          <cell r="N143">
            <v>25000000</v>
          </cell>
          <cell r="O143" t="str">
            <v>Hai mươi lăm triệu đồng</v>
          </cell>
          <cell r="P143" t="str">
            <v>23144320@student.hcmute.edu.vn</v>
          </cell>
          <cell r="Q143" t="str">
            <v>0335994873</v>
          </cell>
        </row>
        <row r="144">
          <cell r="B144" t="str">
            <v>SV2026-147</v>
          </cell>
          <cell r="C144" t="str">
            <v>X</v>
          </cell>
          <cell r="D144" t="str">
            <v>Chế tạo chi tiết ống composite bằng phương pháp phun ép</v>
          </cell>
          <cell r="E144" t="str">
            <v>Ngô Trọng Đức 23144061</v>
          </cell>
          <cell r="F144" t="str">
            <v xml:space="preserve">Ngô Trọng Đức </v>
          </cell>
          <cell r="G144" t="str">
            <v>Cơ khí Chế tạo máy</v>
          </cell>
          <cell r="H144" t="str">
            <v>23144061</v>
          </cell>
          <cell r="I144" t="str">
            <v>Lê Phước Hoàng 23144080</v>
          </cell>
          <cell r="J144" t="str">
            <v>Võ Minh Tâm</v>
          </cell>
          <cell r="K144" t="str">
            <v>Khoa CKM</v>
          </cell>
          <cell r="L144" t="str">
            <v>tamvm@hcmute.edu.vn</v>
          </cell>
          <cell r="M144" t="str">
            <v>- 02 Bài báo khoa học đăng trên tạp chí trong nước trong danh mục của HĐ GSNN tính từ 0,5 điểm trở lên</v>
          </cell>
          <cell r="N144">
            <v>25000000</v>
          </cell>
          <cell r="O144" t="str">
            <v>Hai mươi lăm triệu đồng</v>
          </cell>
          <cell r="P144" t="str">
            <v>23144061@student.hcmute.edu.vn</v>
          </cell>
          <cell r="Q144" t="str">
            <v>0778052891</v>
          </cell>
        </row>
        <row r="145">
          <cell r="B145" t="str">
            <v>SV2026-148</v>
          </cell>
          <cell r="C145" t="str">
            <v>X</v>
          </cell>
          <cell r="D145" t="str">
            <v>Thiết kế và chế tạo bộ truyền động mang điện cực hàn TIG trong quá trình hàn ống tự động dạng hở</v>
          </cell>
          <cell r="E145" t="str">
            <v>Võ Thành Phát 23143323</v>
          </cell>
          <cell r="F145" t="str">
            <v xml:space="preserve">Võ Thành Phát </v>
          </cell>
          <cell r="G145" t="str">
            <v>Cơ khí Chế tạo máy</v>
          </cell>
          <cell r="H145" t="str">
            <v>23143323</v>
          </cell>
          <cell r="I145" t="str">
            <v>Trương Văn Chương 23143233
Nguyễn Thiên 23143357</v>
          </cell>
          <cell r="J145" t="str">
            <v>Trần Ngọc Thiện</v>
          </cell>
          <cell r="K145" t="str">
            <v>Khoa CKM</v>
          </cell>
          <cell r="L145" t="str">
            <v>thientn@hcmute.edu.vn</v>
          </cell>
          <cell r="M145" t="str">
            <v>- Mô hình bộ truyền động
- Tập bản vẽ: Theo TCVN
- Báo cáo tổng kết</v>
          </cell>
          <cell r="N145">
            <v>10000000</v>
          </cell>
          <cell r="O145" t="str">
            <v>Mười triệu đồng</v>
          </cell>
          <cell r="P145" t="str">
            <v>23143323@student.hcmute.edu.vn</v>
          </cell>
          <cell r="Q145" t="str">
            <v>0837558770</v>
          </cell>
        </row>
        <row r="146">
          <cell r="B146" t="str">
            <v>SV2026-149</v>
          </cell>
          <cell r="C146" t="str">
            <v>X</v>
          </cell>
          <cell r="D146" t="str">
            <v>Thực nghiệm chế tạo mẫu thử độ bền bằng phương pháp phun ép có gia nhiệt cho lòng khuôn</v>
          </cell>
          <cell r="E146" t="str">
            <v>Đặng Việt  Hoàng 23144079</v>
          </cell>
          <cell r="F146" t="str">
            <v xml:space="preserve">Đặng Việt  Hoàng </v>
          </cell>
          <cell r="G146" t="str">
            <v>Cơ khí Chế tạo máy</v>
          </cell>
          <cell r="H146" t="str">
            <v>23144079</v>
          </cell>
          <cell r="I146" t="str">
            <v>Đỗ Trần Nhật Minh 23144119</v>
          </cell>
          <cell r="J146" t="str">
            <v>Đỗ Thành Trung</v>
          </cell>
          <cell r="K146" t="str">
            <v>Khoa CKM</v>
          </cell>
          <cell r="L146" t="str">
            <v>trungdt@hcmute.edu.vn</v>
          </cell>
          <cell r="M146" t="str">
            <v>-  02 Bài báo khoa học đăng trên tạp chí trong nước trong danh mục của HĐ GSNN tính từ 0,5 điểm trở lên</v>
          </cell>
          <cell r="N146">
            <v>25000000</v>
          </cell>
          <cell r="O146" t="str">
            <v>Hai mươi lăm triệu đồng</v>
          </cell>
          <cell r="P146" t="str">
            <v>23144079@student.hcmute.edu.vn</v>
          </cell>
          <cell r="Q146" t="str">
            <v>0963976330</v>
          </cell>
        </row>
        <row r="147">
          <cell r="B147" t="str">
            <v>SV2026-150</v>
          </cell>
          <cell r="C147" t="str">
            <v>X</v>
          </cell>
          <cell r="D147" t="str">
            <v>Thực nghiệm đo dao động của cán dao phay khi phay góc cong ứng với các thông số gia công khác nhau (S,T,V)</v>
          </cell>
          <cell r="E147" t="str">
            <v>Lê Võ Minh Nhựt 23144130</v>
          </cell>
          <cell r="F147" t="str">
            <v xml:space="preserve">Lê Võ Minh Nhựt </v>
          </cell>
          <cell r="G147" t="str">
            <v>Cơ khí Chế tạo máy</v>
          </cell>
          <cell r="H147" t="str">
            <v>23144130</v>
          </cell>
          <cell r="I147" t="str">
            <v>Nguyễn Ngọc Anh Khôi 23144106
	Đặng Gia Bảo 22144003
Trương Nguyễn Thế Bảo 22144004</v>
          </cell>
          <cell r="J147" t="str">
            <v>Lê Bá Tân</v>
          </cell>
          <cell r="K147" t="str">
            <v>Khoa Giao thông và Năng lượng</v>
          </cell>
          <cell r="L147" t="str">
            <v>tanlb@hcmute.edu.vn</v>
          </cell>
          <cell r="M147" t="str">
            <v>- 02 Bài báo khoa học đăng trên tạp chí trong nước trong danh mục của HĐ GSNN tính từ 0,5 điểm trở lên</v>
          </cell>
          <cell r="N147">
            <v>25000000</v>
          </cell>
          <cell r="O147" t="str">
            <v>Hai mươi lăm triệu đồng</v>
          </cell>
          <cell r="P147" t="str">
            <v>23144130@student.hcmute.edu.vn</v>
          </cell>
          <cell r="Q147" t="str">
            <v>0358734293</v>
          </cell>
        </row>
        <row r="148">
          <cell r="B148" t="str">
            <v>SV2026-151</v>
          </cell>
          <cell r="C148" t="str">
            <v>X</v>
          </cell>
          <cell r="D148" t="str">
            <v>Thực nghiệm đo dao động của cán dao phay khi vào dao ứng với các thông số gia công khác nhau</v>
          </cell>
          <cell r="E148" t="str">
            <v>Phạm Quốc Kiệt 23144110</v>
          </cell>
          <cell r="F148" t="str">
            <v xml:space="preserve">Phạm Quốc Kiệt </v>
          </cell>
          <cell r="G148" t="str">
            <v>Cơ khí Chế tạo máy</v>
          </cell>
          <cell r="H148" t="str">
            <v>23144110</v>
          </cell>
          <cell r="I148" t="str">
            <v xml:space="preserve">Trương Anh Tú 23144168
Ngô Gia Phú 23144137
Đặng Tuấn Phát 23144132
Trương Quốc Toàn 23144162
</v>
          </cell>
          <cell r="J148" t="str">
            <v>Phan Thị Đăng Thư</v>
          </cell>
          <cell r="K148" t="str">
            <v>Khoa CKM</v>
          </cell>
          <cell r="L148" t="str">
            <v>thuptd@hcmute.edu.vn</v>
          </cell>
          <cell r="M148" t="str">
            <v>- 02 Bài báo khoa học đăng trên tạp chí trong nước trong danh mục của HĐ GSNN tính từ 0,5 điểm trở lên</v>
          </cell>
          <cell r="N148">
            <v>25000000</v>
          </cell>
          <cell r="O148" t="str">
            <v>Hai mươi lăm triệu đồng</v>
          </cell>
          <cell r="P148" t="str">
            <v>23144110@student.hcmute.edu.vn</v>
          </cell>
          <cell r="Q148" t="str">
            <v xml:space="preserve"> 0794299381</v>
          </cell>
        </row>
        <row r="149">
          <cell r="B149" t="str">
            <v>SV2026-152</v>
          </cell>
          <cell r="C149" t="str">
            <v>X</v>
          </cell>
          <cell r="D149" t="str">
            <v>Nghiên cứu, thực nghiệm và mô hình hoá ảnh hưởng của thông số đúc áp lực cao đến cơ tính vật liệu nhôm đúc thông qua mô phỏng bằng Magmasoft và thực nghiệm.</v>
          </cell>
          <cell r="E149" t="str">
            <v>Mã Minh Nhựt 23144131</v>
          </cell>
          <cell r="F149" t="str">
            <v xml:space="preserve">Mã Minh Nhựt </v>
          </cell>
          <cell r="G149" t="str">
            <v>Cơ khí Chế tạo máy</v>
          </cell>
          <cell r="H149" t="str">
            <v>23144131</v>
          </cell>
          <cell r="I149" t="str">
            <v>Nguyễn Thành Long 23144114
Phạm Anh Tú 23144167
Hoàng Phi Vũ 23144172
Lê Phục Thanh Nghiêm 23144122</v>
          </cell>
          <cell r="J149" t="str">
            <v xml:space="preserve">Võ Xuân Tiến </v>
          </cell>
          <cell r="K149" t="str">
            <v>Khoa CKM</v>
          </cell>
          <cell r="L149" t="str">
            <v>tienvx@hcmute.edu.vn</v>
          </cell>
          <cell r="M149" t="str">
            <v>- Bài báo khoa học: đăng trên tạp chí không thuộc mục 1; hoặc bài báo đăng trên hội thảo khoa học quốc tế có chỉ số xuất bản ISSN/ISBN; hoặc sản phẩm mô hình, thiết bị (không có hợp đồng chuyển giao công nghệ).
- Báo cáo tổng kết</v>
          </cell>
          <cell r="N149">
            <v>10000000</v>
          </cell>
          <cell r="O149" t="str">
            <v>Mười triệu đồng</v>
          </cell>
          <cell r="P149" t="str">
            <v>23144131@student.hcmute.edu.vn</v>
          </cell>
          <cell r="Q149" t="str">
            <v>0949488949</v>
          </cell>
        </row>
        <row r="150">
          <cell r="B150" t="str">
            <v>SV2026-153</v>
          </cell>
          <cell r="C150" t="str">
            <v>X</v>
          </cell>
          <cell r="D150" t="str">
            <v>Mô hình AI phát hiện và phân loại rác trên sân trường theo thời gian thực</v>
          </cell>
          <cell r="E150" t="str">
            <v>Lê Hải Đăng 23134011</v>
          </cell>
          <cell r="F150" t="str">
            <v xml:space="preserve">Lê Hải Đăng </v>
          </cell>
          <cell r="G150" t="str">
            <v>Cơ khí Chế tạo máy</v>
          </cell>
          <cell r="H150" t="str">
            <v>23134011</v>
          </cell>
          <cell r="I150" t="str">
            <v>Phan Văn Bảo 23134004
Trịnh Gia Bảo 23134005
Trần Bỉnh Phú 23134046
Lê Thế Hòa 23134023</v>
          </cell>
          <cell r="J150" t="str">
            <v>Lê Thanh Tùng</v>
          </cell>
          <cell r="K150" t="str">
            <v>Khoa CKM</v>
          </cell>
          <cell r="L150" t="str">
            <v>tunglt@hcmute.edu.vn</v>
          </cell>
          <cell r="M150" t="str">
            <v xml:space="preserve"> -Mô hình xe tự hành có gắn camera AI phân loại rác
- Hệ thống điều khiển tự hành (cảm biến, động cơ, vi điều khiển) 
- Phần mềm AI nhận dạng rác YOLOv8/ SSD) Phần mềm AI nhận dạng và phân loại rác
- Báo cáo tổng kết
</v>
          </cell>
          <cell r="N150">
            <v>10000000</v>
          </cell>
          <cell r="O150" t="str">
            <v>Mười triệu đồng</v>
          </cell>
          <cell r="P150" t="str">
            <v>23134011@student.hcmute.edu.vn</v>
          </cell>
          <cell r="Q150" t="str">
            <v>0838709769</v>
          </cell>
        </row>
        <row r="151">
          <cell r="B151" t="str">
            <v>SV2026-154</v>
          </cell>
          <cell r="C151" t="str">
            <v>X</v>
          </cell>
          <cell r="D151" t="str">
            <v>Khảo sát độ bóng bề mặt tiện trụ khi gia công với cán dao tiện có giảm chấn (thay đổi thông số cắt khác nhau)</v>
          </cell>
          <cell r="E151" t="str">
            <v>Hồ Hữu Thắng 23144156</v>
          </cell>
          <cell r="F151" t="str">
            <v xml:space="preserve">Hồ Hữu Thắng </v>
          </cell>
          <cell r="G151" t="str">
            <v>Cơ khí Chế tạo máy</v>
          </cell>
          <cell r="H151" t="str">
            <v>23144156</v>
          </cell>
          <cell r="I151" t="str">
            <v>Hoàng Sỹ Đông 22144011
Sơn Văn Hậu 21144382</v>
          </cell>
          <cell r="J151" t="str">
            <v>Lê Bá Tân</v>
          </cell>
          <cell r="K151" t="str">
            <v>Khoa Giao thông và Năng lượng</v>
          </cell>
          <cell r="L151" t="str">
            <v>tanlb@hcmute.edu.vn</v>
          </cell>
          <cell r="M151" t="str">
            <v>- 02 Bài báo khoa học đăng trên tạp chí trong nước trong danh mục của HĐ GSNN tính từ 0,5 điểm trở lên</v>
          </cell>
          <cell r="N151">
            <v>25000000</v>
          </cell>
          <cell r="O151" t="str">
            <v>Hai mươi lăm triệu đồng</v>
          </cell>
          <cell r="P151" t="str">
            <v>22144011@student.hcmute.edu.vn</v>
          </cell>
          <cell r="Q151" t="str">
            <v>0931891423</v>
          </cell>
        </row>
        <row r="152">
          <cell r="B152" t="str">
            <v>SV2026-155</v>
          </cell>
          <cell r="C152" t="str">
            <v>X</v>
          </cell>
          <cell r="D152" t="str">
            <v>Thực nghiệm đo lực nâng của mô hình hỗ trợ cánh tay</v>
          </cell>
          <cell r="E152" t="str">
            <v>Đặng Vũ Lâm 22143122</v>
          </cell>
          <cell r="F152" t="str">
            <v xml:space="preserve">Đặng Vũ Lâm </v>
          </cell>
          <cell r="G152" t="str">
            <v>Cơ khí Chế tạo máy</v>
          </cell>
          <cell r="H152" t="str">
            <v>22143122</v>
          </cell>
          <cell r="I152" t="str">
            <v>Ngô Đức Long 22144137</v>
          </cell>
          <cell r="J152" t="str">
            <v>Nguyễn Thị Ánh Tuyết</v>
          </cell>
          <cell r="K152" t="str">
            <v>Khoa CKM</v>
          </cell>
          <cell r="L152" t="str">
            <v>ntatuyet@hcmute.edu.vn</v>
          </cell>
          <cell r="M152" t="str">
            <v>- 02 Bài báo khoa học đăng trên tạp chí trong nước trong danh mục của HĐ GSNN tính từ 0,5 điểm trở lên</v>
          </cell>
          <cell r="N152">
            <v>25000000</v>
          </cell>
          <cell r="O152" t="str">
            <v>Hai mươi lăm triệu đồng</v>
          </cell>
          <cell r="P152" t="str">
            <v>22143122@student.hcmute.edu.vn</v>
          </cell>
          <cell r="Q152" t="str">
            <v>0387887031</v>
          </cell>
        </row>
        <row r="153">
          <cell r="B153" t="str">
            <v>SV2026-156</v>
          </cell>
          <cell r="C153" t="str">
            <v>X</v>
          </cell>
          <cell r="D153" t="str">
            <v xml:space="preserve">Đánh giá ảnh hưởng của tỷ lệ melamine trong keo Ure-Formaldehyde đến một số tính chất của vật liệu LVL (Laminated veneer lumber) </v>
          </cell>
          <cell r="E153" t="str">
            <v>Nguyễn Thi Minh Sang 2413803</v>
          </cell>
          <cell r="F153" t="str">
            <v>Nguyễn Thi Minh Sang</v>
          </cell>
          <cell r="G153" t="str">
            <v>Cơ khí Chế tạo máy</v>
          </cell>
          <cell r="H153" t="str">
            <v xml:space="preserve"> 2413803</v>
          </cell>
          <cell r="I153" t="str">
            <v xml:space="preserve">Đoàn Mỹ Dung 24138011
Nguyễn Văn Trung Hiền 24138019 
Bùi Thị Thanh Xuân 24138060 </v>
          </cell>
          <cell r="J153" t="str">
            <v xml:space="preserve">Nguyễn Hải Hoàn </v>
          </cell>
          <cell r="K153" t="str">
            <v>Khoa CKM</v>
          </cell>
          <cell r="L153" t="str">
            <v xml:space="preserve">hoannh@hcmute.edu.vn </v>
          </cell>
          <cell r="M153" t="str">
            <v>- 01 Báo cáo tổng kết:Đạt yêu cầu của báo cáo khoa học.</v>
          </cell>
          <cell r="N153">
            <v>5000000</v>
          </cell>
          <cell r="O153" t="str">
            <v>Năm triệu đồng</v>
          </cell>
          <cell r="P153" t="str">
            <v xml:space="preserve">24138019@student.hcmute.edu.vn </v>
          </cell>
          <cell r="Q153" t="str">
            <v xml:space="preserve">0829692984 </v>
          </cell>
        </row>
        <row r="154">
          <cell r="B154" t="str">
            <v>SV2026-157</v>
          </cell>
          <cell r="C154" t="str">
            <v>X</v>
          </cell>
          <cell r="D154" t="str">
            <v>Nghiên cứu điều khiển vị trí thông qua mô hình cơ nhân tạo</v>
          </cell>
          <cell r="E154" t="str">
            <v>Nguyễn Tuấn Anh 24144111</v>
          </cell>
          <cell r="F154" t="str">
            <v xml:space="preserve">Nguyễn Tuấn Anh </v>
          </cell>
          <cell r="G154" t="str">
            <v>Cơ khí Chế tạo máy</v>
          </cell>
          <cell r="H154" t="str">
            <v>24144111</v>
          </cell>
          <cell r="I154" t="str">
            <v>Trần Cao Trí 21144417</v>
          </cell>
          <cell r="J154" t="str">
            <v>Nguyễn Lê Hồng Sơn</v>
          </cell>
          <cell r="K154" t="str">
            <v>Khoa Giao thông và Năng lượng</v>
          </cell>
          <cell r="L154" t="str">
            <v>sonnlh@hcmute.edu.vn</v>
          </cell>
          <cell r="M154" t="str">
            <v>- 02 Bài báo khoa học đăng trên tạp chí trong nước trong danh mục của HĐ GSNN tính từ 0,5 điểm trở lên</v>
          </cell>
          <cell r="N154">
            <v>25000000</v>
          </cell>
          <cell r="O154" t="str">
            <v>Hai mươi lăm triệu đồng</v>
          </cell>
          <cell r="P154" t="str">
            <v xml:space="preserve">24144111@student.hcmute.edu.vn </v>
          </cell>
          <cell r="Q154" t="str">
            <v>0328034543</v>
          </cell>
        </row>
        <row r="155">
          <cell r="B155" t="str">
            <v>SV2026-159</v>
          </cell>
          <cell r="C155" t="str">
            <v>X</v>
          </cell>
          <cell r="D155" t="str">
            <v>Chế tạo mô hình băng truyền phục vụ kiểm tra khả năng di chuyển của robot</v>
          </cell>
          <cell r="E155" t="str">
            <v>Lê Đình Huy 24143235</v>
          </cell>
          <cell r="F155" t="str">
            <v xml:space="preserve">Lê Đình Huy </v>
          </cell>
          <cell r="G155" t="str">
            <v>Cơ khí Chế tạo máy</v>
          </cell>
          <cell r="H155" t="str">
            <v>24143235</v>
          </cell>
          <cell r="I155" t="str">
            <v>Nguyễn Ngọc Lân 22147064</v>
          </cell>
          <cell r="J155" t="str">
            <v>Nguyễn Văn Minh (THN)</v>
          </cell>
          <cell r="K155" t="str">
            <v>Khoa CKM</v>
          </cell>
          <cell r="L155" t="str">
            <v>minhngvan@hcmute.edu.vn</v>
          </cell>
          <cell r="M155" t="str">
            <v>- 02 Bài báo khoa học đăng trên tạp chí trong nước trong danh mục của HĐ GSNN tính từ 0,5 điểm trở lên</v>
          </cell>
          <cell r="N155">
            <v>25000000</v>
          </cell>
          <cell r="O155" t="str">
            <v>Hai mươi lăm triệu đồng</v>
          </cell>
          <cell r="P155" t="str">
            <v>24143235@student.hcmute.edu.vn</v>
          </cell>
          <cell r="Q155" t="str">
            <v>0914372520</v>
          </cell>
        </row>
        <row r="156">
          <cell r="B156" t="str">
            <v>SV2026-160</v>
          </cell>
          <cell r="C156" t="str">
            <v>X</v>
          </cell>
          <cell r="D156" t="str">
            <v>Thiết kế và chế tạo máy tạo sợi từ chai PET phế thải ứng dụng làm vật liệu in 3D</v>
          </cell>
          <cell r="E156" t="str">
            <v>Dương Chí Thiện 23144311</v>
          </cell>
          <cell r="F156" t="str">
            <v xml:space="preserve">Dương Chí Thiện </v>
          </cell>
          <cell r="G156" t="str">
            <v>Cơ khí Chế tạo máy</v>
          </cell>
          <cell r="H156" t="str">
            <v>23144311</v>
          </cell>
          <cell r="I156" t="str">
            <v>Lê Phước Thịnh 23144313</v>
          </cell>
          <cell r="J156" t="str">
            <v>Đặng Minh Phụng</v>
          </cell>
          <cell r="K156" t="str">
            <v>Khoa CKM</v>
          </cell>
          <cell r="L156" t="str">
            <v>phungdm@hcmute.edu.vn</v>
          </cell>
          <cell r="M156" t="str">
            <v>- Mô hình máy đùn sợi nhựa
- Báo cáo tổng kết</v>
          </cell>
          <cell r="N156">
            <v>10000000</v>
          </cell>
          <cell r="O156" t="str">
            <v>Mười triệu đồng</v>
          </cell>
          <cell r="P156" t="str">
            <v>23144311@student.hcmute.edu.vn</v>
          </cell>
          <cell r="Q156" t="str">
            <v>0797622457</v>
          </cell>
        </row>
        <row r="157">
          <cell r="B157" t="str">
            <v>SV2026-161</v>
          </cell>
          <cell r="C157" t="str">
            <v>X</v>
          </cell>
          <cell r="D157" t="str">
            <v>Thực nghiệm thiết bị giảm chấn cho cán dao phay</v>
          </cell>
          <cell r="E157" t="str">
            <v>Võ Kiều Minh Hoàng 23144212</v>
          </cell>
          <cell r="F157" t="str">
            <v xml:space="preserve">Võ Kiều Minh Hoàng </v>
          </cell>
          <cell r="G157" t="str">
            <v>Cơ khí Chế tạo máy</v>
          </cell>
          <cell r="H157" t="str">
            <v>23144212</v>
          </cell>
          <cell r="I157" t="str">
            <v>Phạm Đức Toản 22144213
Trần Xuân Hoàng 22144098</v>
          </cell>
          <cell r="J157" t="str">
            <v>Nguyễn Văn Minh (THN)</v>
          </cell>
          <cell r="K157" t="str">
            <v>Khoa CKM</v>
          </cell>
          <cell r="L157" t="str">
            <v>minhngvan@hcmute.edu.vn</v>
          </cell>
          <cell r="M157" t="str">
            <v>- 02 Bài báo khoa học đăng trên tạp chí trong nước trong danh mục của HĐ GSNN tính từ 0,5 điểm trở lên</v>
          </cell>
          <cell r="N157">
            <v>25000000</v>
          </cell>
          <cell r="O157" t="str">
            <v>Hai mươi lăm triệu đồng</v>
          </cell>
          <cell r="P157" t="str">
            <v>23144212@student.hcmute.edu.vn</v>
          </cell>
          <cell r="Q157" t="str">
            <v>0931809358</v>
          </cell>
        </row>
        <row r="158">
          <cell r="B158" t="str">
            <v>SV2026-162</v>
          </cell>
          <cell r="C158" t="str">
            <v>X</v>
          </cell>
          <cell r="D158" t="str">
            <v>Nghiên cứu thử nghiệm mô hình "Cơ nhân tạo" cho robot 4 chân</v>
          </cell>
          <cell r="E158" t="str">
            <v>Lê Hửu Tâm 21143388</v>
          </cell>
          <cell r="F158" t="str">
            <v xml:space="preserve">Lê Hửu Tâm </v>
          </cell>
          <cell r="G158" t="str">
            <v>Cơ khí Chế tạo máy</v>
          </cell>
          <cell r="H158" t="str">
            <v>21143388</v>
          </cell>
          <cell r="I158" t="str">
            <v>Lê Nguyễn Anh Khoa 21143063</v>
          </cell>
          <cell r="J158" t="str">
            <v>Đặng Hùng Sơn</v>
          </cell>
          <cell r="K158" t="str">
            <v>Khoa Giao thông và Năng lượng</v>
          </cell>
          <cell r="L158" t="str">
            <v>sondh@hcmute.edu.vn</v>
          </cell>
          <cell r="M158" t="str">
            <v>- 02 Bài báo khoa học đăng trên tạp chí trong nước trong danh mục của HĐ GSNN tính từ 0,5 điểm trở lên</v>
          </cell>
          <cell r="N158">
            <v>25000000</v>
          </cell>
          <cell r="O158" t="str">
            <v>Hai mươi lăm triệu đồng</v>
          </cell>
          <cell r="P158" t="str">
            <v>21143388@student.hcmute.edu.vn</v>
          </cell>
          <cell r="Q158" t="str">
            <v>0866612427</v>
          </cell>
        </row>
        <row r="159">
          <cell r="B159" t="str">
            <v>SV2026-163</v>
          </cell>
          <cell r="C159" t="str">
            <v>X</v>
          </cell>
          <cell r="D159" t="str">
            <v>Giải thuật AI phát hiện chuyển động nhóm cơ, ứng dụng cho chi giả robot</v>
          </cell>
          <cell r="E159" t="str">
            <v>Nguyễn Quốc Trung  22134016</v>
          </cell>
          <cell r="F159" t="str">
            <v xml:space="preserve">Nguyễn Quốc Trung  </v>
          </cell>
          <cell r="G159" t="str">
            <v>Cơ khí Chế tạo máy</v>
          </cell>
          <cell r="H159" t="str">
            <v>22134016</v>
          </cell>
          <cell r="I159" t="str">
            <v>Bùi Huỳnh Phương Anh 23134002
Trương Hồng Lĩnh 23134035
Phạm Nguyễn Văn Đồng 23134013</v>
          </cell>
          <cell r="J159" t="str">
            <v>Cái Việt Anh Dũng</v>
          </cell>
          <cell r="K159" t="str">
            <v>Khoa CKM</v>
          </cell>
          <cell r="L159" t="str">
            <v>dungcva@hcmute.edu.vn</v>
          </cell>
          <cell r="M159" t="str">
            <v xml:space="preserve">01 Bài báo khoa học đăng trên tạp chí trong nước trong danh mục của HĐ GSNN tính từ 0,5 điểm trở lên
- Báo cáo tổng kết
</v>
          </cell>
          <cell r="N159">
            <v>10000000</v>
          </cell>
          <cell r="O159" t="str">
            <v>Mười triệu đồng</v>
          </cell>
          <cell r="P159" t="str">
            <v>22134016@student.hcmute.edu.vn</v>
          </cell>
          <cell r="Q159" t="str">
            <v>0383394173</v>
          </cell>
        </row>
        <row r="160">
          <cell r="B160" t="str">
            <v>SV2026-165</v>
          </cell>
          <cell r="C160" t="str">
            <v>X</v>
          </cell>
          <cell r="D160" t="str">
            <v>Chế tạo mô hình giảm chấn cho cán dao phay</v>
          </cell>
          <cell r="E160" t="str">
            <v>Nguyễn Xuân Hoà 23144213</v>
          </cell>
          <cell r="F160" t="str">
            <v xml:space="preserve">Nguyễn Xuân Hoà </v>
          </cell>
          <cell r="G160" t="str">
            <v>Cơ khí Chế tạo máy</v>
          </cell>
          <cell r="H160" t="str">
            <v>23144213</v>
          </cell>
          <cell r="I160" t="str">
            <v>Lê Nguyễn Nhật Luật	 21144396
Phạm Ngọc Thịnh	 21144412</v>
          </cell>
          <cell r="J160" t="str">
            <v>Trần Minh Thế Uyên</v>
          </cell>
          <cell r="K160" t="str">
            <v>Khoa CKM</v>
          </cell>
          <cell r="L160" t="str">
            <v>uyentmt@hcmute.edu.vn</v>
          </cell>
          <cell r="M160" t="str">
            <v>- 02 Bài báo khoa học đăng trên tạp chí trong nước trong danh mục của HĐ GSNN tính từ 0,5 điểm trở lên</v>
          </cell>
          <cell r="N160">
            <v>25000000</v>
          </cell>
          <cell r="O160" t="str">
            <v>Hai mươi lăm triệu đồng</v>
          </cell>
          <cell r="P160" t="str">
            <v>23144213@student.hcmute.edu.vn</v>
          </cell>
          <cell r="Q160" t="str">
            <v>0917327491</v>
          </cell>
        </row>
        <row r="161">
          <cell r="B161" t="str">
            <v>SV2026-166</v>
          </cell>
          <cell r="C161" t="str">
            <v>X</v>
          </cell>
          <cell r="D161" t="str">
            <v>Thực nghiệm khảo sát hiện tượng dao động của cán dao phay</v>
          </cell>
          <cell r="E161" t="str">
            <v>Nguyễn Hoàng Lam 22144134</v>
          </cell>
          <cell r="F161" t="str">
            <v xml:space="preserve">Nguyễn Hoàng Lam </v>
          </cell>
          <cell r="G161" t="str">
            <v>Cơ khí Chế tạo máy</v>
          </cell>
          <cell r="H161" t="str">
            <v>22144134</v>
          </cell>
          <cell r="I161" t="str">
            <v>Phan Trung Nghĩa 22144152
Huỳnh Huy Hoàng 22144096</v>
          </cell>
          <cell r="J161" t="str">
            <v>Lê Minh Tài</v>
          </cell>
          <cell r="K161" t="str">
            <v>Khoa CKM</v>
          </cell>
          <cell r="L161" t="str">
            <v>tailm@hcmute.edu.vn</v>
          </cell>
          <cell r="M161" t="str">
            <v>- 02 Bài báo khoa học đăng trên tạp chí trong nước trong danh mục của HĐ GSNN tính từ 0,5 điểm trở lên</v>
          </cell>
          <cell r="N161">
            <v>25000000</v>
          </cell>
          <cell r="O161" t="str">
            <v>Hai mươi lăm triệu đồng</v>
          </cell>
          <cell r="P161" t="str">
            <v>22144134@student.hcmute.edu.vn</v>
          </cell>
          <cell r="Q161" t="str">
            <v>0394632112</v>
          </cell>
        </row>
        <row r="162">
          <cell r="B162" t="str">
            <v>SV2026-167</v>
          </cell>
          <cell r="C162" t="str">
            <v>X</v>
          </cell>
          <cell r="D162" t="str">
            <v>Nghiên cứu, thiết kế, chế tạo Drone bay theo đội hình</v>
          </cell>
          <cell r="E162" t="str">
            <v>Trần Xuân Hoàng 22146311</v>
          </cell>
          <cell r="F162" t="str">
            <v xml:space="preserve">Trần Xuân Hoàng </v>
          </cell>
          <cell r="G162" t="str">
            <v>Cơ khí Chế tạo máy</v>
          </cell>
          <cell r="H162" t="str">
            <v>22146311</v>
          </cell>
          <cell r="I162" t="str">
            <v>Đặng Hữu Thắng 24146078</v>
          </cell>
          <cell r="J162" t="str">
            <v>Hà Lê Như Ngọc Thành</v>
          </cell>
          <cell r="K162" t="str">
            <v>Khoa CKM</v>
          </cell>
          <cell r="L162" t="str">
            <v>thanh.hlnn@hcmute.edu.vn</v>
          </cell>
          <cell r="M162" t="str">
            <v>- Mô hình Quadcopter
- Thuật toán điều khiển P-P, thuật toán điều khiển đội hình UAV
- Mô hình mô phỏng và điều khiển trên ROS2-Gazebo
- Báo cáo tổng kết</v>
          </cell>
          <cell r="N162">
            <v>10000000</v>
          </cell>
          <cell r="O162" t="str">
            <v>Mười triệu đồng</v>
          </cell>
          <cell r="P162" t="str">
            <v>22146311@student.hcmute.edu.vn</v>
          </cell>
          <cell r="Q162" t="str">
            <v>0359152625</v>
          </cell>
        </row>
        <row r="163">
          <cell r="B163" t="str">
            <v>SV2026-168</v>
          </cell>
          <cell r="C163"/>
          <cell r="D163" t="str">
            <v>Hệ thống định vị xe robot tự hành dùng UWB</v>
          </cell>
          <cell r="E163" t="str">
            <v>Phạm Văn Đệ 23134012</v>
          </cell>
          <cell r="F163" t="str">
            <v xml:space="preserve">Phạm Văn Đệ </v>
          </cell>
          <cell r="G163" t="str">
            <v>Cơ khí Chế tạo máy</v>
          </cell>
          <cell r="H163" t="str">
            <v>23134012</v>
          </cell>
          <cell r="I163" t="str">
            <v xml:space="preserve">Nguyễn Văn Nam 23134038
Vũ Trọng Tâm 23134051
Nguyễn Phương Duy 23134008
</v>
          </cell>
          <cell r="J163" t="str">
            <v>Nguyễn Lê Tường</v>
          </cell>
          <cell r="K163" t="str">
            <v>Khoa CKM</v>
          </cell>
          <cell r="L163" t="str">
            <v>tuongnl@hcmute.edu.vn</v>
          </cell>
          <cell r="M163" t="str">
            <v>- Mô hình hệ thống định vị xe robot tự hành dùng UWB
- Báo cáo tổng kết đề tài</v>
          </cell>
          <cell r="N163">
            <v>10000000</v>
          </cell>
          <cell r="O163" t="str">
            <v>Mười triệu đồng</v>
          </cell>
          <cell r="P163" t="str">
            <v>23134012@student.hcmute.edu.vn</v>
          </cell>
          <cell r="Q163" t="str">
            <v>0336450575</v>
          </cell>
        </row>
        <row r="164">
          <cell r="B164" t="str">
            <v>SV2026-169</v>
          </cell>
          <cell r="C164" t="str">
            <v>X</v>
          </cell>
          <cell r="D164" t="str">
            <v xml:space="preserve">Nghiên cứu, thiết kế và chế tạo hệ thống điều khiển máy cân bằng động cỡ nhỏ </v>
          </cell>
          <cell r="E164" t="str">
            <v>Đỗ Hoàng Phụng 22143143</v>
          </cell>
          <cell r="F164" t="str">
            <v xml:space="preserve">Đỗ Hoàng Phụng </v>
          </cell>
          <cell r="G164" t="str">
            <v>Cơ khí Chế tạo máy</v>
          </cell>
          <cell r="H164" t="str">
            <v>22143143</v>
          </cell>
          <cell r="I164" t="str">
            <v xml:space="preserve">Phạm Hồng Dương 22143092
Nguyễn Minh Châu 23143006
Nguyễn Phước Tiến 23143040
Dương Văn Thông 23143037
</v>
          </cell>
          <cell r="J164" t="str">
            <v>Trần Thanh Lam</v>
          </cell>
          <cell r="K164" t="str">
            <v>Khoa CKM</v>
          </cell>
          <cell r="L164" t="str">
            <v>lamtt@hcmute.edu.vn</v>
          </cell>
          <cell r="M164" t="str">
            <v>- Mô hình hệ thống tủ điều khiển máy cân bằng động cỡ nhỏ
- 01 Báo cáo tổng kết</v>
          </cell>
          <cell r="N164">
            <v>10000000</v>
          </cell>
          <cell r="O164" t="str">
            <v>Mười triệu đồng</v>
          </cell>
          <cell r="P164" t="str">
            <v>22143143@student.hcmute.edu.vn</v>
          </cell>
          <cell r="Q164" t="str">
            <v>0328586685</v>
          </cell>
        </row>
        <row r="165">
          <cell r="B165" t="str">
            <v>SV2026-170</v>
          </cell>
          <cell r="C165" t="str">
            <v>X</v>
          </cell>
          <cell r="D165" t="str">
            <v>Nghiên cứu qui trình phun ép ống composite</v>
          </cell>
          <cell r="E165" t="str">
            <v>Nguyễn Đình Nguyên 23144126</v>
          </cell>
          <cell r="F165" t="str">
            <v xml:space="preserve">Nguyễn Đình Nguyên </v>
          </cell>
          <cell r="G165" t="str">
            <v>Cơ khí Chế tạo máy</v>
          </cell>
          <cell r="H165" t="str">
            <v>23144126</v>
          </cell>
          <cell r="I165" t="str">
            <v>Ngô Trọng Đức 23144061</v>
          </cell>
          <cell r="J165" t="str">
            <v>Nguyễn Thị Ánh Tuyết</v>
          </cell>
          <cell r="K165" t="str">
            <v>Khoa CKM</v>
          </cell>
          <cell r="L165" t="str">
            <v>ntatuyet@hcmute.edu.vn</v>
          </cell>
          <cell r="M165" t="str">
            <v>- 02 Bài báo khoa học đăng trên tạp chí trong nước trong danh mục của HĐ GSNN tính từ 0,5 điểm trở lên</v>
          </cell>
          <cell r="N165">
            <v>25000000</v>
          </cell>
          <cell r="O165" t="str">
            <v>Hai mươi lăm triệu đồng</v>
          </cell>
          <cell r="P165" t="str">
            <v>23144126@student.hcmute.edu.vn</v>
          </cell>
          <cell r="Q165" t="str">
            <v>0358364112</v>
          </cell>
        </row>
        <row r="166">
          <cell r="B166" t="str">
            <v>SV2026-171</v>
          </cell>
          <cell r="C166" t="str">
            <v>X</v>
          </cell>
          <cell r="D166" t="str">
            <v>Thiết kế và chế tạo máy Chấn thủy lực</v>
          </cell>
          <cell r="E166" t="str">
            <v>Phan Nhật Trường 21143412</v>
          </cell>
          <cell r="F166" t="str">
            <v xml:space="preserve">Phan Nhật Trường </v>
          </cell>
          <cell r="G166" t="str">
            <v>Cơ khí Chế tạo máy</v>
          </cell>
          <cell r="H166" t="str">
            <v>21143412</v>
          </cell>
          <cell r="I166" t="str">
            <v>Nguyễn Phi Thục 21143401
Đặng Phú Toàn 21143404</v>
          </cell>
          <cell r="J166" t="str">
            <v>Dương Thị Vân Anh</v>
          </cell>
          <cell r="K166" t="str">
            <v>Khoa CKM</v>
          </cell>
          <cell r="L166" t="str">
            <v>anhdtv@hcmute.edu.vn</v>
          </cell>
          <cell r="M166" t="str">
            <v>-Mô hình máy Chấn thủy lực
- Tập bản vẽ
- Báo cáo tổng kết</v>
          </cell>
          <cell r="N166">
            <v>10000000</v>
          </cell>
          <cell r="O166" t="str">
            <v>Mười triệu đồng</v>
          </cell>
          <cell r="P166" t="str">
            <v>21143412@student.hcmute.edu.vn</v>
          </cell>
          <cell r="Q166" t="str">
            <v>0823004752</v>
          </cell>
        </row>
        <row r="167">
          <cell r="B167" t="str">
            <v>SV2026-172</v>
          </cell>
          <cell r="C167" t="str">
            <v>X</v>
          </cell>
          <cell r="D167" t="str">
            <v>Chế tạo mô hình giảm chấn cho cán dao tiện</v>
          </cell>
          <cell r="E167" t="str">
            <v>Nguyễn Tấn Đức 23144063</v>
          </cell>
          <cell r="F167" t="str">
            <v xml:space="preserve">Nguyễn Tấn Đức </v>
          </cell>
          <cell r="G167" t="str">
            <v>Cơ khí Chế tạo máy</v>
          </cell>
          <cell r="H167" t="str">
            <v>23144063</v>
          </cell>
          <cell r="I167" t="str">
            <v>Trần Quang Huy 22144017
Phạm Ngọc Thịnh 21144412
Lê Thế Duy 21144369</v>
          </cell>
          <cell r="J167" t="str">
            <v>Trần Minh Thế Uyên</v>
          </cell>
          <cell r="K167" t="str">
            <v>Khoa CKM</v>
          </cell>
          <cell r="L167" t="str">
            <v>uyentmt@hcmute.edu.vn</v>
          </cell>
          <cell r="M167" t="str">
            <v>- 02 Bài báo khoa học đăng trên tạp chí trong nước trong danh mục của HĐ GSNN tính từ 0,5 điểm trở lên</v>
          </cell>
          <cell r="N167">
            <v>25000000</v>
          </cell>
          <cell r="O167" t="str">
            <v>Hai mươi lăm triệu đồng</v>
          </cell>
          <cell r="P167" t="str">
            <v>22144017@student.hcmute.edu.vn</v>
          </cell>
          <cell r="Q167" t="str">
            <v>0363960232</v>
          </cell>
        </row>
        <row r="168">
          <cell r="B168" t="str">
            <v>SV2026-173</v>
          </cell>
          <cell r="C168" t="str">
            <v>X</v>
          </cell>
          <cell r="D168" t="str">
            <v>Nghiên cứu, thiết kế và chế tạo cơ cấu in 3D hai bậc tự do ứng dụng cơ cấu đàn hồi</v>
          </cell>
          <cell r="E168" t="str">
            <v>Hoàng Thị Thu 22143159</v>
          </cell>
          <cell r="F168" t="str">
            <v xml:space="preserve">Hoàng Thị Thu </v>
          </cell>
          <cell r="G168" t="str">
            <v>Cơ khí Chế tạo máy</v>
          </cell>
          <cell r="H168" t="str">
            <v>22143159</v>
          </cell>
          <cell r="I168" t="str">
            <v xml:space="preserve">Lê Đình Huy 22143109
Lê Anh Khoa 22143117
Trần Anh Quốc 22143151
Lê Anh Vũ 22143173
</v>
          </cell>
          <cell r="J168" t="str">
            <v xml:space="preserve">Đặng Quang Khoa                    </v>
          </cell>
          <cell r="K168" t="str">
            <v>Khoa CKM</v>
          </cell>
          <cell r="L168" t="str">
            <v>khoadq@hcmute.edu.vn</v>
          </cell>
          <cell r="M168" t="str">
            <v>- Mô hình cơ cấu đàn hồi
- Tập bản vẽ
- 01 Báo cáo tổng kết.</v>
          </cell>
          <cell r="N168">
            <v>10000000</v>
          </cell>
          <cell r="O168" t="str">
            <v>Mười triệu đồng</v>
          </cell>
          <cell r="P168" t="str">
            <v xml:space="preserve">22143159@student.hcmute.edu.vn </v>
          </cell>
          <cell r="Q168" t="str">
            <v>0987028305</v>
          </cell>
        </row>
        <row r="169">
          <cell r="B169" t="str">
            <v>SV2026-174</v>
          </cell>
          <cell r="C169" t="str">
            <v>X</v>
          </cell>
          <cell r="D169" t="str">
            <v>Thực nghiệm đo dao động của cán dao phay ứng với các vật liệu cắt khác nhau</v>
          </cell>
          <cell r="E169" t="str">
            <v>Lê Phúc Khang 23144225</v>
          </cell>
          <cell r="F169" t="str">
            <v xml:space="preserve">Lê Phúc Khang </v>
          </cell>
          <cell r="G169" t="str">
            <v>Cơ khí Chế tạo máy</v>
          </cell>
          <cell r="H169" t="str">
            <v>23144225</v>
          </cell>
          <cell r="I169" t="str">
            <v>Phạm Đức Minh 23144258
Nguyễn Xuân Hòa 23144213</v>
          </cell>
          <cell r="J169" t="str">
            <v>Phạm Quân Anh</v>
          </cell>
          <cell r="K169" t="str">
            <v>Khoa CKM</v>
          </cell>
          <cell r="L169" t="str">
            <v>anhpq@hcmute.edu.vn</v>
          </cell>
          <cell r="M169" t="str">
            <v>- 02 Bài báo khoa học đăng trên tạp chí trong nước trong danh mục của HĐ GSNN tính từ 0,5 điểm trở lên</v>
          </cell>
          <cell r="N169">
            <v>25000000</v>
          </cell>
          <cell r="O169" t="str">
            <v>Hai mươi lăm triệu đồng</v>
          </cell>
          <cell r="P169" t="str">
            <v>23144225@student.hcmute.edu.vn</v>
          </cell>
          <cell r="Q169" t="str">
            <v>0908984205</v>
          </cell>
        </row>
        <row r="170">
          <cell r="B170" t="str">
            <v>SV2026-175</v>
          </cell>
          <cell r="C170"/>
          <cell r="D170" t="str">
            <v>Nghiên cứu độ bên mẫu kim loại trong môi trường muối, AFM và Quang phổ</v>
          </cell>
          <cell r="E170" t="str">
            <v>Ngô Gia Huy 22144304</v>
          </cell>
          <cell r="F170" t="str">
            <v xml:space="preserve">Ngô Gia Huy </v>
          </cell>
          <cell r="G170" t="str">
            <v>Cơ khí Chế tạo máy</v>
          </cell>
          <cell r="H170" t="str">
            <v>22144304</v>
          </cell>
          <cell r="I170" t="str">
            <v>Trần Công Hữu 22144018
'Đoàn Hữu Lộc 22144026</v>
          </cell>
          <cell r="J170" t="str">
            <v>Phạm Sơn Minh</v>
          </cell>
          <cell r="K170" t="str">
            <v>Khoa CKM</v>
          </cell>
          <cell r="L170" t="str">
            <v>minhps@hcmute.edu.vn</v>
          </cell>
          <cell r="M170" t="str">
            <v>- Báo cáo tổng kết</v>
          </cell>
          <cell r="N170">
            <v>5000000</v>
          </cell>
          <cell r="O170" t="str">
            <v>Năm triệu đồng</v>
          </cell>
          <cell r="P170" t="str">
            <v>22144026@student.hcmute.edu.vn</v>
          </cell>
          <cell r="Q170" t="str">
            <v>0828051022</v>
          </cell>
        </row>
        <row r="171">
          <cell r="B171" t="str">
            <v>SV2026-176</v>
          </cell>
          <cell r="C171"/>
          <cell r="D171" t="str">
            <v xml:space="preserve">Thiết kế mô hình quấn băng keo tự động cho sản phẩm thương mại điện tử. </v>
          </cell>
          <cell r="E171" t="str">
            <v>Bạch Trần Anh Kiệt 22146159</v>
          </cell>
          <cell r="F171" t="str">
            <v xml:space="preserve">Bạch Trần Anh Kiệt </v>
          </cell>
          <cell r="G171" t="str">
            <v>Cơ khí Chế tạo máy</v>
          </cell>
          <cell r="H171" t="str">
            <v>22146159</v>
          </cell>
          <cell r="I171" t="str">
            <v>Nguyễn QuangMinh 22146171
Đậu Văn Tùng 22146250
Đỗ Hoàng Khang 22146138
Nguyễn Anh Phong 22146191</v>
          </cell>
          <cell r="J171" t="str">
            <v>Nguyễn Lê Tường</v>
          </cell>
          <cell r="K171" t="str">
            <v>Khoa CKM</v>
          </cell>
          <cell r="L171" t="str">
            <v>tuongnl@hcmute.edu.vn</v>
          </cell>
          <cell r="M171" t="str">
            <v xml:space="preserve">
- 01 Báo cáo tổng kết:Đạt yêu cầu của báo cáo khoa học.</v>
          </cell>
          <cell r="N171">
            <v>5000000</v>
          </cell>
          <cell r="O171" t="str">
            <v>Năm triệu đồng</v>
          </cell>
          <cell r="P171" t="str">
            <v>22146159@student.hcmute.edu.vn</v>
          </cell>
          <cell r="Q171" t="str">
            <v>[0792039967</v>
          </cell>
        </row>
        <row r="172">
          <cell r="B172" t="str">
            <v>SV2026-177</v>
          </cell>
          <cell r="C172" t="str">
            <v>X</v>
          </cell>
          <cell r="D172" t="str">
            <v>Tính toán thiết kế chế tạo máy ép sáp</v>
          </cell>
          <cell r="E172" t="str">
            <v>Nguyễn Đăng Khoa 21144079</v>
          </cell>
          <cell r="F172" t="str">
            <v xml:space="preserve">Nguyễn Đăng Khoa </v>
          </cell>
          <cell r="G172" t="str">
            <v>Cơ khí Chế tạo máy</v>
          </cell>
          <cell r="H172" t="str">
            <v>21144079</v>
          </cell>
          <cell r="I172" t="str">
            <v>Trần Vũ Định 22144082
Đặng Trung Tín 22144210
Nguyễn Xuân Trường 22144218
Nguyễn Văn Hưng 22144112</v>
          </cell>
          <cell r="J172" t="str">
            <v>Nguyễn Thanh Tân</v>
          </cell>
          <cell r="K172" t="str">
            <v>Khoa CKM</v>
          </cell>
          <cell r="L172" t="str">
            <v>tannt@hcmute.edu.vn</v>
          </cell>
          <cell r="M172" t="str">
            <v>- Mô hình máy ép sáp 
- Bản vẽ chi tiết DWG
- Bản vẽ lắp DWG
- Báo cáo tổng kết</v>
          </cell>
          <cell r="N172">
            <v>10000000</v>
          </cell>
          <cell r="O172" t="str">
            <v>Mười triệu đồng</v>
          </cell>
          <cell r="P172" t="str">
            <v>21144079@student.hcmute.edu.vn</v>
          </cell>
          <cell r="Q172" t="str">
            <v>0357330631</v>
          </cell>
        </row>
        <row r="173">
          <cell r="B173" t="str">
            <v>SV2026-178</v>
          </cell>
          <cell r="C173" t="str">
            <v>X</v>
          </cell>
          <cell r="D173" t="str">
            <v>Nghiên cứu và thiết kế thiết bị Haptic phản hồi lực 3D với cấu trúc Delta</v>
          </cell>
          <cell r="E173" t="str">
            <v>Lê Thu Hoàng 24134025</v>
          </cell>
          <cell r="F173" t="str">
            <v xml:space="preserve">Lê Thu Hoàng </v>
          </cell>
          <cell r="G173" t="str">
            <v>Cơ khí Chế tạo máy</v>
          </cell>
          <cell r="H173" t="str">
            <v>24134025</v>
          </cell>
          <cell r="I173" t="str">
            <v>Phan Minh Gia Huy 24134028
Trần Lữ Phương Nam 24134048
Nguyễn Trần Hải Đăng 24134022
Nguyễn Khánh Duy 24134014</v>
          </cell>
          <cell r="J173" t="str">
            <v>Cái Việt Anh Dũng</v>
          </cell>
          <cell r="K173" t="str">
            <v>Khoa CKM</v>
          </cell>
          <cell r="L173" t="str">
            <v>dungcva@hcmute.edu.vn</v>
          </cell>
          <cell r="M173" t="str">
            <v xml:space="preserve">- Mô hình Thiết bị phản hồi lực 3 bậc tự do với cấu trúc song song
</v>
          </cell>
          <cell r="N173">
            <v>10000000</v>
          </cell>
          <cell r="O173" t="str">
            <v>Mười triệu đồng</v>
          </cell>
          <cell r="P173" t="str">
            <v>24134025@student.hcmute.edu.vn</v>
          </cell>
          <cell r="Q173" t="str">
            <v>0356844690</v>
          </cell>
        </row>
        <row r="174">
          <cell r="B174" t="str">
            <v>SV2026-179</v>
          </cell>
          <cell r="C174" t="str">
            <v>X</v>
          </cell>
          <cell r="D174" t="str">
            <v>Tối ưu hóa cấu trúc CDPR 3 bậc tự do</v>
          </cell>
          <cell r="E174" t="str">
            <v>Phan Văn Hoàng 23146244</v>
          </cell>
          <cell r="F174" t="str">
            <v xml:space="preserve">Phan Văn Hoàng </v>
          </cell>
          <cell r="G174" t="str">
            <v>Cơ khí Chế tạo máy</v>
          </cell>
          <cell r="H174" t="str">
            <v>23146244</v>
          </cell>
          <cell r="I174">
            <v>0</v>
          </cell>
          <cell r="J174" t="str">
            <v>Tưởng Phước Thọ</v>
          </cell>
          <cell r="K174" t="str">
            <v>Khoa CKM</v>
          </cell>
          <cell r="L174" t="str">
            <v>thotp@hcmute.edu.vn</v>
          </cell>
          <cell r="M174"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- 01 Báo cáo tổng kết</v>
          </cell>
          <cell r="N174">
            <v>15000000</v>
          </cell>
          <cell r="O174" t="str">
            <v>Mười lăm triệu đồng</v>
          </cell>
          <cell r="P174" t="str">
            <v>23146244@student.hcmute.edu.vn</v>
          </cell>
          <cell r="Q174" t="str">
            <v>0353030331</v>
          </cell>
        </row>
        <row r="175">
          <cell r="B175" t="str">
            <v>SV2026-180</v>
          </cell>
          <cell r="C175" t="str">
            <v>X</v>
          </cell>
          <cell r="D175" t="str">
            <v>Nghiên cứu, tính toán và tối ưu dòng chảy cho khuôn đúc áp lực bằng phần mềm Magmasoft</v>
          </cell>
          <cell r="E175" t="str">
            <v>Phạm Toàn Cơ  22143084</v>
          </cell>
          <cell r="F175" t="str">
            <v xml:space="preserve">Phạm Toàn Cơ  </v>
          </cell>
          <cell r="G175" t="str">
            <v>Cơ khí Chế tạo máy</v>
          </cell>
          <cell r="H175" t="str">
            <v>22143084</v>
          </cell>
          <cell r="I175" t="str">
            <v>Phạm Nguyễn Hoàng Phúc 22143142
Nguyễn Trần Nguyên Phương 22143145
Trần Thành Vinh 22143296
Nguyễn Thành Nam 22143134</v>
          </cell>
          <cell r="J175" t="str">
            <v>Võ Xuân Tiến</v>
          </cell>
          <cell r="K175" t="str">
            <v>Khoa CKM</v>
          </cell>
          <cell r="L175" t="str">
            <v>tienvx@hcmute.edu.vn</v>
          </cell>
          <cell r="M175" t="str">
            <v>- Bài báo khoa học: đăng trên tạp chí không thuộc mục 1; hoặc bài báo đăng trên hội thảo khoa học quốc tế có chỉ số xuất bản ISSN/ISBN; hoặc sản phẩm mô hình, thiết bị (không có hợp đồng chuyển giao công nghệ).
- 01 Tập bản vẽ, 01 Tập thuyết minh
- 01 Báo cáo tổng kết</v>
          </cell>
          <cell r="N175">
            <v>10000000</v>
          </cell>
          <cell r="O175" t="str">
            <v>Mười triệu đồng</v>
          </cell>
          <cell r="P175" t="str">
            <v>22143084@student.hcmute.edu.vn</v>
          </cell>
          <cell r="Q175" t="str">
            <v>0706163886</v>
          </cell>
        </row>
        <row r="176">
          <cell r="B176" t="str">
            <v>SV2026-181</v>
          </cell>
          <cell r="C176"/>
          <cell r="D176" t="str">
            <v>Nghiên cứu và ứng dụng mô hình trí tuệ nhân tạo End-to-End trong nhận diện Bàn cờ và quy luật chơi cờ Vua</v>
          </cell>
          <cell r="E176" t="str">
            <v>Lưu Khắc Thảo Trang 23134056</v>
          </cell>
          <cell r="F176" t="str">
            <v xml:space="preserve">Lưu Khắc Thảo Trang </v>
          </cell>
          <cell r="G176" t="str">
            <v>Cơ khí Chế tạo máy</v>
          </cell>
          <cell r="H176" t="str">
            <v>23134056</v>
          </cell>
          <cell r="I176" t="str">
            <v>Phạm Gia Phong 23134045
Nguyễn Hữu Cát Tường 23134063
Trần Văn Tiến 22146417</v>
          </cell>
          <cell r="J176" t="str">
            <v>Trần Minh Thiên</v>
          </cell>
          <cell r="K176" t="str">
            <v>Khoa CKM</v>
          </cell>
          <cell r="L176" t="str">
            <v>thientm@hcmute.edu.vn</v>
          </cell>
          <cell r="M176" t="str">
            <v>- 01 Báo cáo tổng kết</v>
          </cell>
          <cell r="N176">
            <v>5000000</v>
          </cell>
          <cell r="O176" t="str">
            <v>Năm triệu đồng</v>
          </cell>
          <cell r="P176" t="str">
            <v>23134056@student.hcmute.edu.vn</v>
          </cell>
          <cell r="Q176" t="str">
            <v>0965062647</v>
          </cell>
        </row>
        <row r="177">
          <cell r="B177" t="str">
            <v>SV2026-182</v>
          </cell>
          <cell r="C177" t="str">
            <v>X</v>
          </cell>
          <cell r="D177" t="str">
            <v>Lập qui trình công nghệ gia công các chi tiết phi tiêu chuẩn cho băng truyền</v>
          </cell>
          <cell r="E177" t="str">
            <v>Lê Minh Quang 22147073</v>
          </cell>
          <cell r="F177" t="str">
            <v xml:space="preserve">Lê Minh Quang </v>
          </cell>
          <cell r="G177" t="str">
            <v>Cơ khí Chế tạo máy</v>
          </cell>
          <cell r="H177" t="str">
            <v>22147073</v>
          </cell>
          <cell r="I177" t="str">
            <v>Phan Hữu Quang Huy 22147056</v>
          </cell>
          <cell r="J177" t="str">
            <v>Phan Công Bình</v>
          </cell>
          <cell r="K177" t="str">
            <v>Khoa CKM</v>
          </cell>
          <cell r="L177" t="str">
            <v>binhpc@hcmute.edu.vn</v>
          </cell>
          <cell r="M177" t="str">
            <v>- 02 Bài báo khoa học đăng trên tạp chí trong nước trong danh mục của HĐ GSNN tính từ 0,5 điểm trở lên</v>
          </cell>
          <cell r="N177">
            <v>25000000</v>
          </cell>
          <cell r="O177" t="str">
            <v>Hai mươi lăm triệu đồng</v>
          </cell>
          <cell r="P177" t="str">
            <v>22147073@student.hcmute.edu.vn</v>
          </cell>
          <cell r="Q177" t="str">
            <v>0399810125</v>
          </cell>
        </row>
        <row r="178">
          <cell r="B178" t="str">
            <v>SV2026-184</v>
          </cell>
          <cell r="C178" t="str">
            <v>X</v>
          </cell>
          <cell r="D178" t="str">
            <v>Nghiên cứu ảnh hưởng thông số tạo hình theo lớp đến độ bền xoắn của chi tiết</v>
          </cell>
          <cell r="E178" t="str">
            <v>Trần Khánh Khoa	 21144395</v>
          </cell>
          <cell r="F178" t="str">
            <v xml:space="preserve">Trần Khánh Khoa	 </v>
          </cell>
          <cell r="G178" t="str">
            <v>Cơ khí Chế tạo máy</v>
          </cell>
          <cell r="H178" t="str">
            <v>21144395</v>
          </cell>
          <cell r="I178" t="str">
            <v>Nguyễn Quốc Kiệt 22144130</v>
          </cell>
          <cell r="J178" t="str">
            <v>Võ Kim Hằng</v>
          </cell>
          <cell r="K178" t="str">
            <v>Khoa Giao thông và Năng lượng</v>
          </cell>
          <cell r="L178" t="str">
            <v>hangvk@hcmute.edu.vn</v>
          </cell>
          <cell r="M178" t="str">
            <v>- 02 Bài báo khoa học đăng trên tạp chí trong nước trong danh mục của HĐ GSNN tính từ 0,5 điểm trở lên</v>
          </cell>
          <cell r="N178">
            <v>25000000</v>
          </cell>
          <cell r="O178" t="str">
            <v>Hai mươi lăm triệu đồng</v>
          </cell>
          <cell r="P178" t="str">
            <v>21144395@student.hcmute.edu.vn</v>
          </cell>
          <cell r="Q178" t="str">
            <v>0966831249</v>
          </cell>
        </row>
        <row r="179">
          <cell r="B179" t="str">
            <v>SV2026-185</v>
          </cell>
          <cell r="C179" t="str">
            <v>X</v>
          </cell>
          <cell r="D179" t="str">
            <v>Thực nghiệm khả năng hoạt động của mô hình module 3 bậc tự do dùng cơ nhân tạo</v>
          </cell>
          <cell r="E179" t="str">
            <v>Nguyễn Đăng Thưởng 23144321</v>
          </cell>
          <cell r="F179" t="str">
            <v xml:space="preserve">Nguyễn Đăng Thưởng </v>
          </cell>
          <cell r="G179" t="str">
            <v>Cơ khí Chế tạo máy</v>
          </cell>
          <cell r="H179" t="str">
            <v>23144321</v>
          </cell>
          <cell r="I179" t="str">
            <v>Nguyễn Văn Trọng 23144037</v>
          </cell>
          <cell r="J179" t="str">
            <v>Phan Thị Đăng Thư</v>
          </cell>
          <cell r="K179" t="str">
            <v>Khoa CKM</v>
          </cell>
          <cell r="L179" t="str">
            <v>thuptd@hcmute.edu.vn</v>
          </cell>
          <cell r="M179" t="str">
            <v>- 02 Bài báo khoa học đăng trên tạp chí trong nước trong danh mục của HĐ GSNN tính từ 0,5 điểm trở lên</v>
          </cell>
          <cell r="N179">
            <v>25000000</v>
          </cell>
          <cell r="O179" t="str">
            <v>Hai mươi lăm triệu đồng</v>
          </cell>
          <cell r="P179" t="str">
            <v xml:space="preserve"> 23144321@student.hcmute.edu.vn</v>
          </cell>
          <cell r="Q179" t="str">
            <v>0399763852</v>
          </cell>
        </row>
        <row r="180">
          <cell r="B180" t="str">
            <v>SV2026-186</v>
          </cell>
          <cell r="C180" t="str">
            <v>X</v>
          </cell>
          <cell r="D180" t="str">
            <v>Nghiên cứu chế tạo mô hình chân 3 bậc tự do cho robot dạng chó</v>
          </cell>
          <cell r="E180" t="str">
            <v>Lưu Thiên Bách 24144120</v>
          </cell>
          <cell r="F180" t="str">
            <v xml:space="preserve">Lưu Thiên Bách </v>
          </cell>
          <cell r="G180" t="str">
            <v>Cơ khí Chế tạo máy</v>
          </cell>
          <cell r="H180" t="str">
            <v>24144120</v>
          </cell>
          <cell r="I180" t="str">
            <v>Nguyễn Minh Duy 22144008
Hoàng Quang Dương 22144009</v>
          </cell>
          <cell r="J180" t="str">
            <v>Nguyễn Văn Minh (CNC)</v>
          </cell>
          <cell r="K180" t="str">
            <v>Khoa CKM</v>
          </cell>
          <cell r="L180" t="str">
            <v>minhngv@hcmute.edu.vn</v>
          </cell>
          <cell r="M180" t="str">
            <v>- 02 Bài báo khoa học đăng trên tạp chí trong nước trong danh mục của HĐ GSNN tính từ 0,5 điểm trở lên</v>
          </cell>
          <cell r="N180">
            <v>25000000</v>
          </cell>
          <cell r="O180" t="str">
            <v>Hai mươi lăm triệu đồng</v>
          </cell>
          <cell r="P180" t="str">
            <v>22144008@student.hcmute.edu.vn</v>
          </cell>
          <cell r="Q180" t="str">
            <v>0813055308</v>
          </cell>
        </row>
        <row r="181">
          <cell r="B181" t="str">
            <v>SV2026-187</v>
          </cell>
          <cell r="C181" t="str">
            <v>X</v>
          </cell>
          <cell r="D181" t="str">
            <v xml:space="preserve"> Xe robot tự cân bằng đa bậc tự do</v>
          </cell>
          <cell r="E181" t="str">
            <v>Trần Minh Cương 23134007</v>
          </cell>
          <cell r="F181" t="str">
            <v xml:space="preserve">Trần Minh Cương </v>
          </cell>
          <cell r="G181" t="str">
            <v>Cơ khí Chế tạo máy</v>
          </cell>
          <cell r="H181" t="str">
            <v>23134007</v>
          </cell>
          <cell r="I181" t="str">
            <v>Nguyễn Anh Hào 23134015
Nguyễn Đình Anh Khôi 21146256
Phùng Mạnh Thắng 21146316
Võ Hồng Quân 22134012</v>
          </cell>
          <cell r="J181" t="str">
            <v xml:space="preserve">Cái Việt Anh Dũng </v>
          </cell>
          <cell r="K181" t="str">
            <v>Khoa CKM</v>
          </cell>
          <cell r="L181" t="str">
            <v>dungcva@hcmute.edu.vn</v>
          </cell>
          <cell r="M181" t="str">
            <v>- Mô hình vật lý xe robot cân bằng đa bậc tự do. Bản vẽ mô hình
- 01 Báo cáo tổng kết</v>
          </cell>
          <cell r="N181">
            <v>10000000</v>
          </cell>
          <cell r="O181" t="str">
            <v>Mười triệu đồng</v>
          </cell>
          <cell r="P181" t="str">
            <v xml:space="preserve">23134007@student.hcmute.edu.vn  </v>
          </cell>
          <cell r="Q181" t="str">
            <v>0399185283</v>
          </cell>
        </row>
        <row r="182">
          <cell r="B182" t="str">
            <v>SV2026-188</v>
          </cell>
          <cell r="C182" t="str">
            <v>X</v>
          </cell>
          <cell r="D182" t="str">
            <v>Thử nghiệm băng truyền phục vụ nghiên cứu về khả năng di chuyển của robot</v>
          </cell>
          <cell r="E182" t="str">
            <v>Vũ Trọng Luân 23144118</v>
          </cell>
          <cell r="F182" t="str">
            <v xml:space="preserve">Nguyễn Ngọc Lân </v>
          </cell>
          <cell r="G182" t="str">
            <v>Cơ khí Chế tạo máy</v>
          </cell>
          <cell r="H182" t="str">
            <v>22147064</v>
          </cell>
          <cell r="I182" t="str">
            <v>Nguyễn Ngọc Lân 22147064</v>
          </cell>
          <cell r="J182" t="str">
            <v>Nguyễn Thị Ánh Tuyết</v>
          </cell>
          <cell r="K182" t="str">
            <v>Khoa CKM</v>
          </cell>
          <cell r="L182" t="str">
            <v>ntatuyet@hcmute.edu.vn</v>
          </cell>
          <cell r="M182" t="str">
            <v>- 02 Bài báo khoa học đăng trên tạp chí trong nước trong danh mục của HĐ GSNN tính từ 0,5 điểm trở lên</v>
          </cell>
          <cell r="N182">
            <v>25000000</v>
          </cell>
          <cell r="O182" t="str">
            <v>Hai mươi lăm triệu đồng</v>
          </cell>
          <cell r="P182" t="str">
            <v xml:space="preserve">22147064@student.hcmute.edu.vn </v>
          </cell>
          <cell r="Q182" t="str">
            <v>0765062697</v>
          </cell>
        </row>
        <row r="183">
          <cell r="B183" t="str">
            <v>SV2026-189</v>
          </cell>
          <cell r="C183" t="str">
            <v>X</v>
          </cell>
          <cell r="D183" t="str">
            <v>Hệ thống đo lực dao động bể nước</v>
          </cell>
          <cell r="E183" t="str">
            <v>Lê Hữu Hùng 22146318</v>
          </cell>
          <cell r="F183" t="str">
            <v xml:space="preserve">Lê Hữu Hùng </v>
          </cell>
          <cell r="G183" t="str">
            <v>Cơ khí Chế tạo máy</v>
          </cell>
          <cell r="H183" t="str">
            <v>22146318</v>
          </cell>
          <cell r="I183" t="str">
            <v>Trần Nguyễn Gia Thọ 22146410
Nguyễn Bá Đức Thắng 22146403</v>
          </cell>
          <cell r="J183" t="str">
            <v>Nguyễn Văn Đoàn</v>
          </cell>
          <cell r="K183" t="str">
            <v>Khoa CKM</v>
          </cell>
          <cell r="L183" t="str">
            <v>nvdoan@hcmute.edu.vn</v>
          </cell>
          <cell r="M183" t="str">
            <v>- Mô hình hệ thống đo lực dao động của bể nước. Bản vẽ của hệ thống
- Báo cáo tổng kết</v>
          </cell>
          <cell r="N183">
            <v>10000000</v>
          </cell>
          <cell r="O183" t="str">
            <v>Mười triệu đồng</v>
          </cell>
          <cell r="P183" t="str">
            <v>22146318@student.hcmute.edu.vn</v>
          </cell>
          <cell r="Q183" t="str">
            <v>0396908010</v>
          </cell>
        </row>
        <row r="184">
          <cell r="B184" t="str">
            <v>SV2026-190</v>
          </cell>
          <cell r="C184" t="str">
            <v>X</v>
          </cell>
          <cell r="D184" t="str">
            <v>Thực nghiệm độ bền xoắn cho chi tiết được chế tạo bằng phương pháp phun ép nhựa</v>
          </cell>
          <cell r="E184" t="str">
            <v>Trịnh Minh Tài 22144181</v>
          </cell>
          <cell r="F184" t="str">
            <v xml:space="preserve">Trịnh Minh Tài </v>
          </cell>
          <cell r="G184" t="str">
            <v>Cơ khí Chế tạo máy</v>
          </cell>
          <cell r="H184" t="str">
            <v>22144181</v>
          </cell>
          <cell r="I184" t="str">
            <v>Nguyễn Gia Hưng 22144111
'Đỗ Trọng Quân 22144030</v>
          </cell>
          <cell r="J184" t="str">
            <v>Nguyễn Trần Phú</v>
          </cell>
          <cell r="K184" t="str">
            <v>Khoa Giao thông và Năng lượng</v>
          </cell>
          <cell r="L184" t="str">
            <v>phunt@hcmute.edu.vn</v>
          </cell>
          <cell r="M184" t="str">
            <v>- 02 Bài báo khoa học đăng trên tạp chí trong nước trong danh mục của HĐ GSNN tính từ 0,5 điểm trở lên</v>
          </cell>
          <cell r="N184">
            <v>25000000</v>
          </cell>
          <cell r="O184" t="str">
            <v>Hai mươi lăm triệu đồng</v>
          </cell>
          <cell r="P184" t="str">
            <v>22144030@student.hcmute.edu.vn</v>
          </cell>
          <cell r="Q184" t="str">
            <v>0705194243</v>
          </cell>
        </row>
        <row r="185">
          <cell r="B185" t="str">
            <v>SV2026-191</v>
          </cell>
          <cell r="C185" t="str">
            <v>X</v>
          </cell>
          <cell r="D185" t="str">
            <v>Nghiên cứu, đề xuất phương án và chế tạo mô hình bảo trì điện cơ bản.</v>
          </cell>
          <cell r="E185" t="str">
            <v>Trịnh Ngọc Hiếu 23143126</v>
          </cell>
          <cell r="F185" t="str">
            <v xml:space="preserve">Trịnh Ngọc Hiếu </v>
          </cell>
          <cell r="G185" t="str">
            <v>Cơ khí Chế tạo máy</v>
          </cell>
          <cell r="H185" t="str">
            <v>23143126</v>
          </cell>
          <cell r="I185" t="str">
            <v xml:space="preserve">Nguyễn Miêu Bách 23143100
Đỗ Tấn Duy 23143111
Trần Minh Tiến 23143205
Kim Hoàng Vũ 23143214
</v>
          </cell>
          <cell r="J185" t="str">
            <v>Đặng Quang Khoa</v>
          </cell>
          <cell r="K185" t="str">
            <v>Khoa CKM</v>
          </cell>
          <cell r="L185" t="str">
            <v>khoadq@hcmute.edu.vn</v>
          </cell>
          <cell r="M185" t="str">
            <v xml:space="preserve">- Mô hình bảo trì điện cơ bản
-Báo cáo tổng kết: Đạt yêu cầu báo cáo khoa học
- Tập bản vẽ
</v>
          </cell>
          <cell r="N185">
            <v>10000000</v>
          </cell>
          <cell r="O185" t="str">
            <v>Mười triệu đồng</v>
          </cell>
          <cell r="P185" t="str">
            <v>23143126@student.hcmute.edu.vn</v>
          </cell>
          <cell r="Q185" t="str">
            <v>0334715717</v>
          </cell>
        </row>
        <row r="186">
          <cell r="B186" t="str">
            <v>SV2026-192</v>
          </cell>
          <cell r="C186" t="str">
            <v>X</v>
          </cell>
          <cell r="D186" t="str">
            <v>Thiết kế mô hình 3 bậc tự do dùng cơ nhân tạo</v>
          </cell>
          <cell r="E186" t="str">
            <v>Nguyễn Văn Trọng 23144328</v>
          </cell>
          <cell r="F186" t="str">
            <v xml:space="preserve">Nguyễn Văn Trọng </v>
          </cell>
          <cell r="G186" t="str">
            <v>Cơ khí Chế tạo máy</v>
          </cell>
          <cell r="H186" t="str">
            <v>23144328</v>
          </cell>
          <cell r="I186" t="str">
            <v>Nguyễn Văn Thương 23144320</v>
          </cell>
          <cell r="J186" t="str">
            <v>Phạm Sơn Minh</v>
          </cell>
          <cell r="K186" t="str">
            <v>Khoa CKM</v>
          </cell>
          <cell r="L186" t="str">
            <v>minhps@hcmute.edu.vn</v>
          </cell>
          <cell r="M186" t="str">
            <v>- 02 Bài báo khoa học đăng trên tạp chí trong nước trong danh mục của HĐ GSNN tính từ 0,5 điểm trở lên</v>
          </cell>
          <cell r="N186">
            <v>25000000</v>
          </cell>
          <cell r="O186" t="str">
            <v>Hai mươi lăm triệu đồng</v>
          </cell>
          <cell r="P186" t="str">
            <v>23144328@student.hcmute.edu.vn</v>
          </cell>
          <cell r="Q186" t="str">
            <v>0345367794</v>
          </cell>
        </row>
        <row r="187">
          <cell r="B187" t="str">
            <v>SV2026-193</v>
          </cell>
          <cell r="C187" t="str">
            <v>X</v>
          </cell>
          <cell r="D187" t="str">
            <v>Mô phỏng phân bố nhiệt độ cho lòng khuôn phun ép</v>
          </cell>
          <cell r="E187" t="str">
            <v>Trần Nhất Long 23144116</v>
          </cell>
          <cell r="F187" t="str">
            <v xml:space="preserve">Trần Nhất Long </v>
          </cell>
          <cell r="G187" t="str">
            <v>Cơ khí Chế tạo máy</v>
          </cell>
          <cell r="H187" t="str">
            <v>23144116</v>
          </cell>
          <cell r="I187" t="str">
            <v>Đỗ Trần Nhật Minh 23144119</v>
          </cell>
          <cell r="J187" t="str">
            <v>Nguyễn Trọng Hiếu</v>
          </cell>
          <cell r="K187" t="str">
            <v>Khoa CKM</v>
          </cell>
          <cell r="L187" t="str">
            <v>hieunt@hcmute.edu.vn</v>
          </cell>
          <cell r="M187" t="str">
            <v>- 02 Bài báo khoa học đăng trên tạp chí trong nước trong danh mục của HĐ GSNN tính từ 0,5 điểm trở lên</v>
          </cell>
          <cell r="N187">
            <v>25000000</v>
          </cell>
          <cell r="O187" t="str">
            <v>Hai mươi lăm triệu đồng</v>
          </cell>
          <cell r="P187" t="str">
            <v>23144116@student.hcmute.edu.vn</v>
          </cell>
          <cell r="Q187" t="str">
            <v>0869255411</v>
          </cell>
        </row>
        <row r="188">
          <cell r="B188" t="str">
            <v>SV2026-194</v>
          </cell>
          <cell r="C188" t="str">
            <v>X</v>
          </cell>
          <cell r="D188" t="str">
            <v>Thực nghiệm đo dao động của cán dao phay ứng với các thông số gia công khác nhau (S,T,V)</v>
          </cell>
          <cell r="E188" t="str">
            <v>Phạm Đức Minh 23144258</v>
          </cell>
          <cell r="F188" t="str">
            <v xml:space="preserve">Phạm Đức Minh </v>
          </cell>
          <cell r="G188" t="str">
            <v>Cơ khí Chế tạo máy</v>
          </cell>
          <cell r="H188" t="str">
            <v>23144258</v>
          </cell>
          <cell r="I188" t="str">
            <v>Nguyễn Minh Đạt 24143080
Thái Quách An 24143064</v>
          </cell>
          <cell r="J188" t="str">
            <v>Phan Thị Đăng Thư</v>
          </cell>
          <cell r="K188" t="str">
            <v>Khoa CKM</v>
          </cell>
          <cell r="L188" t="str">
            <v>thuptd@hcmute.edu.vn</v>
          </cell>
          <cell r="M188" t="str">
            <v>- 02 Bài báo khoa học đăng trên tạp chí trong nước trong danh mục của HĐ GSNN tính từ 0,5 điểm trở lên</v>
          </cell>
          <cell r="N188">
            <v>25000000</v>
          </cell>
          <cell r="O188" t="str">
            <v>Hai mươi lăm triệu đồng</v>
          </cell>
          <cell r="P188" t="str">
            <v>23144258@student.hcmute.edu.vn</v>
          </cell>
          <cell r="Q188" t="str">
            <v>0367172505</v>
          </cell>
        </row>
        <row r="189">
          <cell r="B189" t="str">
            <v>SV2026-196</v>
          </cell>
          <cell r="C189" t="str">
            <v>X</v>
          </cell>
          <cell r="D189" t="str">
            <v>Nghiên cứu, đề xuất giải pháp và chế tạo mô hình điều chỉnh khe hở bộ truyền bánh răng hộp số một cấp áp dụng trong lĩnh vực bảo trì, bảo dưỡng thiết bị công nghiệp</v>
          </cell>
          <cell r="E189" t="str">
            <v>Trần Đăng Nghiêm 22144151</v>
          </cell>
          <cell r="F189" t="str">
            <v xml:space="preserve">Trần Đăng Nghiêm </v>
          </cell>
          <cell r="G189" t="str">
            <v>Cơ khí Chế tạo máy</v>
          </cell>
          <cell r="H189" t="str">
            <v>22144151</v>
          </cell>
          <cell r="I189" t="str">
            <v>Nguyễn Huy Chương 2144066
Đặng Công Thiên Đức 22144083
Hồ Vĩnh Khang 22144117
Trần Quốc Việt 22144227</v>
          </cell>
          <cell r="J189" t="str">
            <v>Đặng Quang Khoa</v>
          </cell>
          <cell r="K189" t="str">
            <v>Khoa CKM</v>
          </cell>
          <cell r="L189" t="str">
            <v>khoadq@hcmute.edu.vn</v>
          </cell>
          <cell r="M189" t="str">
            <v>- Mô hình điều chỉnh khe hở bộ truyền bánh răng hộp số một cấp
- Báo cáo tổng kết: Đạt yêu cầu báo cáo khoa học</v>
          </cell>
          <cell r="N189">
            <v>10000000</v>
          </cell>
          <cell r="O189" t="str">
            <v>Mười triệu đồng</v>
          </cell>
          <cell r="P189" t="str">
            <v xml:space="preserve">22144151@student.hcmute.edu.vn </v>
          </cell>
          <cell r="Q189" t="str">
            <v>0366012315</v>
          </cell>
        </row>
        <row r="190">
          <cell r="B190" t="str">
            <v>SV2026-197</v>
          </cell>
          <cell r="C190" t="str">
            <v>X</v>
          </cell>
          <cell r="D190" t="str">
            <v>Nghiên cứu độ bền của tấm composite được chế tạo bằng phương pháp phun ép</v>
          </cell>
          <cell r="E190" t="str">
            <v>Huỳnh Văn Hưỡng 23144091</v>
          </cell>
          <cell r="F190" t="str">
            <v xml:space="preserve">Huỳnh Văn Hưỡng </v>
          </cell>
          <cell r="G190" t="str">
            <v>Cơ khí Chế tạo máy</v>
          </cell>
          <cell r="H190" t="str">
            <v>23144091</v>
          </cell>
          <cell r="I190" t="str">
            <v>Nguyễn Đình Nguyên 23144126
Lê Phước Hoàng 23144080</v>
          </cell>
          <cell r="J190" t="str">
            <v>Nguyễn Trần Phú</v>
          </cell>
          <cell r="K190" t="str">
            <v>Khoa Giao thông và Năng lượng</v>
          </cell>
          <cell r="L190" t="str">
            <v>phunt@hcmute.edu.vn</v>
          </cell>
          <cell r="M190" t="str">
            <v>- 02 Bài báo khoa học đăng trên tạp chí trong nước trong danh mục của HĐ GSNN tính từ 0,5 điểm trở lên</v>
          </cell>
          <cell r="N190">
            <v>25000000</v>
          </cell>
          <cell r="O190" t="str">
            <v>Hai mươi lăm triệu đồng</v>
          </cell>
          <cell r="P190" t="str">
            <v>23144091@student.hcmute.edu.vn</v>
          </cell>
          <cell r="Q190" t="str">
            <v>0388173453</v>
          </cell>
        </row>
        <row r="191">
          <cell r="B191" t="str">
            <v>SV2026-198</v>
          </cell>
          <cell r="C191" t="str">
            <v>X</v>
          </cell>
          <cell r="D191" t="str">
            <v>Nghiên cứu, thiết kế và chế tạo thiết bị nung dây bù kim loại trong quy trình hàn TIG tự động có bù dây</v>
          </cell>
          <cell r="E191" t="str">
            <v>Huỳnh Nguyễn Thái Anh 24143164</v>
          </cell>
          <cell r="F191" t="str">
            <v xml:space="preserve">Huỳnh Nguyễn Thái Anh </v>
          </cell>
          <cell r="G191" t="str">
            <v>Cơ khí Chế tạo máy</v>
          </cell>
          <cell r="H191" t="str">
            <v>24143164</v>
          </cell>
          <cell r="I191" t="str">
            <v>Trần Lê Anh Hào 24143216
Lê Công Danh 24143180
Vũ Hoàng Danh 24143185</v>
          </cell>
          <cell r="J191" t="str">
            <v>Võ Minh Tâm</v>
          </cell>
          <cell r="K191" t="str">
            <v>Khoa CKM</v>
          </cell>
          <cell r="L191" t="str">
            <v>tamvm@hcmute.edu.vn</v>
          </cell>
          <cell r="M191" t="str">
            <v>-Mô hình thiết bị gia nhiệt dây  bù kim loại 
- Tập bản vẽ
- 01 Báo cáo tổng kết: Đạt yêu cầu báo cáo khoa học</v>
          </cell>
          <cell r="N191">
            <v>10000000</v>
          </cell>
          <cell r="O191" t="str">
            <v>Mười triệu đồng</v>
          </cell>
          <cell r="P191" t="str">
            <v>24143216@student.hcmute.edu.vn</v>
          </cell>
          <cell r="Q191" t="str">
            <v>0963638800</v>
          </cell>
        </row>
        <row r="192">
          <cell r="B192" t="str">
            <v>SV2026-199</v>
          </cell>
          <cell r="C192" t="str">
            <v>X</v>
          </cell>
          <cell r="D192" t="str">
            <v>Ứng dụng chuỗi kích thước để tính toán kích thước đường kính cho chi tiết dạng trục bậc ở dạng sản xuất hàng khối</v>
          </cell>
          <cell r="E192" t="str">
            <v>Trần Trung Tính 23143206</v>
          </cell>
          <cell r="F192" t="str">
            <v xml:space="preserve">Trần Trung Tính </v>
          </cell>
          <cell r="G192" t="str">
            <v>Cơ khí Chế tạo máy</v>
          </cell>
          <cell r="H192" t="str">
            <v>23143206</v>
          </cell>
          <cell r="I192" t="str">
            <v>Đinh Thành Luân 23143024
Phan Văn Phúc 23143031</v>
          </cell>
          <cell r="J192" t="str">
            <v>Nguyễn Hoài Nam</v>
          </cell>
          <cell r="K192" t="str">
            <v>Khoa CKM</v>
          </cell>
          <cell r="L192" t="str">
            <v>namnh@hcmute.edu.vn</v>
          </cell>
          <cell r="M192" t="str">
            <v>- Báo cáo tổng kết: 	Đạt yêu cầu báo cáo khoa học</v>
          </cell>
          <cell r="N192">
            <v>5000000</v>
          </cell>
          <cell r="O192" t="str">
            <v>Năm triệu đồng</v>
          </cell>
          <cell r="P192" t="str">
            <v>23143206@student.hcmute.edu.vn</v>
          </cell>
          <cell r="Q192" t="str">
            <v>0352828505</v>
          </cell>
        </row>
        <row r="193">
          <cell r="B193" t="str">
            <v>SV2026-200</v>
          </cell>
          <cell r="C193" t="str">
            <v>X</v>
          </cell>
          <cell r="D193" t="str">
            <v>Nghiên cứu thiết kế chế tạo máy bay không người lái bám theo đối tượng động dùng camera và xử lý ảnh</v>
          </cell>
          <cell r="E193" t="str">
            <v>Trần Nguyễn Ngọc Thành 22146401</v>
          </cell>
          <cell r="F193" t="str">
            <v xml:space="preserve">Trần Nguyễn Ngọc Thành </v>
          </cell>
          <cell r="G193" t="str">
            <v>Cơ khí Chế tạo máy</v>
          </cell>
          <cell r="H193" t="str">
            <v>22146401</v>
          </cell>
          <cell r="I193" t="str">
            <v>Lê Thế Hiển 24146027</v>
          </cell>
          <cell r="J193" t="str">
            <v>Hà Lê Như Ngọc Thành</v>
          </cell>
          <cell r="K193" t="str">
            <v>Khoa CKM</v>
          </cell>
          <cell r="L193" t="str">
            <v>thanh.hlnn@hcmute.edu.vn</v>
          </cell>
          <cell r="M193" t="str">
            <v>- Mô hình UAV 8 cánh đồng trục
- Thuật toán điều khiển máy bay UAV 8 cánh đồng trục
- Mô hình AI phát hiện đối tượng
- Báo cáo tổng kết</v>
          </cell>
          <cell r="N193">
            <v>10000000</v>
          </cell>
          <cell r="O193" t="str">
            <v>Mười triệu đồng</v>
          </cell>
          <cell r="P193" t="str">
            <v>22146401@student.hcmute.edu.vn</v>
          </cell>
          <cell r="Q193" t="str">
            <v>0859441577</v>
          </cell>
        </row>
        <row r="194">
          <cell r="B194" t="str">
            <v>SV2026-203</v>
          </cell>
          <cell r="C194" t="str">
            <v>X</v>
          </cell>
          <cell r="D194" t="str">
            <v>Thiết kế và chế tạo máy cấy ren ECU cho chi tiết dạng tấm</v>
          </cell>
          <cell r="E194" t="str">
            <v>Trần Đức Trung 22143283</v>
          </cell>
          <cell r="F194" t="str">
            <v xml:space="preserve">Trần Đức Trung </v>
          </cell>
          <cell r="G194" t="str">
            <v>Cơ khí Chế tạo máy</v>
          </cell>
          <cell r="H194" t="str">
            <v>22143283</v>
          </cell>
          <cell r="I194" t="str">
            <v>Võ Hoàng Phúc 22143261
Nguyễn Hồng Sơn 22143265</v>
          </cell>
          <cell r="J194" t="str">
            <v>Dương Thị Vân Anh</v>
          </cell>
          <cell r="K194" t="str">
            <v>Khoa CKM</v>
          </cell>
          <cell r="L194" t="str">
            <v>anhdtv@hcmute.edu.vn</v>
          </cell>
          <cell r="M194" t="str">
            <v>- Mô hình máy cấy ren ECU cho chi tiết dạng tấm
- Tập bản vẽ
- Báo cáo tổng kết</v>
          </cell>
          <cell r="N194">
            <v>10000000</v>
          </cell>
          <cell r="O194" t="str">
            <v>Mười triệu đồng</v>
          </cell>
          <cell r="P194" t="str">
            <v>22143283@student.hcmute.edu.vn</v>
          </cell>
          <cell r="Q194" t="str">
            <v>0369456331</v>
          </cell>
        </row>
        <row r="195">
          <cell r="B195" t="str">
            <v>SV2026-204</v>
          </cell>
          <cell r="C195" t="str">
            <v>X</v>
          </cell>
          <cell r="D195" t="str">
            <v>Thiết kế và chế tạo máy mài chép hình cho chi tiết dạng trục cam</v>
          </cell>
          <cell r="E195" t="str">
            <v>Đỗ Đại Quý 22144176</v>
          </cell>
          <cell r="F195" t="str">
            <v xml:space="preserve">Đỗ Đại Quý </v>
          </cell>
          <cell r="G195" t="str">
            <v>Cơ khí Chế tạo máy</v>
          </cell>
          <cell r="H195" t="str">
            <v>22144176</v>
          </cell>
          <cell r="I195" t="str">
            <v>Đinh Ngọc Quý 2214175
Huỳnh Thanh Phương 22144169</v>
          </cell>
          <cell r="J195" t="str">
            <v>Trần Chí Thiên</v>
          </cell>
          <cell r="K195" t="str">
            <v>Khoa CKM</v>
          </cell>
          <cell r="L195" t="str">
            <v>thientc@hcmute.edu.vn</v>
          </cell>
          <cell r="M195" t="str">
            <v>- Mô hình máy Mài Chép Hình Trục Cam cho chi tiết dạng trục cam
- Tập bản vẽ
- Báo cáo tổng kết</v>
          </cell>
          <cell r="N195">
            <v>10000000</v>
          </cell>
          <cell r="O195" t="str">
            <v>Mười triệu đồng</v>
          </cell>
          <cell r="P195" t="str">
            <v>22144176@student.hcmute.edu.vn</v>
          </cell>
          <cell r="Q195" t="str">
            <v>0366322654</v>
          </cell>
        </row>
        <row r="196">
          <cell r="B196" t="str">
            <v>SV2026-205</v>
          </cell>
          <cell r="C196" t="str">
            <v>X</v>
          </cell>
          <cell r="D196" t="str">
            <v>Nghiên cứu ảnh hưởng của nhiệt độ buồng in đến độ bền kéo của vật liệu PETG bằng phương pháp in 3D FDM.</v>
          </cell>
          <cell r="E196" t="str">
            <v>Nguyễn Cảnh Khánh 22143115</v>
          </cell>
          <cell r="F196" t="str">
            <v xml:space="preserve">Nguyễn Cảnh Khánh </v>
          </cell>
          <cell r="G196" t="str">
            <v>Cơ khí Chế tạo máy</v>
          </cell>
          <cell r="H196" t="str">
            <v>22143115</v>
          </cell>
          <cell r="I196" t="str">
            <v>Trịnh Hoàng Minh Trí 22143162
Nguyễn Nhật Thịnh 22143158
Nguyễn Trần Quốc Thắng 22143155
Đào Xuân Trường 22143165</v>
          </cell>
          <cell r="J196" t="str">
            <v>Phạm Thị Hồng Nga</v>
          </cell>
          <cell r="K196" t="str">
            <v>Khoa CKM</v>
          </cell>
          <cell r="L196" t="str">
            <v>hongnga@hcmute.edu.vn</v>
          </cell>
          <cell r="M196"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Báo cáo tổng kết</v>
          </cell>
          <cell r="N196">
            <v>15000000</v>
          </cell>
          <cell r="O196" t="str">
            <v>Mười lăm triệu đồng</v>
          </cell>
          <cell r="P196" t="str">
            <v>22143115@student.hcmute.edu.vn</v>
          </cell>
          <cell r="Q196" t="str">
            <v>0363335400</v>
          </cell>
        </row>
        <row r="197">
          <cell r="B197" t="str">
            <v>SV2026-206</v>
          </cell>
          <cell r="C197" t="str">
            <v>X</v>
          </cell>
          <cell r="D197" t="str">
            <v>Nghiên cứu cơ tính và cấu trúc lớp phủ Inconel chế tạo bằng laser cladding trên thép khuôn SKD61</v>
          </cell>
          <cell r="E197" t="str">
            <v>Trần Trung Hậu 23144070</v>
          </cell>
          <cell r="F197" t="str">
            <v xml:space="preserve">Trần Trung Hậu </v>
          </cell>
          <cell r="G197" t="str">
            <v>Cơ khí Chế tạo máy</v>
          </cell>
          <cell r="H197" t="str">
            <v>23144070</v>
          </cell>
          <cell r="I197" t="str">
            <v xml:space="preserve">Võ Nguyên Khả 23144096
Nguyễn Gia Huy 23144085
Trần Ngọc Minh Hân 23144068
Trần Hữu Kha 23144093
</v>
          </cell>
          <cell r="J197" t="str">
            <v>Phạm Thị Hồng Nga</v>
          </cell>
          <cell r="K197" t="str">
            <v>Khoa CKM</v>
          </cell>
          <cell r="L197" t="str">
            <v>hongnga@hcmute.edu.vn</v>
          </cell>
          <cell r="M197"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v>
          </cell>
          <cell r="N197">
            <v>15000000</v>
          </cell>
          <cell r="O197" t="str">
            <v>Mười lăm triệu đồng</v>
          </cell>
          <cell r="P197" t="str">
            <v>23144070@student.hcmute.edu.vn</v>
          </cell>
          <cell r="Q197" t="str">
            <v xml:space="preserve">0365365052 </v>
          </cell>
        </row>
        <row r="198">
          <cell r="B198" t="str">
            <v>SV2026-207</v>
          </cell>
          <cell r="C198" t="str">
            <v>X</v>
          </cell>
          <cell r="D198" t="str">
            <v>Ứng dụng Machine Learning và công nghệ QR Code trong kiểm tra chất lượng rau củ quả</v>
          </cell>
          <cell r="E198" t="str">
            <v>Trần Thị Thanh Xuân 24104070</v>
          </cell>
          <cell r="F198" t="str">
            <v xml:space="preserve">Trần Thị Thanh Xuân </v>
          </cell>
          <cell r="G198" t="str">
            <v>Cơ khí Chế tạo máy</v>
          </cell>
          <cell r="H198" t="str">
            <v>24104070</v>
          </cell>
          <cell r="I198" t="str">
            <v>Nguyễn Thị Kiều Vi 24104067</v>
          </cell>
          <cell r="J198" t="str">
            <v>Lê Minh Tài</v>
          </cell>
          <cell r="K198" t="str">
            <v>Khoa CKM</v>
          </cell>
          <cell r="L198" t="str">
            <v>tailm@hcmute.edu.vn</v>
          </cell>
          <cell r="M198" t="str">
            <v>-Bài báo khoa học: Bài báo khoa học đăng trên tạp chí không thuộc mục 1; hoặc bài báo đăng trên hội thảo quốc tế có chỉ số xuất bản ISBN/ISSN; hoặc sản phẩm mô hình, thiết bị (không có hợp đồng chuyển giao công nghệ).
- Báo cáo tổng kết</v>
          </cell>
          <cell r="N198">
            <v>10000000</v>
          </cell>
          <cell r="O198" t="str">
            <v>Mười triệu đồng</v>
          </cell>
          <cell r="P198" t="str">
            <v>24104070@student.hcmute.edu.vn</v>
          </cell>
          <cell r="Q198" t="str">
            <v>0899728717</v>
          </cell>
        </row>
        <row r="199">
          <cell r="B199" t="str">
            <v>SV2026-208</v>
          </cell>
          <cell r="C199" t="str">
            <v>X</v>
          </cell>
          <cell r="D199" t="str">
            <v>Mô hình thí nghiệm và trạm điều khiển động cơ BLDC motor</v>
          </cell>
          <cell r="E199" t="str">
            <v>Võ Phước Thắng 22146229</v>
          </cell>
          <cell r="F199" t="str">
            <v xml:space="preserve">Võ Phước Thắng </v>
          </cell>
          <cell r="G199" t="str">
            <v>Cơ khí Chế tạo máy</v>
          </cell>
          <cell r="H199" t="str">
            <v>22146229</v>
          </cell>
          <cell r="I199" t="str">
            <v>Nguyễn Thị Ánh Ngọc 23134040
Nguyễn Chí Bình 22146084
Trần Văn Dương 21146079</v>
          </cell>
          <cell r="J199" t="str">
            <v>Trần Thụy Uyên Phương</v>
          </cell>
          <cell r="K199" t="str">
            <v>Khoa CKM</v>
          </cell>
          <cell r="L199" t="str">
            <v>phuongttu@hcmute.edu.vn</v>
          </cell>
          <cell r="M199" t="str">
            <v>- Mô hình thiết bị trạm điều khiển động cơ BLDC
- Bản vẽ mô hình
- Báo cáo tổng kết</v>
          </cell>
          <cell r="N199">
            <v>10000000</v>
          </cell>
          <cell r="O199" t="str">
            <v>Mười triệu đồng</v>
          </cell>
          <cell r="P199" t="str">
            <v>22146229@student.hcmute.edu.vn</v>
          </cell>
          <cell r="Q199" t="str">
            <v>0888558781</v>
          </cell>
        </row>
        <row r="200">
          <cell r="B200" t="str">
            <v>SV2026-209</v>
          </cell>
          <cell r="C200" t="str">
            <v>HỦY</v>
          </cell>
          <cell r="D200" t="str">
            <v>Chính sách xử lý hình sự đối với người từ đủ 14 tuổi đến dưới 16 tuổi – nghiên cứu so sánh và định hướng hoàn thiện pháp luật Việt Nam</v>
          </cell>
          <cell r="E200" t="str">
            <v>Nguyễn Lê Hoàng Uyên 23163055</v>
          </cell>
          <cell r="F200" t="str">
            <v xml:space="preserve">Nguyễn Lê Hoàng Uyên </v>
          </cell>
          <cell r="G200" t="str">
            <v>Chính trị và Luật</v>
          </cell>
          <cell r="H200" t="str">
            <v>23163055</v>
          </cell>
          <cell r="I200" t="str">
            <v>Nguyễn Ngọc Phương Linh 23163022
Nguyễn Thị Kim Phụng 24163078
Phạm Trịnh Thanh Bình 24163012
Võ Lê Thùy An 24163004</v>
          </cell>
          <cell r="J200" t="str">
            <v>Đoàn Trọng Chỉnh</v>
          </cell>
          <cell r="K200" t="str">
            <v>Khoa Chính trị và Luật</v>
          </cell>
          <cell r="L200" t="str">
            <v>chinhdt@hcmute.edu.vn</v>
          </cell>
          <cell r="M200" t="str">
            <v>01 Bài báo đăng trên tạp chí chuyên ngành trong nước được HĐ GSNN tính 0,5 điểm  
01 Báo cáo tổng kết</v>
          </cell>
          <cell r="N200">
            <v>15000000</v>
          </cell>
          <cell r="O200" t="str">
            <v>Mười lăm triệu đồng</v>
          </cell>
          <cell r="P200" t="str">
            <v>23163055@student.hcmute.edu.vn</v>
          </cell>
          <cell r="Q200" t="str">
            <v>0393129429</v>
          </cell>
        </row>
        <row r="201">
          <cell r="B201" t="str">
            <v>SV2026-210</v>
          </cell>
          <cell r="C201" t="str">
            <v>X</v>
          </cell>
          <cell r="D201" t="str">
            <v>Tập quán pháp trong hoạt động kinh doanh thương mại</v>
          </cell>
          <cell r="E201" t="str">
            <v>Quách Hải Thọ 23142443</v>
          </cell>
          <cell r="F201" t="str">
            <v xml:space="preserve">Quách Hải Thọ </v>
          </cell>
          <cell r="G201" t="str">
            <v>Chính trị và Luật</v>
          </cell>
          <cell r="H201" t="str">
            <v>23142443</v>
          </cell>
          <cell r="I201" t="str">
            <v>Huỳnh Thị Kim Quyên 23126116</v>
          </cell>
          <cell r="J201" t="str">
            <v>Trương Thị Tường Vi</v>
          </cell>
          <cell r="K201" t="str">
            <v>Khoa Chính trị và Luật</v>
          </cell>
          <cell r="L201" t="str">
            <v>vittt@hcmute.edu.vn</v>
          </cell>
          <cell r="M201" t="str">
            <v>01 Báo cáo tổng kết
01 Bài báo đăng trên tạp chí chuyên ngành trong nước được HĐ GSNN tính 0,5 điểm</v>
          </cell>
          <cell r="N201">
            <v>15000000</v>
          </cell>
          <cell r="O201" t="str">
            <v>Mười lăm triệu đồng</v>
          </cell>
          <cell r="P201" t="str">
            <v>23142443@student.hcmute.edu.vn</v>
          </cell>
          <cell r="Q201" t="str">
            <v>0359875090</v>
          </cell>
        </row>
        <row r="202">
          <cell r="B202" t="str">
            <v>SV2026-211</v>
          </cell>
          <cell r="C202" t="str">
            <v>X</v>
          </cell>
          <cell r="D202" t="str">
            <v>Năng lực trách nhiệm hình sự của người dưới 18 tuổi trong vụ đồng phạm đối với tội phạm quy định người thực hành 18 tuổi trở lên</v>
          </cell>
          <cell r="E202" t="str">
            <v>Võ Huỳnh Khánh Vi 24163111</v>
          </cell>
          <cell r="F202" t="str">
            <v xml:space="preserve">Võ Huỳnh Khánh Vi </v>
          </cell>
          <cell r="G202" t="str">
            <v>Chính trị và Luật</v>
          </cell>
          <cell r="H202" t="str">
            <v>24163111</v>
          </cell>
          <cell r="I202" t="str">
            <v>Trần Thị Thanh Tuyền 24163104
Lê Thị Vy 24163113</v>
          </cell>
          <cell r="J202" t="str">
            <v>Đoàn Trọng Chỉnh</v>
          </cell>
          <cell r="K202" t="str">
            <v>Khoa Chính trị và Luật</v>
          </cell>
          <cell r="L202" t="str">
            <v>chinhdt@hcmute.edu.vn</v>
          </cell>
          <cell r="M202" t="str">
            <v>01 Bài báo khoa học đăng trên tạp chí
01 Báo cáo tổng kết</v>
          </cell>
          <cell r="N202">
            <v>10000000</v>
          </cell>
          <cell r="O202" t="str">
            <v>Mười triệu đồng</v>
          </cell>
          <cell r="P202" t="str">
            <v>24163111@student.hcmute.edu.vn</v>
          </cell>
          <cell r="Q202" t="str">
            <v>0387303320</v>
          </cell>
        </row>
        <row r="203">
          <cell r="B203" t="str">
            <v>SV2026-212</v>
          </cell>
          <cell r="C203"/>
          <cell r="D203" t="str">
            <v>Tội phạm thực hiện dưới hình thức lợi dụng công nghệ trí tuệ nhân tạo</v>
          </cell>
          <cell r="E203" t="str">
            <v>Võ Thị Bảo Trân 24163101</v>
          </cell>
          <cell r="F203" t="str">
            <v xml:space="preserve">Võ Thị Bảo Trân </v>
          </cell>
          <cell r="G203" t="str">
            <v>Chính trị và Luật</v>
          </cell>
          <cell r="H203" t="str">
            <v>24163101</v>
          </cell>
          <cell r="I203" t="str">
            <v>Trần Lê Thảo Khuyên 24163038
Đinh Ngọc Mỹ Duyên 24163015
Phan Minh Thư 24163094
Trần Ngọc Như Ý 24163114</v>
          </cell>
          <cell r="J203" t="str">
            <v>Đoàn Trọng Chỉnh</v>
          </cell>
          <cell r="K203" t="str">
            <v>Khoa Chính trị và Luật</v>
          </cell>
          <cell r="L203" t="str">
            <v>chinhdt@hcmute.edu.vn</v>
          </cell>
          <cell r="M203" t="str">
            <v>01 Báo cáo tổng kết
01 Bài báo đăng trên tạp chí trong nước hoặc báo đăng trên hội thảo quốc tế có chỉ số xb ISBN/ISSN</v>
          </cell>
          <cell r="N203">
            <v>10000000</v>
          </cell>
          <cell r="O203" t="str">
            <v>Mười triệu đồng</v>
          </cell>
          <cell r="P203" t="str">
            <v>24163101@student.hcmute.edu.vn</v>
          </cell>
          <cell r="Q203" t="str">
            <v>0829444211</v>
          </cell>
        </row>
        <row r="204">
          <cell r="B204" t="str">
            <v>SV2026-213</v>
          </cell>
          <cell r="C204" t="str">
            <v>X</v>
          </cell>
          <cell r="D204" t="str">
            <v>Phản ứng cảm xúc và hành vi của sinh viên Trường Đại học Công nghệ Kỹ thuật TP. HCM trước sai chuẩn đạo đức của người nổi tiếng thuộc thế hệ gen Z</v>
          </cell>
          <cell r="E204" t="str">
            <v>Lê Thị Kim Thùy 24163092</v>
          </cell>
          <cell r="F204" t="str">
            <v xml:space="preserve">Lê Thị Kim Thùy </v>
          </cell>
          <cell r="G204" t="str">
            <v>Chính trị và Luật</v>
          </cell>
          <cell r="H204" t="str">
            <v>24163092</v>
          </cell>
          <cell r="I204" t="str">
            <v>Huỳnh Thị Yến Nhi 24163065
Thái Minh Tuệ 22142443</v>
          </cell>
          <cell r="J204" t="str">
            <v>Nguyễn Thị Như Thúy</v>
          </cell>
          <cell r="K204" t="str">
            <v>Khoa Chính trị và Luật</v>
          </cell>
          <cell r="L204" t="str">
            <v>ntnthuy@hcmute.edu.vn</v>
          </cell>
          <cell r="M204" t="str">
            <v>01 Báo cáo tổng kết
01 Bài báo đăng trên tạp chí chuyên ngành trong nước được HĐ GSNN tính 0,5 điểm</v>
          </cell>
          <cell r="N204">
            <v>15000000</v>
          </cell>
          <cell r="O204" t="str">
            <v>Mười lăm triệu đồng</v>
          </cell>
          <cell r="P204" t="str">
            <v>24163092@student.hcmute.edu.vn</v>
          </cell>
          <cell r="Q204" t="str">
            <v>0377817341</v>
          </cell>
        </row>
        <row r="205">
          <cell r="B205" t="str">
            <v>SV2026-214</v>
          </cell>
          <cell r="C205" t="str">
            <v>X</v>
          </cell>
          <cell r="D205" t="str">
            <v>Nghiên cứu những yếu tố ảnh hưởng đến việc lựa chọn học ngành Luật tại Trường Đại học Công nghệ Kỹ thuật Thành phố Hồ Chí Minh của sinh viên</v>
          </cell>
          <cell r="E205" t="str">
            <v>Trương Phan Đăng Khoa 24163037</v>
          </cell>
          <cell r="F205" t="str">
            <v xml:space="preserve">Trương Phan Đăng Khoa </v>
          </cell>
          <cell r="G205" t="str">
            <v>Chính trị và Luật</v>
          </cell>
          <cell r="H205" t="str">
            <v>24163037</v>
          </cell>
          <cell r="I205" t="str">
            <v>Trần Gia Huy 24163030
Nguyễn Minh Khang 24163034</v>
          </cell>
          <cell r="J205" t="str">
            <v>Phạm Công
Thiên Đỉnh</v>
          </cell>
          <cell r="K205" t="str">
            <v>Khoa Chính trị và Luật</v>
          </cell>
          <cell r="L205" t="str">
            <v>dinhpct@hcmute.
edu.vn</v>
          </cell>
          <cell r="M205" t="str">
            <v>01 Bài báo đăng trên tạp chí chuyên ngành trong nước được HĐ GSNN tính 0,5 điểm
01 Báo cáo tổng kết</v>
          </cell>
          <cell r="N205">
            <v>15000000</v>
          </cell>
          <cell r="O205" t="str">
            <v>Mười lăm triệu đồng</v>
          </cell>
          <cell r="P205" t="str">
            <v>24163037@student.hcmute.edu.vn</v>
          </cell>
          <cell r="Q205" t="str">
            <v>0962392809</v>
          </cell>
        </row>
        <row r="206">
          <cell r="B206" t="str">
            <v>SV2026-215</v>
          </cell>
          <cell r="C206" t="str">
            <v>X</v>
          </cell>
          <cell r="D206" t="str">
            <v>Bản sao số của cánh tay robot 6 bậc tự do trên Unity tích hợp với ROS 2</v>
          </cell>
          <cell r="E206" t="str">
            <v>Bùi  Hoàng Quang Khải 22151101</v>
          </cell>
          <cell r="F206" t="str">
            <v xml:space="preserve">Bùi  Hoàng Quang Khải </v>
          </cell>
          <cell r="G206" t="str">
            <v>Điện - Điện tử</v>
          </cell>
          <cell r="H206" t="str">
            <v>22151101</v>
          </cell>
          <cell r="I206" t="str">
            <v>Nguyễn Viết Nhật 22151127
Trần Trung Nghĩa 22151123</v>
          </cell>
          <cell r="J206" t="str">
            <v>Trịnh Quốc Thanh</v>
          </cell>
          <cell r="K206" t="str">
            <v>Khoa Điện - Điện tử</v>
          </cell>
          <cell r="L206" t="str">
            <v xml:space="preserve">tqthanh@hcmute.edu.vn </v>
          </cell>
          <cell r="M206" t="str">
            <v>Bài báo đăng trên hội thảo quốc tế có chỉ số ISSN/ISBN
Chương trình mô phỏng và điều khiển</v>
          </cell>
          <cell r="N206">
            <v>10000000</v>
          </cell>
          <cell r="O206" t="str">
            <v>Mười triệu đồng</v>
          </cell>
          <cell r="P206" t="str">
            <v>22151101@student.hcmute.edu.vn</v>
          </cell>
          <cell r="Q206" t="str">
            <v>0977515843</v>
          </cell>
        </row>
        <row r="207">
          <cell r="B207" t="str">
            <v>SV2026-216</v>
          </cell>
          <cell r="C207" t="str">
            <v>X</v>
          </cell>
          <cell r="D207" t="str">
            <v>So sánh các phương pháp điều khiển tuyến tính cho xe hai bánh tự cân bằng bám đường line</v>
          </cell>
          <cell r="E207" t="str">
            <v>Bùi Hồng Nhớ 21161345</v>
          </cell>
          <cell r="F207" t="str">
            <v xml:space="preserve">Bùi Hồng Nhớ </v>
          </cell>
          <cell r="G207" t="str">
            <v>Điện - Điện tử</v>
          </cell>
          <cell r="H207" t="str">
            <v>21161345</v>
          </cell>
          <cell r="I207" t="str">
            <v>Trần Nguyễn Thanh Lộc 23151277
Huỳnh Anh Khoa 23151128
Ma Văn Hải Đăng 23151079
Nguyễn Quang Thiện 23161196</v>
          </cell>
          <cell r="J207" t="str">
            <v>Nguyễn Đình Phú</v>
          </cell>
          <cell r="K207" t="str">
            <v>Khoa Điện - Điện tử</v>
          </cell>
          <cell r="L207" t="str">
            <v>phund@hcmute.edu.vn</v>
          </cell>
          <cell r="M207" t="str">
            <v>01 Bài báo được chấp nhận đăng trên tạp chí quốc tế, viết bằng tiếng Anh, có phản biện, có chỉ số ISSN
Chương trình mô phỏng
Chương trình nhúng thực nghiệm
Báo cáo tổng kết</v>
          </cell>
          <cell r="N207">
            <v>15000000</v>
          </cell>
          <cell r="O207" t="str">
            <v>Mười lăm triệu đồng</v>
          </cell>
          <cell r="P207" t="str">
            <v>21161345@student.hcmute.edu.vn</v>
          </cell>
          <cell r="Q207" t="str">
            <v>0372303192</v>
          </cell>
        </row>
        <row r="208">
          <cell r="B208" t="str">
            <v>SV2026-217</v>
          </cell>
          <cell r="C208" t="str">
            <v>X</v>
          </cell>
          <cell r="D208" t="str">
            <v>Ứng dụng Deep Learning vào cải tiến thuật toán ORB - SLAM3 trong môi trường động</v>
          </cell>
          <cell r="E208" t="str">
            <v>Bùi Nguyên Khang 24151170</v>
          </cell>
          <cell r="F208" t="str">
            <v xml:space="preserve">Bùi Nguyên Khang </v>
          </cell>
          <cell r="G208" t="str">
            <v>Điện - Điện tử</v>
          </cell>
          <cell r="H208" t="str">
            <v>24151170</v>
          </cell>
          <cell r="I208">
            <v>0</v>
          </cell>
          <cell r="J208" t="str">
            <v>Phạm Huỳnh Thế</v>
          </cell>
          <cell r="K208" t="str">
            <v>Khoa Điện - Điện tử</v>
          </cell>
          <cell r="L208" t="str">
            <v>theph@hcmute.edu.vn</v>
          </cell>
          <cell r="M208" t="str">
            <v>01 Báo cáo phân tích</v>
          </cell>
          <cell r="N208">
            <v>5000000</v>
          </cell>
          <cell r="O208" t="str">
            <v>Năm triệu đồng</v>
          </cell>
          <cell r="P208" t="str">
            <v>24151170@student.hcmute.edu.vn</v>
          </cell>
          <cell r="Q208" t="str">
            <v>0338332280</v>
          </cell>
        </row>
        <row r="209">
          <cell r="B209" t="str">
            <v>SV2026-218</v>
          </cell>
          <cell r="C209" t="str">
            <v>X</v>
          </cell>
          <cell r="D209" t="str">
            <v>Xây dựng bộ điều khiển nhiệt độ dùng PLC</v>
          </cell>
          <cell r="E209" t="str">
            <v>Cao Trường An 22151165</v>
          </cell>
          <cell r="F209" t="str">
            <v xml:space="preserve">Cao Trường An </v>
          </cell>
          <cell r="G209" t="str">
            <v>Điện - Điện tử</v>
          </cell>
          <cell r="H209" t="str">
            <v>22151165</v>
          </cell>
          <cell r="I209" t="str">
            <v>Nguyễn Thanh Tùng 20161278
Trần Phú Duy 22142093
Nguyễn Bình Dương 22142088
Phạm Ngọc Hai 23151085</v>
          </cell>
          <cell r="J209" t="str">
            <v>Lê Thị Hồng Lam</v>
          </cell>
          <cell r="K209" t="str">
            <v>Khoa Điện - Điện tử</v>
          </cell>
          <cell r="L209" t="str">
            <v>lamlth@hcmute.edu.vn</v>
          </cell>
          <cell r="M209" t="str">
            <v>01 Chương trình thực nghiệm
01 Báo cáo tổng kết</v>
          </cell>
          <cell r="N209">
            <v>5000000</v>
          </cell>
          <cell r="O209" t="str">
            <v>Năm triệu đồng</v>
          </cell>
          <cell r="P209" t="str">
            <v xml:space="preserve">22151165@student.hcmute.edu.vn </v>
          </cell>
          <cell r="Q209" t="str">
            <v>0941151820</v>
          </cell>
        </row>
        <row r="210">
          <cell r="B210" t="str">
            <v>SV2026-219</v>
          </cell>
          <cell r="C210" t="str">
            <v>X</v>
          </cell>
          <cell r="D210" t="str">
            <v>Nghiên cứu xây dựng mô hình hệ thống điện sử dụng năng lượng mặt trời kết hợp điện gió cho hộ gia đình</v>
          </cell>
          <cell r="E210" t="str">
            <v>Châu Ngọc Tính 23151187</v>
          </cell>
          <cell r="F210" t="str">
            <v xml:space="preserve">Châu Ngọc Tính </v>
          </cell>
          <cell r="G210" t="str">
            <v>Điện - Điện tử</v>
          </cell>
          <cell r="H210" t="str">
            <v>23151187</v>
          </cell>
          <cell r="I210" t="str">
            <v>Bùi Thái Vũ 23151207
Nguyễn Văn Trọng 23151194
Nguyễn Hoàng Duy 23142265
Huỳnh Tấn Hiếu 23142293</v>
          </cell>
          <cell r="J210" t="str">
            <v>Nguyễn Thới</v>
          </cell>
          <cell r="K210" t="str">
            <v>P.QHQT</v>
          </cell>
          <cell r="L210" t="str">
            <v>thoinguyen@hcmute.edu.vn</v>
          </cell>
          <cell r="M210" t="str">
            <v>01 Chương trình máy tính
01 Báo cáo tổng kết</v>
          </cell>
          <cell r="N210">
            <v>5000000</v>
          </cell>
          <cell r="O210" t="str">
            <v>Năm triệu đồng</v>
          </cell>
          <cell r="P210" t="str">
            <v>23151187@student.hcmute.edu.vn</v>
          </cell>
          <cell r="Q210" t="str">
            <v>0382686181</v>
          </cell>
        </row>
        <row r="211">
          <cell r="B211" t="str">
            <v>SV2026-220</v>
          </cell>
          <cell r="C211" t="str">
            <v>X</v>
          </cell>
          <cell r="D211" t="str">
            <v>Xây dựng và kiểm thử kiến trúc RISC-V trên nền tảng FPGA</v>
          </cell>
          <cell r="E211" t="str">
            <v>Đặng Hưng Thịnh 22119137</v>
          </cell>
          <cell r="F211" t="str">
            <v xml:space="preserve">Đặng Hưng Thịnh </v>
          </cell>
          <cell r="G211" t="str">
            <v>Điện - Điện tử</v>
          </cell>
          <cell r="H211" t="str">
            <v>22119137</v>
          </cell>
          <cell r="I211" t="str">
            <v>Phạm Phúc Gia Hiền 22119069
Nguyễn Khắc Luân 22119099
Đỗ Tam Khôi 22119092</v>
          </cell>
          <cell r="J211" t="str">
            <v>Trần Thị Quỳnh Như</v>
          </cell>
          <cell r="K211" t="str">
            <v>Khoa Điện - Điện tử</v>
          </cell>
          <cell r="L211" t="str">
            <v>nhuttq@hcmute.edu.vn</v>
          </cell>
          <cell r="M211" t="str">
            <v>01 Mô hình RISC - V single cycle trên FPGA
01 Báo cáo tổng kết</v>
          </cell>
          <cell r="N211" t="str">
            <v>sao ghi là kiê</v>
          </cell>
          <cell r="O211" t="str">
            <v>Mười triệu đồng</v>
          </cell>
          <cell r="P211" t="str">
            <v>22119137@student.hcmute.edu.vn</v>
          </cell>
          <cell r="Q211" t="str">
            <v>0375686158</v>
          </cell>
        </row>
        <row r="212">
          <cell r="B212" t="str">
            <v>SV2026-221</v>
          </cell>
          <cell r="C212" t="str">
            <v>X</v>
          </cell>
          <cell r="D212" t="str">
            <v>Hệ thống cân và đóng gói tự động giám sát từ xa</v>
          </cell>
          <cell r="E212" t="str">
            <v>Đào Anh Quân 21151321</v>
          </cell>
          <cell r="F212" t="str">
            <v xml:space="preserve">Đào Anh Quân </v>
          </cell>
          <cell r="G212" t="str">
            <v>Điện - Điện tử</v>
          </cell>
          <cell r="H212" t="str">
            <v>21151321</v>
          </cell>
          <cell r="I212" t="str">
            <v>Phạm Trần Gia Bảo 23143097
Lê Minh Chương 23143104
Nguyễn Minh Duy 23143112
Đặng Khải Danh 23143108</v>
          </cell>
          <cell r="J212" t="str">
            <v>Lê Thị Thanh Hoàng</v>
          </cell>
          <cell r="K212" t="str">
            <v>Khoa Điện - Điện tử</v>
          </cell>
          <cell r="L212" t="str">
            <v>hoangltt@hcmute.edu.vn</v>
          </cell>
          <cell r="M212" t="str">
            <v>01 Chương trình thực nghiệm
01 Báo cáo tổng kết</v>
          </cell>
          <cell r="N212">
            <v>5000000</v>
          </cell>
          <cell r="O212" t="str">
            <v>Năm triệu đồng</v>
          </cell>
          <cell r="P212" t="str">
            <v>21151321@student.hcmute.edu.vn</v>
          </cell>
          <cell r="Q212" t="str">
            <v>094468407</v>
          </cell>
        </row>
        <row r="213">
          <cell r="B213" t="str">
            <v>SV2026-222</v>
          </cell>
          <cell r="C213" t="str">
            <v>X</v>
          </cell>
          <cell r="D213" t="str">
            <v>Nghiên cứu điều khiển thích nghi robot di động tự hành (AMR) sử dụng mạng Actor–Critic hồi tiếp giá trị PID</v>
          </cell>
          <cell r="E213" t="str">
            <v>Đào Nhất Huy 23151247</v>
          </cell>
          <cell r="F213" t="str">
            <v xml:space="preserve">Đào Nhất Huy </v>
          </cell>
          <cell r="G213" t="str">
            <v>Điện - Điện tử</v>
          </cell>
          <cell r="H213" t="str">
            <v>23151247</v>
          </cell>
          <cell r="I213" t="str">
            <v>Phan Viết Hai 23151241
Võ Trung Kiên 23151268</v>
          </cell>
          <cell r="J213" t="str">
            <v>Trần Vi Đô</v>
          </cell>
          <cell r="K213" t="str">
            <v>Khoa Điện - Điện tử</v>
          </cell>
          <cell r="L213" t="str">
            <v>dotv@hcmute.edu.vn</v>
          </cell>
          <cell r="M213" t="str">
            <v>01 Mô hình xe AMR tự hành
01 Báo cáo tổng kết</v>
          </cell>
          <cell r="N213">
            <v>10000000</v>
          </cell>
          <cell r="O213" t="str">
            <v>Mười triệu đồng</v>
          </cell>
          <cell r="P213" t="str">
            <v>23151247@student.hcmute.edu.vn</v>
          </cell>
          <cell r="Q213" t="str">
            <v>0981778279</v>
          </cell>
        </row>
        <row r="214">
          <cell r="B214" t="str">
            <v>SV2026-223</v>
          </cell>
          <cell r="C214" t="str">
            <v>X</v>
          </cell>
          <cell r="D214" t="str">
            <v>Ứng dụng điều khiển trượt siêu xoắn cho bộ chuyển đổi DC/DC hai chiều trong hệ thống DC Microgrid</v>
          </cell>
          <cell r="E214" t="str">
            <v>Đào Phước Hưng 23151113</v>
          </cell>
          <cell r="F214" t="str">
            <v xml:space="preserve">Đào Phước Hưng </v>
          </cell>
          <cell r="G214" t="str">
            <v>Điện - Điện tử</v>
          </cell>
          <cell r="H214" t="str">
            <v>23151113</v>
          </cell>
          <cell r="I214" t="str">
            <v>Nguyễn Trí Phát 23151155
Lâm Bảo Khang 23151119</v>
          </cell>
          <cell r="J214" t="str">
            <v>Phạm Hữu Thái</v>
          </cell>
          <cell r="K214" t="str">
            <v>Khoa Điện - Điện tử</v>
          </cell>
          <cell r="L214" t="str">
            <v>thaiph@hcmute.edu.vn</v>
          </cell>
          <cell r="M214" t="str">
            <v>01 Bài báo khoa học đăng toàn văn trong kỷ yếu hội nghị, hội thảo có chỉ số ISSN/ISBN
01 Báo cáo tổng kết</v>
          </cell>
          <cell r="N214">
            <v>10000000</v>
          </cell>
          <cell r="O214" t="str">
            <v>Mười triệu đồng</v>
          </cell>
          <cell r="P214" t="str">
            <v>23151113@student.hcmute.edu.vn</v>
          </cell>
          <cell r="Q214" t="str">
            <v>0973282426</v>
          </cell>
        </row>
        <row r="215">
          <cell r="B215" t="str">
            <v>SV2026-224</v>
          </cell>
          <cell r="C215" t="str">
            <v>X</v>
          </cell>
          <cell r="D215" t="str">
            <v>Điều khiển mờ thực nghiệm nhúng STM32F4 cho hệ cần trục 2D</v>
          </cell>
          <cell r="E215" t="str">
            <v>Đinh Đăng Khoa 22151232</v>
          </cell>
          <cell r="F215" t="str">
            <v xml:space="preserve">Đinh Đăng Khoa </v>
          </cell>
          <cell r="G215" t="str">
            <v>Điện - Điện tử</v>
          </cell>
          <cell r="H215" t="str">
            <v>22151232</v>
          </cell>
          <cell r="I215" t="str">
            <v>Huỳnh Trung Sơn 22151288
Nguyễn Hoàng Vĩ 23151206
Bùi Lê Anh Khoa 23151126
Nguyễn Hoàng Nhân 21146284</v>
          </cell>
          <cell r="J215" t="str">
            <v>Trần Đức Lợi</v>
          </cell>
          <cell r="K215" t="str">
            <v>Khoa Điện - Điện tử</v>
          </cell>
          <cell r="L215" t="str">
            <v>loitd@hcmute.edu.vn</v>
          </cell>
          <cell r="M215" t="str">
            <v>02 Bài báo được chấp nhận đăng trên tạp chí quốc tế, viết bằng tiếng Anh, có phản biện, có chỉ số ISSN
01 Chương trình mô phỏng
01 Chương trình thực nghiệm</v>
          </cell>
          <cell r="N215">
            <v>25000000</v>
          </cell>
          <cell r="O215" t="str">
            <v>Hai mươi lăm triệu đồng</v>
          </cell>
          <cell r="P215" t="str">
            <v xml:space="preserve">22151232@student.hcmute.edu.vn </v>
          </cell>
          <cell r="Q215" t="str">
            <v>0394230551</v>
          </cell>
        </row>
        <row r="216">
          <cell r="B216" t="str">
            <v>SV2026-225</v>
          </cell>
          <cell r="C216" t="str">
            <v>X</v>
          </cell>
          <cell r="D216" t="str">
            <v>Thiết kế và vận hành hệ thống in nhãn ly nhựa tự động</v>
          </cell>
          <cell r="E216" t="str">
            <v>Đỗ Nguyên Sơn 18151113</v>
          </cell>
          <cell r="F216" t="str">
            <v xml:space="preserve">Đỗ Nguyên Sơn </v>
          </cell>
          <cell r="G216" t="str">
            <v>Điện - Điện tử</v>
          </cell>
          <cell r="H216" t="str">
            <v>18151113</v>
          </cell>
          <cell r="I216" t="str">
            <v>Lê Nguyễn Phước An 23151045
Bùi Hoàng Duy 23142094
Cao Thuỵ Tuyết Mai 23161066
Nguyễn Xuân Phúc 23142185</v>
          </cell>
          <cell r="J216" t="str">
            <v>Trần Đức Lợi</v>
          </cell>
          <cell r="K216" t="str">
            <v>Khoa Điện - Điện tử</v>
          </cell>
          <cell r="L216" t="str">
            <v>loitd@hcmute.edu.vn</v>
          </cell>
          <cell r="M216" t="str">
            <v>01 Chương trình thực nghiệm vận hành mô hình dán nhãn ly thực nghiệm
01 Báo cáo tổng kết</v>
          </cell>
          <cell r="N216">
            <v>5000000</v>
          </cell>
          <cell r="O216" t="str">
            <v>Năm triệu đồng</v>
          </cell>
          <cell r="P216" t="str">
            <v>18151113@student.hcmute.edu.vn</v>
          </cell>
          <cell r="Q216" t="str">
            <v>0777471322</v>
          </cell>
        </row>
        <row r="217">
          <cell r="B217" t="str">
            <v>SV2026-226</v>
          </cell>
          <cell r="C217" t="str">
            <v>X</v>
          </cell>
          <cell r="D217" t="str">
            <v>Thiết kế bộ điều khiển chuyển động Fuzzy - LQR cho Robot hai bánh tự cân bằng với tải trọng thay đổi trên ROS2</v>
          </cell>
          <cell r="E217" t="str">
            <v>Đoàn Văn Hây 21151103</v>
          </cell>
          <cell r="F217" t="str">
            <v xml:space="preserve">Đoàn Văn Hây </v>
          </cell>
          <cell r="G217" t="str">
            <v>Điện - Điện tử</v>
          </cell>
          <cell r="H217" t="str">
            <v>21151103</v>
          </cell>
          <cell r="I217" t="str">
            <v>Lương Hoàng Ân 21151071
Huỳnh Thanh Tuấn 23151198
Phạm Thanh Tùng 23151202</v>
          </cell>
          <cell r="J217" t="str">
            <v>Trần Đức Thiện</v>
          </cell>
          <cell r="K217" t="str">
            <v>Khoa Điện - Điện tử</v>
          </cell>
          <cell r="L217" t="str">
            <v>thientd@hcmute.edu.vn</v>
          </cell>
          <cell r="M217" t="str">
            <v>01 Bài báo đăng trên hội thảo quốc tế có chỉ số suất bản ISSN/ISBN
01 Chương trình máy tính</v>
          </cell>
          <cell r="N217">
            <v>10000000</v>
          </cell>
          <cell r="O217" t="str">
            <v>Mười triệu đồng</v>
          </cell>
          <cell r="P217" t="str">
            <v>21151103@student.hcmute.edu.vn</v>
          </cell>
          <cell r="Q217" t="str">
            <v>0819044311</v>
          </cell>
        </row>
        <row r="218">
          <cell r="B218" t="str">
            <v>SV2026-227</v>
          </cell>
          <cell r="C218" t="str">
            <v>X</v>
          </cell>
          <cell r="D218" t="str">
            <v>Phát triển mô hình Digital Twin cho Robot UR3 4 bậc tự do sử dụng ROS 2 và thị giác máy tính</v>
          </cell>
          <cell r="E218" t="str">
            <v>Hồ Lê Tuấn 22151158</v>
          </cell>
          <cell r="F218" t="str">
            <v xml:space="preserve">Hồ Lê Tuấn </v>
          </cell>
          <cell r="G218" t="str">
            <v>Điện - Điện tử</v>
          </cell>
          <cell r="H218" t="str">
            <v>22151158</v>
          </cell>
          <cell r="I218" t="str">
            <v>Trần Hải Nam 22151120</v>
          </cell>
          <cell r="J218" t="str">
            <v>Trần Đức Thiện</v>
          </cell>
          <cell r="K218" t="str">
            <v>Khoa Điện - Điện tử</v>
          </cell>
          <cell r="L218" t="str">
            <v>thientd@hcmute.edu.vn</v>
          </cell>
          <cell r="M218" t="str">
            <v>01 Bài báo khoa học đăng toàn văn trong kỷ yếu hội nghị, hội thảo có chỉ số ISSN/ISBN
01 Chương trình mô phỏng</v>
          </cell>
          <cell r="N218">
            <v>10000000</v>
          </cell>
          <cell r="O218" t="str">
            <v>Mười triệu đồng</v>
          </cell>
          <cell r="P218" t="str">
            <v>22151158@student.hcmute.edu.vn</v>
          </cell>
          <cell r="Q218" t="str">
            <v>0329764279</v>
          </cell>
        </row>
        <row r="219">
          <cell r="B219" t="str">
            <v>SV2026-228</v>
          </cell>
          <cell r="C219" t="str">
            <v>X</v>
          </cell>
          <cell r="D219" t="str">
            <v>Quản lý trạm sạc xe điện dùng công nghệ IoT</v>
          </cell>
          <cell r="E219" t="str">
            <v>Hồ Minh Quân 23161171</v>
          </cell>
          <cell r="F219" t="str">
            <v xml:space="preserve">Hồ Minh Quân </v>
          </cell>
          <cell r="G219" t="str">
            <v>Điện - Điện tử</v>
          </cell>
          <cell r="H219" t="str">
            <v>23161171</v>
          </cell>
          <cell r="I219" t="str">
            <v>Trần Anh Quân 23161172
Nguyễn Tiến Đức 23161122
Huỳnh Đăng KhôI 23161142</v>
          </cell>
          <cell r="J219" t="str">
            <v>Lê Minh Thành</v>
          </cell>
          <cell r="K219" t="str">
            <v>Khoa Điện - Điện tử</v>
          </cell>
          <cell r="L219" t="str">
            <v>thanhlm@hcmute.edu.vn</v>
          </cell>
          <cell r="M219" t="str">
            <v>Mô hình quản lý hệ thống
Giao diện phần mềm</v>
          </cell>
          <cell r="N219">
            <v>10000000</v>
          </cell>
          <cell r="O219" t="str">
            <v>Mười triệu đồng</v>
          </cell>
          <cell r="P219" t="str">
            <v>23161171@student.hcmute.edu.vn</v>
          </cell>
          <cell r="Q219" t="str">
            <v>0355064427</v>
          </cell>
        </row>
        <row r="220">
          <cell r="B220" t="str">
            <v>SV2026-229</v>
          </cell>
          <cell r="C220" t="str">
            <v>X</v>
          </cell>
          <cell r="D220" t="str">
            <v>Ứng dụng PLC S7-1200 vào hệ thống chăn nuôi heo thông minh</v>
          </cell>
          <cell r="E220" t="str">
            <v>Hồ Thanh Phương 20151545</v>
          </cell>
          <cell r="F220" t="str">
            <v xml:space="preserve">Hồ Thanh Phương </v>
          </cell>
          <cell r="G220" t="str">
            <v>Điện - Điện tử</v>
          </cell>
          <cell r="H220" t="str">
            <v>20151545</v>
          </cell>
          <cell r="I220" t="str">
            <v>Nguyễn Hữu Việt 20151589
Nguyễn Quang Thiện 23161196
Nguyễn Hoàng Tuấn 23151199
Cao Trường An 22151165</v>
          </cell>
          <cell r="J220" t="str">
            <v>Lê Thị Thanh Hoàng</v>
          </cell>
          <cell r="K220" t="str">
            <v>Khoa Điện - Điện tử</v>
          </cell>
          <cell r="L220" t="str">
            <v>hoangltt@hcmute.edu.vn</v>
          </cell>
          <cell r="M220" t="str">
            <v>01 Bài báo khoa học được chấp nhận đăng trên tạp chí quốc tế có chỉ số xuất bản ISSN
0 Chương trình thực nghiệm</v>
          </cell>
          <cell r="N220">
            <v>15000000</v>
          </cell>
          <cell r="O220" t="str">
            <v>Mười lăm triệu đồng</v>
          </cell>
          <cell r="P220" t="str">
            <v>20151545@student.hcmute.edu.vn</v>
          </cell>
          <cell r="Q220" t="str">
            <v>0355944313</v>
          </cell>
        </row>
        <row r="221">
          <cell r="B221" t="str">
            <v>SV2026-230</v>
          </cell>
          <cell r="C221" t="str">
            <v>X</v>
          </cell>
          <cell r="D221" t="str">
            <v>Triển khai thử nghiệm kĩ thuật OTA trên kit nhúng</v>
          </cell>
          <cell r="E221" t="str">
            <v>Hoàng Mạnh Hùng 23139017</v>
          </cell>
          <cell r="F221" t="str">
            <v xml:space="preserve">Hoàng Mạnh Hùng </v>
          </cell>
          <cell r="G221" t="str">
            <v>Điện - Điện tử</v>
          </cell>
          <cell r="H221" t="str">
            <v>23139017</v>
          </cell>
          <cell r="I221" t="str">
            <v>Phan Khắc Hùng 23139018
Nguyễn Trương Minh Quân 23139036
Lê Nguyễn Phú Tài 23119201</v>
          </cell>
          <cell r="J221" t="str">
            <v>Huỳnh Thị Thu Hiền</v>
          </cell>
          <cell r="K221" t="str">
            <v>Khoa Điện - Điện tử</v>
          </cell>
          <cell r="L221" t="str">
            <v>hienhtthu@hcmute.edu.vn</v>
          </cell>
          <cell r="M221" t="str">
            <v>01 Mô hình thử nghiệm cập nhật firmware qua mạng (OTA) trên kit nhúng
01 Báo cáo tổng kết</v>
          </cell>
          <cell r="N221">
            <v>10000000</v>
          </cell>
          <cell r="O221" t="str">
            <v>Mười triệu đồng</v>
          </cell>
          <cell r="P221" t="str">
            <v>23139017@student.hcmute.edu.vn</v>
          </cell>
          <cell r="Q221" t="str">
            <v>0376673717</v>
          </cell>
        </row>
        <row r="222">
          <cell r="B222" t="str">
            <v>SV2026-231</v>
          </cell>
          <cell r="C222" t="str">
            <v>X</v>
          </cell>
          <cell r="D222" t="str">
            <v>Thiết kế, kết nối và vận hành mô hình hệ thống phân loại sản phẩm và lưu kho tự động theo mã QR code</v>
          </cell>
          <cell r="E222" t="str">
            <v>Huỳnh Anh Tuấn 23651033</v>
          </cell>
          <cell r="F222" t="str">
            <v xml:space="preserve">Huỳnh Anh Tuấn </v>
          </cell>
          <cell r="G222" t="str">
            <v>Điện - Điện tử</v>
          </cell>
          <cell r="H222" t="str">
            <v>23651033</v>
          </cell>
          <cell r="I222" t="str">
            <v>Lương Quang Minh 23851018
Lý Minh Khang 23151120
Đỗ Nguyễn Phương Thảo 22124111
Ngô Gia Huy 22151017</v>
          </cell>
          <cell r="J222" t="str">
            <v>Nguyễn Phong Lưu</v>
          </cell>
          <cell r="K222" t="str">
            <v>Khoa Điện - Điện tử</v>
          </cell>
          <cell r="L222" t="str">
            <v>luunp@hcmute.edu.vn</v>
          </cell>
          <cell r="M222" t="str">
            <v>02 Bài báo khoa học được chấp nhận đăng trên tạp chí quốc tế có chỉ số xuất bản ISSN
01 Chương trình thực nghiệm</v>
          </cell>
          <cell r="N222">
            <v>25000000</v>
          </cell>
          <cell r="O222" t="str">
            <v>Hai mươi lăm triệu đồng</v>
          </cell>
          <cell r="P222" t="str">
            <v>23651033@student.hcmute.edu.vn</v>
          </cell>
          <cell r="Q222" t="str">
            <v>0349347647</v>
          </cell>
        </row>
        <row r="223">
          <cell r="B223" t="str">
            <v>SV2026-232</v>
          </cell>
          <cell r="C223" t="str">
            <v>X</v>
          </cell>
          <cell r="D223" t="str">
            <v>Thiết kế hệ thống quản lý năng lượng mặt trời cho tòa nhà</v>
          </cell>
          <cell r="E223" t="str">
            <v>Huỳnh Nhật Tân 23142203</v>
          </cell>
          <cell r="F223" t="str">
            <v xml:space="preserve">Huỳnh Nhật Tân </v>
          </cell>
          <cell r="G223" t="str">
            <v>Điện - Điện tử</v>
          </cell>
          <cell r="H223" t="str">
            <v>23142203</v>
          </cell>
          <cell r="I223" t="str">
            <v>Nguyễn Thanh Thành Đạt 23142108
Hồ Hoàng Phát 23142173
Lê Minh Sơn 23142199
Lê Phạm Minh Thắng 23142210</v>
          </cell>
          <cell r="J223" t="str">
            <v>Nguyễn Phan Thanh</v>
          </cell>
          <cell r="K223" t="str">
            <v>Khoa Điện - Điện tử</v>
          </cell>
          <cell r="L223" t="str">
            <v>thanhnp@hcmute.edu.vn</v>
          </cell>
          <cell r="M223" t="str">
            <v>01 Báo cáo tổng kết</v>
          </cell>
          <cell r="N223">
            <v>5000000</v>
          </cell>
          <cell r="O223" t="str">
            <v>Năm triệu đồng</v>
          </cell>
          <cell r="P223" t="str">
            <v>23142203@student.hcmute.edu.vn</v>
          </cell>
          <cell r="Q223" t="str">
            <v>0367727103</v>
          </cell>
        </row>
        <row r="224">
          <cell r="B224" t="str">
            <v>SV2026-234</v>
          </cell>
          <cell r="C224" t="str">
            <v>X</v>
          </cell>
          <cell r="D224" t="str">
            <v>Thiết kế thi công tủ thuốc thông minh cho người lớn tuổi</v>
          </cell>
          <cell r="E224" t="str">
            <v>Huỳnh Thế Vinh 22161336</v>
          </cell>
          <cell r="F224" t="str">
            <v xml:space="preserve">Huỳnh Thế Vinh </v>
          </cell>
          <cell r="G224" t="str">
            <v>Điện - Điện tử</v>
          </cell>
          <cell r="H224" t="str">
            <v>22161336</v>
          </cell>
          <cell r="I224" t="str">
            <v>Huỳnh Nguyễn Trọng Phúc 22161304</v>
          </cell>
          <cell r="J224" t="str">
            <v>Nguyễn Văn Hiệp</v>
          </cell>
          <cell r="K224" t="str">
            <v>Khoa Điện - Điện tử</v>
          </cell>
          <cell r="L224" t="str">
            <v>hiepspkt@hcmute.edu.vn</v>
          </cell>
          <cell r="M224" t="str">
            <v>01 Mô hình tủ thuốc thông minh
01 Báo cáo nghiên cứu khoa học</v>
          </cell>
          <cell r="N224">
            <v>10000000</v>
          </cell>
          <cell r="O224" t="str">
            <v>Mười triệu đồng</v>
          </cell>
          <cell r="P224" t="str">
            <v>thevinh0811.2004@gmail.com</v>
          </cell>
          <cell r="Q224" t="str">
            <v>0789525924</v>
          </cell>
        </row>
        <row r="225">
          <cell r="B225" t="str">
            <v>SV2026-235</v>
          </cell>
          <cell r="C225" t="str">
            <v>X</v>
          </cell>
          <cell r="D225" t="str">
            <v>Phát triển cánh tay Robot 5 bậc tự do tích hợp với phân loại sản phẩm dựa trên YOLO trên nền tảng ROS2</v>
          </cell>
          <cell r="E225" t="str">
            <v>Lại Đức Thuật 22151152</v>
          </cell>
          <cell r="F225" t="str">
            <v xml:space="preserve">Lại Đức Thuật </v>
          </cell>
          <cell r="G225" t="str">
            <v>Điện - Điện tử</v>
          </cell>
          <cell r="H225" t="str">
            <v>22151152</v>
          </cell>
          <cell r="I225" t="str">
            <v>Nguyễn Văn Vinh 22151161</v>
          </cell>
          <cell r="J225" t="str">
            <v>Phùng Sơn Thanh</v>
          </cell>
          <cell r="K225" t="str">
            <v>Khoa Điện - Điện tử</v>
          </cell>
          <cell r="L225" t="str">
            <v>thanhps@hcmute.edu.vn</v>
          </cell>
          <cell r="M225" t="str">
            <v>01 Bài báo đăng trên hội thảo quốc tế có chỉ số xuất bản ISBN/ISSN
01 Báo cáo tổng kết</v>
          </cell>
          <cell r="N225">
            <v>10000000</v>
          </cell>
          <cell r="O225" t="str">
            <v>Mười triệu đồng</v>
          </cell>
          <cell r="P225" t="str">
            <v>22151152@student.hcmute.edu.vn</v>
          </cell>
          <cell r="Q225" t="str">
            <v>0382630431</v>
          </cell>
        </row>
        <row r="226">
          <cell r="B226" t="str">
            <v>SV2026-236</v>
          </cell>
          <cell r="C226" t="str">
            <v>X</v>
          </cell>
          <cell r="D226" t="str">
            <v>Thiết kế bộ điều khiển Backstepping bám quỹ đạo cho hệ con lắc ngược trên xe</v>
          </cell>
          <cell r="E226" t="str">
            <v>Lê Hoàng Linh 20151391</v>
          </cell>
          <cell r="F226" t="str">
            <v xml:space="preserve">Lê Hoàng Linh </v>
          </cell>
          <cell r="G226" t="str">
            <v>Điện - Điện tử</v>
          </cell>
          <cell r="H226" t="str">
            <v>20151391</v>
          </cell>
          <cell r="I226" t="str">
            <v>Nguyễn Quang Thiện 23161196
Đặng Phạm Thanh Tuấn 22151156
Ma Nguyễn Viên Mãn 22151113
Quách Văn Anh 23151048</v>
          </cell>
          <cell r="J226" t="str">
            <v>Lê Thị Hồng Lam</v>
          </cell>
          <cell r="K226" t="str">
            <v>Khoa Điện - Điện tử</v>
          </cell>
          <cell r="L226" t="str">
            <v>lamlth@hcmute.edu.vn</v>
          </cell>
          <cell r="M226" t="str">
            <v>02 Bài báo được chấp nhận đăng trên tạp chí quốc tế khác viết bằng tiếng Anh có chỉ số ISSN
01 Chương trình mô phỏng
01 Chương trình nhúng thực nghiệm</v>
          </cell>
          <cell r="N226">
            <v>25000000</v>
          </cell>
          <cell r="O226" t="str">
            <v>Hai mươi lăm triệu đồng</v>
          </cell>
          <cell r="P226" t="str">
            <v xml:space="preserve">20151391@student.hcmute.edu.vn </v>
          </cell>
          <cell r="Q226" t="str">
            <v>0365965019</v>
          </cell>
        </row>
        <row r="227">
          <cell r="B227" t="str">
            <v>SV2026-237</v>
          </cell>
          <cell r="C227"/>
          <cell r="D227" t="str">
            <v>Xây dựng hệ thống nhận dạng drone bằng xử lý ảnh và IoT để lưu trữ hình ảnh</v>
          </cell>
          <cell r="E227" t="str">
            <v>Lê Hữu Lộc 23161148</v>
          </cell>
          <cell r="F227" t="str">
            <v xml:space="preserve">Lê Hữu Lộc </v>
          </cell>
          <cell r="G227" t="str">
            <v>Điện - Điện tử</v>
          </cell>
          <cell r="H227" t="str">
            <v>23161148</v>
          </cell>
          <cell r="I227" t="str">
            <v>Mai Tuấn Anh 23161093
Hồ Gia Bảo 23161099
Võ Gia Bảo 23161102
Phan Canh Phương Nam 23161157</v>
          </cell>
          <cell r="J227" t="str">
            <v>Nguyễn Ngô Lâm</v>
          </cell>
          <cell r="K227" t="str">
            <v>Khoa Điện - Điện tử</v>
          </cell>
          <cell r="L227" t="str">
            <v>lamnn@hcmute.edu.vn</v>
          </cell>
          <cell r="M227" t="str">
            <v>01 Hệ thống phát hiện và cảnh báo drone 
01 Bản báo cáo tổng kết</v>
          </cell>
          <cell r="N227">
            <v>10000000</v>
          </cell>
          <cell r="O227" t="str">
            <v>Mười triệu đồng</v>
          </cell>
          <cell r="P227" t="str">
            <v>23161148@student.hcmute.edu.vn</v>
          </cell>
          <cell r="Q227" t="str">
            <v>0765353887</v>
          </cell>
        </row>
        <row r="228">
          <cell r="B228" t="str">
            <v>SV2026-238</v>
          </cell>
          <cell r="C228" t="str">
            <v>X</v>
          </cell>
          <cell r="D228" t="str">
            <v>Triển khai và kiểm chứng thời gian thực thuật toán MPPT cho hệ thống PV/Battery trên nền tảng mô phỏng Hardware-In-the-Loop</v>
          </cell>
          <cell r="E228" t="str">
            <v>Nguyễn Duy Linh 23161146</v>
          </cell>
          <cell r="F228" t="str">
            <v xml:space="preserve">Nguyễn Duy Linh </v>
          </cell>
          <cell r="G228" t="str">
            <v>Điện - Điện tử</v>
          </cell>
          <cell r="H228" t="str">
            <v>23161146</v>
          </cell>
          <cell r="I228" t="str">
            <v>Đỗ Trần Anh Dũng 23161115
Trần Khả Hiệp 23161124
Lê Trần Tiến Minh 23161152</v>
          </cell>
          <cell r="J228" t="str">
            <v>Phạm Hữu Thái</v>
          </cell>
          <cell r="K228" t="str">
            <v>Khoa Điện - Điện tử</v>
          </cell>
          <cell r="L228" t="str">
            <v>thaiph@hcmute.edu.vn</v>
          </cell>
          <cell r="M228" t="str">
            <v>01 Bài báo khoa học đăng toàn văn trong kỷ yếu hội nghị, hội thảo có chỉ số ISSN/ISBN
01 Báo cáo tổng kết</v>
          </cell>
          <cell r="N228">
            <v>10000000</v>
          </cell>
          <cell r="O228" t="str">
            <v>Mười triệu đồng</v>
          </cell>
          <cell r="P228" t="str">
            <v>23161146@student.hcmute.edu.vn
23161152@student.hcmute.edu.vn</v>
          </cell>
          <cell r="Q228" t="str">
            <v>0349120157
0901570154</v>
          </cell>
        </row>
        <row r="229">
          <cell r="B229" t="str">
            <v>SV2026-239</v>
          </cell>
          <cell r="C229" t="str">
            <v>X</v>
          </cell>
          <cell r="D229" t="str">
            <v>Thiết kế và thi công công tắc điện thông minh</v>
          </cell>
          <cell r="E229" t="str">
            <v>Lê Trung Huy 23161125</v>
          </cell>
          <cell r="F229" t="str">
            <v xml:space="preserve">Lê Trung Huy </v>
          </cell>
          <cell r="G229" t="str">
            <v>Điện - Điện tử</v>
          </cell>
          <cell r="H229" t="str">
            <v>23161125</v>
          </cell>
          <cell r="I229" t="str">
            <v>Nguyễn Quang Huy 23161126
Trần Tiến Tài 23161183
Phan Minh Khoa 23161141
Phùng Thị Bảo Trâm 23161201</v>
          </cell>
          <cell r="J229" t="str">
            <v>Nguyễn Văn Phúc</v>
          </cell>
          <cell r="K229" t="str">
            <v>Khoa Điện - Điện tử</v>
          </cell>
          <cell r="L229" t="str">
            <v>phucnv@hcmute.edu.vn</v>
          </cell>
          <cell r="M229" t="str">
            <v xml:space="preserve">01 Mô hình công tắc điện thông minh 
01 Báo cáo tổng kết </v>
          </cell>
          <cell r="N229">
            <v>10000000</v>
          </cell>
          <cell r="O229" t="str">
            <v>Mười triệu đồng</v>
          </cell>
          <cell r="P229" t="str">
            <v>trunghuyle27@gmail.com</v>
          </cell>
          <cell r="Q229" t="str">
            <v>0919022005</v>
          </cell>
        </row>
        <row r="230">
          <cell r="B230" t="str">
            <v>SV2026-240</v>
          </cell>
          <cell r="C230" t="str">
            <v>X</v>
          </cell>
          <cell r="D230" t="str">
            <v>Hệ thống chiết rót nước và đóng nắp chai tự động</v>
          </cell>
          <cell r="E230" t="str">
            <v>Lê Văn An 23851010</v>
          </cell>
          <cell r="F230" t="str">
            <v xml:space="preserve">Lê Văn An </v>
          </cell>
          <cell r="G230" t="str">
            <v>Điện - Điện tử</v>
          </cell>
          <cell r="H230" t="str">
            <v>23851010</v>
          </cell>
          <cell r="I230" t="str">
            <v>Nguyễn Thành Nguyên Khang 23851016
Lê Đăng Khoa 23151129
Phạm Hữu Phúc 23147165
Nguyễn Quang Thiện 23161196</v>
          </cell>
          <cell r="J230" t="str">
            <v>Nguyễn Minh Tâm</v>
          </cell>
          <cell r="K230" t="str">
            <v>Khoa Điện - Điện tử</v>
          </cell>
          <cell r="L230" t="str">
            <v>tamnm@hcmute.edu.vn</v>
          </cell>
          <cell r="M230" t="str">
            <v>01 Bài báo khoa học được chấp nhận đăng trên tạp chí quốc tế có chỉ số xuất bản ISSN
01 Chương trình thực nghiệm</v>
          </cell>
          <cell r="N230">
            <v>15000000</v>
          </cell>
          <cell r="O230" t="str">
            <v>Mười lăm triệu đồng</v>
          </cell>
          <cell r="P230" t="str">
            <v xml:space="preserve">23851010@student.hcmute.edu.vn </v>
          </cell>
          <cell r="Q230" t="str">
            <v>0359050430</v>
          </cell>
        </row>
        <row r="231">
          <cell r="B231" t="str">
            <v>SV2026-241</v>
          </cell>
          <cell r="C231" t="str">
            <v>X</v>
          </cell>
          <cell r="D231" t="str">
            <v>Thiết kế hệ thống báo cháy cho xe điện</v>
          </cell>
          <cell r="E231" t="str">
            <v>Lê Văn Đức 23161121</v>
          </cell>
          <cell r="F231" t="str">
            <v xml:space="preserve">Lê Văn Đức </v>
          </cell>
          <cell r="G231" t="str">
            <v>Điện - Điện tử</v>
          </cell>
          <cell r="H231" t="str">
            <v>23161121</v>
          </cell>
          <cell r="I231" t="str">
            <v>Nguyễn Hoàng Minh Duy 23161113
Bùi Lê Đình 23161119</v>
          </cell>
          <cell r="J231" t="str">
            <v>Lê Minh Thành</v>
          </cell>
          <cell r="K231" t="str">
            <v>Khoa Điện - Điện tử</v>
          </cell>
          <cell r="L231" t="str">
            <v>thanhlm@hcmute.edu.vn</v>
          </cell>
          <cell r="M231" t="str">
            <v>01 mô hình Hệ thống báo cháy cho xe điện</v>
          </cell>
          <cell r="N231">
            <v>10000000</v>
          </cell>
          <cell r="O231" t="str">
            <v>Mười triệu đồng</v>
          </cell>
          <cell r="P231" t="str">
            <v>levanduc3421@gmail.com</v>
          </cell>
          <cell r="Q231" t="str">
            <v>0969520100</v>
          </cell>
        </row>
        <row r="232">
          <cell r="B232" t="str">
            <v>SV2026-242</v>
          </cell>
          <cell r="C232" t="str">
            <v>X</v>
          </cell>
          <cell r="D232" t="str">
            <v>Thiết kế và vận hành hệ thống kiểm tra và phân loại linh kiện trên bo mạch dựa trên xử lí ảnh</v>
          </cell>
          <cell r="E232" t="str">
            <v>Phan Trường Nguyên 22851016</v>
          </cell>
          <cell r="F232" t="str">
            <v xml:space="preserve">Phan Trường Nguyên </v>
          </cell>
          <cell r="G232" t="str">
            <v>Điện - Điện tử</v>
          </cell>
          <cell r="H232" t="str">
            <v>22851016</v>
          </cell>
          <cell r="I232" t="str">
            <v>Thân Hoàng Thái Bảo 23151053
Nguyễn Minh Đức 23143119
Nguyễn Quang Thiện 23161196
Trần Ngọc Vũ 23151209</v>
          </cell>
          <cell r="J232" t="str">
            <v>Nguyễn Văn Đông Hải</v>
          </cell>
          <cell r="K232" t="str">
            <v>Khoa Điện - Điện tử</v>
          </cell>
          <cell r="L232" t="str">
            <v>hainvd@hcmute.edu.vn</v>
          </cell>
          <cell r="M232" t="str">
            <v>02 Bài báo được chấp nhận đăng trên tạp chí quốc tế viết bằng tiếng Anh, có phản biện, có chỉ số ISSN
01 Chương trình phần mềm xử lí ảnh
01 Chương trình phần mềm nhúng thực nghiệm</v>
          </cell>
          <cell r="N232">
            <v>25000000</v>
          </cell>
          <cell r="O232" t="str">
            <v>Hai mươi lăm triệu đồng</v>
          </cell>
          <cell r="P232" t="str">
            <v xml:space="preserve">22851016@student.hcmute.edu.vn </v>
          </cell>
          <cell r="Q232" t="str">
            <v>0356467829</v>
          </cell>
        </row>
        <row r="233">
          <cell r="B233" t="str">
            <v>SV2026-243</v>
          </cell>
          <cell r="C233"/>
          <cell r="D233" t="str">
            <v>Nghiên cứu phương pháp quản lý năng lượng tối ưu cho xe điện chạy bằng pin nhiên liệu hydrogen (FCEV)</v>
          </cell>
          <cell r="E233" t="str">
            <v>Lưu Công Thành 23151175</v>
          </cell>
          <cell r="F233" t="str">
            <v xml:space="preserve">Lưu Công Thành </v>
          </cell>
          <cell r="G233" t="str">
            <v>Điện - Điện tử</v>
          </cell>
          <cell r="H233" t="str">
            <v>23151175</v>
          </cell>
          <cell r="I233" t="str">
            <v>Đông Minh Hoàng 23151099
Nguyễn Lê Đức Hoàng 23151091</v>
          </cell>
          <cell r="J233" t="str">
            <v>Trịnh Hoài Ân</v>
          </cell>
          <cell r="K233" t="str">
            <v>Khoa Điện - Điện tử</v>
          </cell>
          <cell r="L233" t="str">
            <v>anth@hcmute.edu.vn</v>
          </cell>
          <cell r="M233" t="str">
            <v>01 Bài báo khoa học đăng toàn văn trong kỷ yếu hội nghị, hội thảo có chỉ số ISSN/ISBN
01 Báo cáo tổng kết</v>
          </cell>
          <cell r="N233">
            <v>10000000</v>
          </cell>
          <cell r="O233" t="str">
            <v>Mười triệu đồng</v>
          </cell>
          <cell r="P233" t="str">
            <v>23151175@student.hcmute.edu.vn</v>
          </cell>
          <cell r="Q233" t="str">
            <v>0827060880</v>
          </cell>
        </row>
        <row r="234">
          <cell r="B234" t="str">
            <v>SV2026-244</v>
          </cell>
          <cell r="C234" t="str">
            <v>X</v>
          </cell>
          <cell r="D234" t="str">
            <v>Thiết kế xe tự hành theo lộ trình định trước</v>
          </cell>
          <cell r="E234" t="str">
            <v>Lý Chí Kiện 22161145</v>
          </cell>
          <cell r="F234" t="str">
            <v xml:space="preserve">Lý Chí Kiện </v>
          </cell>
          <cell r="G234" t="str">
            <v>Điện - Điện tử</v>
          </cell>
          <cell r="H234" t="str">
            <v>22161145</v>
          </cell>
          <cell r="I234" t="str">
            <v>Võ Quang Triết 22161197
Trần Minh Nguyệt 22161161
Nguyễn Thị Phương Lan 22161147
Phạm Đăng Khoa 22161139</v>
          </cell>
          <cell r="J234" t="str">
            <v>Nguyễn Văn Phúc</v>
          </cell>
          <cell r="K234" t="str">
            <v>Khoa Điện - Điện tử</v>
          </cell>
          <cell r="L234" t="str">
            <v>phucnv@hcmute.edu.vn</v>
          </cell>
          <cell r="M234" t="str">
            <v xml:space="preserve">01 Mô hình xe tự hành theo lộ trình định trước
01 Báo cáo tổng kết </v>
          </cell>
          <cell r="N234">
            <v>10000000</v>
          </cell>
          <cell r="O234" t="str">
            <v>Mười triệu đồng</v>
          </cell>
          <cell r="P234" t="str">
            <v>22161145@student.hcmute.edu.vn</v>
          </cell>
          <cell r="Q234" t="str">
            <v>0944215709</v>
          </cell>
        </row>
        <row r="235">
          <cell r="B235" t="str">
            <v>SV2026-245</v>
          </cell>
          <cell r="C235" t="str">
            <v>X</v>
          </cell>
          <cell r="D235" t="str">
            <v>Phát triển mô hình robot di động chăm sóc người bệnh ứng dụng trí tuệ nhân tạo</v>
          </cell>
          <cell r="E235" t="str">
            <v>Mai Nhật Nam 22151118</v>
          </cell>
          <cell r="F235" t="str">
            <v xml:space="preserve">Mai Nhật Nam </v>
          </cell>
          <cell r="G235" t="str">
            <v>Điện - Điện tử</v>
          </cell>
          <cell r="H235" t="str">
            <v>22151118</v>
          </cell>
          <cell r="I235" t="str">
            <v>Nguyễn Tấn Dũng 22151065
Đặng Minh Hoàng 22151086
Phạm Lê Huy Trực 22151155</v>
          </cell>
          <cell r="J235" t="str">
            <v>Dương Minh Thiện</v>
          </cell>
          <cell r="K235" t="str">
            <v>Khoa Điện - Điện tử</v>
          </cell>
          <cell r="L235" t="str">
            <v>minhthien@hcmute.edu.vn</v>
          </cell>
          <cell r="M235" t="str">
            <v>01 Bài báo đăng trên hội thảo quốc tế có chỉ số xuất bản ISBN/ISSN
01 Báo cáo tổng kết</v>
          </cell>
          <cell r="N235">
            <v>10000000</v>
          </cell>
          <cell r="O235" t="str">
            <v>Mười triệu đồng</v>
          </cell>
          <cell r="P235" t="str">
            <v xml:space="preserve">22151118@student.hcmute.edu.vn  </v>
          </cell>
          <cell r="Q235" t="str">
            <v>0772800148</v>
          </cell>
        </row>
        <row r="236">
          <cell r="B236" t="str">
            <v>SV2026-246</v>
          </cell>
          <cell r="C236" t="str">
            <v>X</v>
          </cell>
          <cell r="D236" t="str">
            <v>Thiết kế mô hình giám sát động cơ dc sử dụng công nghệ song sinh kỹ thuật số (Digital Twin)</v>
          </cell>
          <cell r="E236" t="str">
            <v>Mai Văn Hưng 23151116</v>
          </cell>
          <cell r="F236" t="str">
            <v xml:space="preserve">Mai Văn Hưng </v>
          </cell>
          <cell r="G236" t="str">
            <v>Điện - Điện tử</v>
          </cell>
          <cell r="H236" t="str">
            <v>23151116</v>
          </cell>
          <cell r="I236" t="str">
            <v>Nguyễn Quang Huy 23151104
Nguyễn Tuấn Kiệt 23151133
Nguyễn Thanh Sang 23151168
Nguyễn Đặng Vũ Hoàng 23151090</v>
          </cell>
          <cell r="J236" t="str">
            <v>Trịnh Hoài Ân</v>
          </cell>
          <cell r="K236" t="str">
            <v>Khoa Điện - Điện tử</v>
          </cell>
          <cell r="L236" t="str">
            <v>anth@hcmute.edu.vn</v>
          </cell>
          <cell r="M236" t="str">
            <v>01 Bài báo KH đăng trên tạp chí trong nước trong danh mục của HĐ GSNN tính từ 0,5 điểm trở lên; hoặc bài báo đăng trên tạp chí quốc tế có chỉ số xuất bản ISSN
01 Báo cáo tổng kết</v>
          </cell>
          <cell r="N236">
            <v>15000000</v>
          </cell>
          <cell r="O236" t="str">
            <v>Mười lăm triệu đồng</v>
          </cell>
          <cell r="P236" t="str">
            <v>23151116@student.hcmute.edu.vn</v>
          </cell>
          <cell r="Q236" t="str">
            <v>0913942604</v>
          </cell>
        </row>
        <row r="237">
          <cell r="B237" t="str">
            <v>SV2026-247</v>
          </cell>
          <cell r="C237" t="str">
            <v>X</v>
          </cell>
          <cell r="D237" t="str">
            <v>Triển khai quy trình build Linux nhúng trên nền tảng ARM từ U-boot đến rootfs</v>
          </cell>
          <cell r="E237" t="str">
            <v>Ngô Bốc Đô 22119060</v>
          </cell>
          <cell r="F237" t="str">
            <v xml:space="preserve">Ngô Bốc Đô </v>
          </cell>
          <cell r="G237" t="str">
            <v>Điện - Điện tử</v>
          </cell>
          <cell r="H237" t="str">
            <v>22119060</v>
          </cell>
          <cell r="I237" t="str">
            <v>Trần Châu Minh Đăng 22119059
Phạm Hoàng Duy 22119052
Hoàng Mạnh Hùng 23139017</v>
          </cell>
          <cell r="J237" t="str">
            <v>Huỳnh Thị Thu Hiền</v>
          </cell>
          <cell r="K237" t="str">
            <v>Khoa Điện - Điện tử</v>
          </cell>
          <cell r="L237" t="str">
            <v>hienhtthu@hcmute.edu.vn</v>
          </cell>
          <cell r="M237" t="str">
            <v>Kit nhúng U-Boot, kernel
Báo cáo tổng kết</v>
          </cell>
          <cell r="N237">
            <v>10000000</v>
          </cell>
          <cell r="O237" t="str">
            <v>Mười triệu đồng</v>
          </cell>
          <cell r="P237" t="str">
            <v>22119060@student.hcmute.edu.vn</v>
          </cell>
          <cell r="Q237" t="str">
            <v>0945715767</v>
          </cell>
        </row>
        <row r="238">
          <cell r="B238" t="str">
            <v>SV2026-248</v>
          </cell>
          <cell r="C238" t="str">
            <v>X</v>
          </cell>
          <cell r="D238" t="str">
            <v>Hệ thống phân loại sản phẩm và đóng gói</v>
          </cell>
          <cell r="E238" t="str">
            <v>Ngô Khả Vy 21151189</v>
          </cell>
          <cell r="F238" t="str">
            <v xml:space="preserve">Ngô Khả Vy </v>
          </cell>
          <cell r="G238" t="str">
            <v>Điện - Điện tử</v>
          </cell>
          <cell r="H238" t="str">
            <v>21151189</v>
          </cell>
          <cell r="I238" t="str">
            <v>Phan Hiển Đạt 21151092
Phạm Anh Kha 23151118
Phạm Hoàng Khang 23151121
Phan Hùng Lĩnh 23151137</v>
          </cell>
          <cell r="J238" t="str">
            <v>Nguyễn Tử Đức</v>
          </cell>
          <cell r="K238" t="str">
            <v>Khoa Điện - Điện tử</v>
          </cell>
          <cell r="L238" t="str">
            <v>ducnt@hcmute.edu.vn</v>
          </cell>
          <cell r="M238" t="str">
            <v>01 Bài báo khoa học được chấp nhận đăng trên tạp chí quốc tế có chỉ số xuất bản ISSN
01 Chương trình thực nghiệm</v>
          </cell>
          <cell r="N238">
            <v>15000000</v>
          </cell>
          <cell r="O238" t="str">
            <v>Mười lăm triệu đồng</v>
          </cell>
          <cell r="P238" t="str">
            <v xml:space="preserve">21151189@student.hcmute.edu.vn </v>
          </cell>
          <cell r="Q238" t="str">
            <v>0942022507</v>
          </cell>
        </row>
        <row r="239">
          <cell r="B239" t="str">
            <v>SV2026-249</v>
          </cell>
          <cell r="C239"/>
          <cell r="D239" t="str">
            <v>Tối ưu hoá thông lượng trong mạng viễn thông bằng NOMA kết hợp RIS</v>
          </cell>
          <cell r="E239" t="str">
            <v>Ngô Phạm Quốc Anh 23161003</v>
          </cell>
          <cell r="F239" t="str">
            <v xml:space="preserve">Ngô Phạm Quốc Anh </v>
          </cell>
          <cell r="G239" t="str">
            <v>Điện - Điện tử</v>
          </cell>
          <cell r="H239" t="str">
            <v>23161003</v>
          </cell>
          <cell r="I239">
            <v>0</v>
          </cell>
          <cell r="J239" t="str">
            <v>Lê Minh Thành</v>
          </cell>
          <cell r="K239" t="str">
            <v>Khoa Điện - Điện tử</v>
          </cell>
          <cell r="L239" t="str">
            <v>thanhlm@hcmute.edu.vn</v>
          </cell>
          <cell r="M239" t="str">
            <v>Mô hình mô phỏng trên MATLAB</v>
          </cell>
          <cell r="N239">
            <v>5000000</v>
          </cell>
          <cell r="O239" t="str">
            <v>Năm triệu đồng</v>
          </cell>
          <cell r="P239" t="str">
            <v>ngophamquocanh720@gmail.com</v>
          </cell>
          <cell r="Q239" t="str">
            <v>0932763348</v>
          </cell>
        </row>
        <row r="240">
          <cell r="B240" t="str">
            <v>SV2026-250</v>
          </cell>
          <cell r="C240" t="str">
            <v>X</v>
          </cell>
          <cell r="D240" t="str">
            <v>Tối ưu hóa điều khiển cánh tay robot SCARA 2-DOF thông qua các chiến lược tiếp cận PD-Fuzzy, SMC-PID và Mạng nơ-ron</v>
          </cell>
          <cell r="E240" t="str">
            <v>Ngô Quang Hải 23151242</v>
          </cell>
          <cell r="F240" t="str">
            <v xml:space="preserve">Ngô Quang Hải </v>
          </cell>
          <cell r="G240" t="str">
            <v>Điện - Điện tử</v>
          </cell>
          <cell r="H240" t="str">
            <v>23151242</v>
          </cell>
          <cell r="I240" t="str">
            <v>Nguyễn Phú Tủy 23151333
Trần Quốc Thái 23151312
Nguyễn Văn Tấn Đạt 23151234</v>
          </cell>
          <cell r="J240" t="str">
            <v>Nguyễn Tử Đức</v>
          </cell>
          <cell r="K240" t="str">
            <v>Khoa Điện - Điện tử</v>
          </cell>
          <cell r="L240" t="str">
            <v>ducnt@hcmute.edu.vn</v>
          </cell>
          <cell r="M240" t="str">
            <v xml:space="preserve">01 Mô hình thực tế robot SCARA 2-DOF
01 Báo cáo phân tích </v>
          </cell>
          <cell r="N240">
            <v>10000000</v>
          </cell>
          <cell r="O240" t="str">
            <v>Mười triệu đồng</v>
          </cell>
          <cell r="P240" t="str">
            <v>23151242@student.hcmute.edu.vn</v>
          </cell>
          <cell r="Q240" t="str">
            <v>0963640253</v>
          </cell>
        </row>
        <row r="241">
          <cell r="B241" t="str">
            <v>SV2026-252</v>
          </cell>
          <cell r="C241" t="str">
            <v>X</v>
          </cell>
          <cell r="D241" t="str">
            <v>Xây dựng và kiểm thử hệ thống vi xử lý MIPS trên nền tảng FPGA</v>
          </cell>
          <cell r="E241" t="str">
            <v>Nguyễn Chí Tài 22119127</v>
          </cell>
          <cell r="F241" t="str">
            <v xml:space="preserve">Nguyễn Chí Tài </v>
          </cell>
          <cell r="G241" t="str">
            <v>Điện - Điện tử</v>
          </cell>
          <cell r="H241" t="str">
            <v>22119127</v>
          </cell>
          <cell r="I241" t="str">
            <v>Lương Bảo Thuận 22119138
Phùng Gia Huy 23161270
Lê Vĩnh Hà 22119062</v>
          </cell>
          <cell r="J241" t="str">
            <v>Trần Thị Quỳnh Như</v>
          </cell>
          <cell r="K241" t="str">
            <v>Khoa Điện - Điện tử</v>
          </cell>
          <cell r="L241" t="str">
            <v>nhuttq@hcmute.edu.vn</v>
          </cell>
          <cell r="M241" t="str">
            <v>01 Hệ thống vi xử lý MIPS trên FPGA
01 Báo cáo tổng kết</v>
          </cell>
          <cell r="N241">
            <v>10000000</v>
          </cell>
          <cell r="O241" t="str">
            <v>Mười triệu đồng</v>
          </cell>
          <cell r="P241" t="str">
            <v>22119127@student.hcmute.edu.vn</v>
          </cell>
          <cell r="Q241" t="str">
            <v>0369663445</v>
          </cell>
        </row>
        <row r="242">
          <cell r="B242" t="str">
            <v>SV2026-253</v>
          </cell>
          <cell r="C242" t="str">
            <v>X</v>
          </cell>
          <cell r="D242" t="str">
            <v>Xây dựng hệ thống quản lý ra vào thông minh cho nhà xưởng</v>
          </cell>
          <cell r="E242" t="str">
            <v>Nguyễn Công Nhật Minh 22161153</v>
          </cell>
          <cell r="F242" t="str">
            <v xml:space="preserve">Nguyễn Công Nhật Minh </v>
          </cell>
          <cell r="G242" t="str">
            <v>Điện - Điện tử</v>
          </cell>
          <cell r="H242" t="str">
            <v>22161153</v>
          </cell>
          <cell r="I242" t="str">
            <v>Nguyễn Hoàng Phát 22161163
Hoàng Thiên Ân 22161089
Lê Bình An 22161087</v>
          </cell>
          <cell r="J242" t="str">
            <v>Trương Quang Phúc</v>
          </cell>
          <cell r="K242" t="str">
            <v>Khoa Điện - Điện tử</v>
          </cell>
          <cell r="L242" t="str">
            <v>phuctq@hcmute.edu.vn</v>
          </cell>
          <cell r="M242" t="str">
            <v>01 Mô hình có chức năng ghi lại lịch sử ra vào và điều khiển được thiết bị từ xa
01 Báo cáo tổng kết</v>
          </cell>
          <cell r="N242">
            <v>10000000</v>
          </cell>
          <cell r="O242" t="str">
            <v>Mười triệu đồng</v>
          </cell>
          <cell r="P242" t="str">
            <v>nhatminh10a20@gmail.com</v>
          </cell>
          <cell r="Q242" t="str">
            <v>0787787328</v>
          </cell>
        </row>
        <row r="243">
          <cell r="B243" t="str">
            <v>SV2026-254</v>
          </cell>
          <cell r="C243" t="str">
            <v>X</v>
          </cell>
          <cell r="D243" t="str">
            <v xml:space="preserve">Thiết kế mô hình mặt nạ điều trị bệnh da liễu sử dụng trí tuệ nhân tạo </v>
          </cell>
          <cell r="E243" t="str">
            <v>Nguyễn Gia Huy 24119137</v>
          </cell>
          <cell r="F243" t="str">
            <v xml:space="preserve">Nguyễn Gia Huy </v>
          </cell>
          <cell r="G243" t="str">
            <v>Điện - Điện tử</v>
          </cell>
          <cell r="H243" t="str">
            <v>24119137</v>
          </cell>
          <cell r="I243" t="str">
            <v>Phạm Ngọc Công 24119116</v>
          </cell>
          <cell r="J243" t="str">
            <v>Dương Minh Thiện</v>
          </cell>
          <cell r="K243" t="str">
            <v>Khoa Điện - Điện tử</v>
          </cell>
          <cell r="L243" t="str">
            <v>minhthien@hcmute.edu.vn</v>
          </cell>
          <cell r="M243" t="str">
            <v>01 Bài báo khoa học đăng toàn văn trong kỷ yếu hội nghị, hội thảo có chỉ số ISSN/ISBN
01 Báo cáo tổng kết đề tài</v>
          </cell>
          <cell r="N243">
            <v>10000000</v>
          </cell>
          <cell r="O243" t="str">
            <v>Mười triệu đồng</v>
          </cell>
          <cell r="P243" t="str">
            <v>24119137@student.hcmute.edu.vn</v>
          </cell>
          <cell r="Q243" t="str">
            <v>0348798707</v>
          </cell>
        </row>
        <row r="244">
          <cell r="B244" t="str">
            <v>SV2026-255</v>
          </cell>
          <cell r="C244" t="str">
            <v>X</v>
          </cell>
          <cell r="D244" t="str">
            <v>Nghiên cứu ứng dụng AI trên thiết bị biên</v>
          </cell>
          <cell r="E244" t="str">
            <v>Nguyễn Gia Khánh 23161280</v>
          </cell>
          <cell r="F244" t="str">
            <v xml:space="preserve">Nguyễn Gia Khánh </v>
          </cell>
          <cell r="G244" t="str">
            <v>Điện - Điện tử</v>
          </cell>
          <cell r="H244" t="str">
            <v>23161280</v>
          </cell>
          <cell r="I244" t="str">
            <v>Trần Ngọc Linh 23161289
Lê Ngọc Thanh 2439702
Võ Minh Nguyên 24161341
Trần Quốc Sĩ 19119215</v>
          </cell>
          <cell r="J244" t="str">
            <v>Võ Minh Huân</v>
          </cell>
          <cell r="K244" t="str">
            <v>Khoa Điện - Điện tử</v>
          </cell>
          <cell r="L244" t="str">
            <v>huanvm@hcmute.edu.vn</v>
          </cell>
          <cell r="M244" t="str">
            <v>01 Bài báo đăng trên hội thảo quốc tế có chỉ số xuất bản ISBN/ISSN
01 Báo cáo phân tích</v>
          </cell>
          <cell r="N244">
            <v>10000000</v>
          </cell>
          <cell r="O244" t="str">
            <v>Mười lăm triệu đồng</v>
          </cell>
          <cell r="P244" t="str">
            <v>23161280@student.hcmute.edu.vn</v>
          </cell>
          <cell r="Q244" t="str">
            <v>0868098358</v>
          </cell>
        </row>
        <row r="245">
          <cell r="B245" t="str">
            <v>SV2026-256</v>
          </cell>
          <cell r="C245" t="str">
            <v>X</v>
          </cell>
          <cell r="D245" t="str">
            <v>Thiết kế, ghép nối và vận hành robot cứu hỏa</v>
          </cell>
          <cell r="E245" t="str">
            <v>Nguyễn Hoàng Thông 21151354</v>
          </cell>
          <cell r="F245" t="str">
            <v xml:space="preserve">Nguyễn Hoàng Thông </v>
          </cell>
          <cell r="G245" t="str">
            <v>Điện - Điện tử</v>
          </cell>
          <cell r="H245" t="str">
            <v>21151354</v>
          </cell>
          <cell r="I245" t="str">
            <v>Nguyễn Quốc Thuận 21151356
Trần Minh Tú 23151203
Nguyễn Việt Hùng 23151112
Lê Quốc Hưng 22151097</v>
          </cell>
          <cell r="J245" t="str">
            <v>Lê Thị Thanh Hoàng</v>
          </cell>
          <cell r="K245" t="str">
            <v>Khoa Điện - Điện tử</v>
          </cell>
          <cell r="L245" t="str">
            <v>hoangltt@hcmute.edu.vn</v>
          </cell>
          <cell r="M245" t="str">
            <v>01 Bài báo được chấp nhận đăng trên tạp chí quốc tế, viết bằng tiếng Anh, có phản biện, có chỉ số ISSN
01 Chương trình thực nghiệm
01 Báo cáo tổng kết</v>
          </cell>
          <cell r="N245">
            <v>15000000</v>
          </cell>
          <cell r="O245" t="str">
            <v>Mười lăm triệu đồng</v>
          </cell>
          <cell r="P245" t="str">
            <v xml:space="preserve">21151354@student.hcmute.edu.vn </v>
          </cell>
          <cell r="Q245" t="str">
            <v>0707895698</v>
          </cell>
        </row>
        <row r="246">
          <cell r="B246" t="str">
            <v>SV2026-257</v>
          </cell>
          <cell r="C246" t="str">
            <v>X</v>
          </cell>
          <cell r="D246" t="str">
            <v>Phát triển hệ thống mô phỏng cụm đồng hồ hiển thị thông số xe ô tô</v>
          </cell>
          <cell r="E246" t="str">
            <v>Nguyễn Hồng Phúc 22119177</v>
          </cell>
          <cell r="F246" t="str">
            <v xml:space="preserve">Nguyễn Hồng Phúc </v>
          </cell>
          <cell r="G246" t="str">
            <v>Điện - Điện tử</v>
          </cell>
          <cell r="H246" t="str">
            <v>22119177</v>
          </cell>
          <cell r="I246" t="str">
            <v>Nguyễn Bá Cường 22119050
Nguyễn Chí Hào 22119063</v>
          </cell>
          <cell r="J246" t="str">
            <v>Trần Thị Quỳnh Như</v>
          </cell>
          <cell r="K246" t="str">
            <v>Khoa Điện - Điện tử</v>
          </cell>
          <cell r="L246" t="str">
            <v>nhuttq@hcmute.edu.vn</v>
          </cell>
          <cell r="M246" t="str">
            <v xml:space="preserve">01 Mô hình cụm đồng hồ hiển thị thông số xe ô tô
01 Báo cáo tổng kết </v>
          </cell>
          <cell r="N246">
            <v>10000000</v>
          </cell>
          <cell r="O246" t="str">
            <v>Mười triệu đồng</v>
          </cell>
          <cell r="P246" t="str">
            <v>22119117@student.hcmute.edu.vn</v>
          </cell>
          <cell r="Q246" t="str">
            <v>091802232</v>
          </cell>
        </row>
        <row r="247">
          <cell r="B247" t="str">
            <v>SV2026-258</v>
          </cell>
          <cell r="C247" t="str">
            <v>X</v>
          </cell>
          <cell r="D247" t="str">
            <v>Nguyên cứu và triển khai mô hình AI nhúng trên thiết bị phần cứng</v>
          </cell>
          <cell r="E247" t="str">
            <v>Nguyễn Hữu Khoa 22119191</v>
          </cell>
          <cell r="F247" t="str">
            <v xml:space="preserve">Nguyễn Hữu Khoa </v>
          </cell>
          <cell r="G247" t="str">
            <v>Điện - Điện tử</v>
          </cell>
          <cell r="H247" t="str">
            <v>22119191</v>
          </cell>
          <cell r="I247" t="str">
            <v>Văn Đình Nghĩa 23161300
Nghiêm Đại Ngân 22119201
Trần Minh Phước 23119098
Huỳnh Trí Đức 23161120</v>
          </cell>
          <cell r="J247" t="str">
            <v>Huỳnh Hoàng Hà</v>
          </cell>
          <cell r="K247" t="str">
            <v>Khoa Điện - Điện tử</v>
          </cell>
          <cell r="L247" t="str">
            <v>hahh@hcmute.edu.vn</v>
          </cell>
          <cell r="M247" t="str">
            <v>01 Mô hình AI tối ưu trên phần cứng
01 Báo cáo tổng kết</v>
          </cell>
          <cell r="N247">
            <v>10000000</v>
          </cell>
          <cell r="O247" t="str">
            <v>Mười triệu đồng</v>
          </cell>
          <cell r="P247" t="str">
            <v>22119191@student.hcmute.edu.vn</v>
          </cell>
          <cell r="Q247" t="str">
            <v>0948049746</v>
          </cell>
        </row>
        <row r="248">
          <cell r="B248" t="str">
            <v>SV2026-259</v>
          </cell>
          <cell r="C248" t="str">
            <v>X</v>
          </cell>
          <cell r="D248" t="str">
            <v>Nghiên cứu bộ chuyển đổi DC-DC tăng giảm áp không cách ly</v>
          </cell>
          <cell r="E248" t="str">
            <v>Nguyễn Khải Đạt 23142272</v>
          </cell>
          <cell r="F248" t="str">
            <v xml:space="preserve">Nguyễn Khải Đạt </v>
          </cell>
          <cell r="G248" t="str">
            <v>Điện - Điện tử</v>
          </cell>
          <cell r="H248" t="str">
            <v>23142272</v>
          </cell>
          <cell r="I248" t="str">
            <v>Lê Đình Vĩnh Hào 23142286</v>
          </cell>
          <cell r="J248" t="str">
            <v>Trương Việt Anh</v>
          </cell>
          <cell r="K248" t="str">
            <v>Khoa Điện - Điện tử</v>
          </cell>
          <cell r="L248" t="str">
            <v>anhtv@hcmute.edu.vn</v>
          </cell>
          <cell r="M248" t="str">
            <v>01 Bài báo khoa học đăng trên tạp chí trong nước trong danh mục của Hội đồng Giáo sư Nhà nước tính 0,5 điểm trở lên
01 Mô hình thực nghiệm</v>
          </cell>
          <cell r="N248">
            <v>15000000</v>
          </cell>
          <cell r="O248" t="str">
            <v>Mười lăm triệu đồng</v>
          </cell>
          <cell r="P248" t="str">
            <v>23142272@student.hcmute.edu.vn</v>
          </cell>
          <cell r="Q248" t="str">
            <v>0916230211</v>
          </cell>
        </row>
        <row r="249">
          <cell r="B249" t="str">
            <v>SV2026-260</v>
          </cell>
          <cell r="C249" t="str">
            <v>X</v>
          </cell>
          <cell r="D249" t="str">
            <v>Kết nối, hiệu chỉnh và vận hành mô hình điều khiển áp suất đường ống bằng PLC S7-1200 có giám sát qua Wincc Unified</v>
          </cell>
          <cell r="E249" t="str">
            <v>Nguyễn Lê Minh Quân 22151141</v>
          </cell>
          <cell r="F249" t="str">
            <v xml:space="preserve">Nguyễn Lê Minh Quân </v>
          </cell>
          <cell r="G249" t="str">
            <v>Điện - Điện tử</v>
          </cell>
          <cell r="H249" t="str">
            <v>22151141</v>
          </cell>
          <cell r="I249" t="str">
            <v>Phạm Minh Mẫn 23151140
Lê Nguyễn Minh Đức 23151082
Trần Nguyễn Thế Lộc 23145148
Lê Đặng Hoàng Đại 23142104</v>
          </cell>
          <cell r="J249" t="str">
            <v>Nguyễn Phong Lưu</v>
          </cell>
          <cell r="K249" t="str">
            <v>Khoa Điện - Điện tử</v>
          </cell>
          <cell r="L249" t="str">
            <v>luunp@hcmute.edu.vn</v>
          </cell>
          <cell r="M249" t="str">
            <v>02 Bài báo được chấp nhận đăng ở tạp chí quốc tế có chỉ số xuất bản ISSN
01 Chương trình mô phỏng trên WinCC 
01 Chương trình điều khiển PLC thực nghiệm</v>
          </cell>
          <cell r="N249">
            <v>25000000</v>
          </cell>
          <cell r="O249" t="str">
            <v>Hai mươi lăm triệu đồng</v>
          </cell>
          <cell r="P249" t="str">
            <v xml:space="preserve">22151141@student.hcmute.edu.vn </v>
          </cell>
          <cell r="Q249" t="str">
            <v>0948638845</v>
          </cell>
        </row>
        <row r="250">
          <cell r="B250" t="str">
            <v>SV2026-261</v>
          </cell>
          <cell r="C250" t="str">
            <v>X</v>
          </cell>
          <cell r="D250" t="str">
            <v>Điều khiển trượt thích nghi cho bộ chuyển đổi DC–DC tăng áp cấp cho tải công suất không đổi trong hệ thống DC microgrid</v>
          </cell>
          <cell r="E250" t="str">
            <v>Nguyễn Linh Tâm 23161185</v>
          </cell>
          <cell r="F250" t="str">
            <v xml:space="preserve">Nguyễn Linh Tâm </v>
          </cell>
          <cell r="G250" t="str">
            <v>Điện - Điện tử</v>
          </cell>
          <cell r="H250" t="str">
            <v>23161185</v>
          </cell>
          <cell r="I250" t="str">
            <v>Trần Lê Khánh Dung 23161112
Nguyễn Quang Sáng 23161176
Dương Quốc Thắng 23161037</v>
          </cell>
          <cell r="J250" t="str">
            <v>Phạm Hữu Thái</v>
          </cell>
          <cell r="K250" t="str">
            <v>Khoa Điện - Điện tử</v>
          </cell>
          <cell r="L250" t="str">
            <v>thaiph@hcmute.edu.vn</v>
          </cell>
          <cell r="M250" t="str">
            <v>01 Bài báo khoa học đăng toàn văn trong kỷ yếu hội nghị, hội thảo có chỉ số ISSN/ISBN
01 Báo cáo tổng kết</v>
          </cell>
          <cell r="N250">
            <v>10000000</v>
          </cell>
          <cell r="O250" t="str">
            <v>Mười triệu đồng</v>
          </cell>
          <cell r="P250" t="str">
            <v>23161185@student.hcmute.edu.vn</v>
          </cell>
          <cell r="Q250" t="str">
            <v>0346215631</v>
          </cell>
        </row>
        <row r="251">
          <cell r="B251" t="str">
            <v>SV2026-262</v>
          </cell>
          <cell r="C251"/>
          <cell r="D251" t="str">
            <v>Thiết kế và xây dựng mô hình Robot tự cân bằng hai bánh</v>
          </cell>
          <cell r="E251" t="str">
            <v>Nguyễn Minh Đăng 23151080</v>
          </cell>
          <cell r="F251" t="str">
            <v xml:space="preserve">Nguyễn Minh Đăng </v>
          </cell>
          <cell r="G251" t="str">
            <v>Điện - Điện tử</v>
          </cell>
          <cell r="H251" t="str">
            <v>23151080</v>
          </cell>
          <cell r="I251" t="str">
            <v>Ngô Huỳnh Anh Khôi 23151132
Võ Thành Việt 24151330
Trần Minh Nhật 24151225
Đặng Đình Trọng 24151303</v>
          </cell>
          <cell r="J251" t="str">
            <v>Huỳnh Hoàng Hà</v>
          </cell>
          <cell r="K251" t="str">
            <v>Khoa Điện - Điện tử</v>
          </cell>
          <cell r="L251" t="str">
            <v>hahh@hcmute.edu.vn</v>
          </cell>
          <cell r="M251" t="str">
            <v>01 Mô hình Robot tự cân bằng hai bánh
01 Báo cáo tổng kết</v>
          </cell>
          <cell r="N251">
            <v>10000000</v>
          </cell>
          <cell r="O251" t="str">
            <v>Mười triệu đồng</v>
          </cell>
          <cell r="P251" t="str">
            <v>23151080@student.hcmute.edu.vn</v>
          </cell>
          <cell r="Q251" t="str">
            <v>0796885871</v>
          </cell>
        </row>
        <row r="252">
          <cell r="B252" t="str">
            <v>SV2026-263</v>
          </cell>
          <cell r="C252" t="str">
            <v>X</v>
          </cell>
          <cell r="D252" t="str">
            <v>Thiết kế hệ thống điều khiển và giám sát đèn giao thông từ RTL đến GDSII</v>
          </cell>
          <cell r="E252" t="str">
            <v>Nguyễn Phan Thái Sơn 23161177</v>
          </cell>
          <cell r="F252" t="str">
            <v xml:space="preserve">Nguyễn Phan Thái Sơn </v>
          </cell>
          <cell r="G252" t="str">
            <v>Điện - Điện tử</v>
          </cell>
          <cell r="H252" t="str">
            <v>23161177</v>
          </cell>
          <cell r="I252" t="str">
            <v>Nguyễn Nhật Hào 23161123
Nguyễn Hữu Bình 23161106
Lý Hoàng Khang 23161133
Lý Vĩnh Khang 23161134</v>
          </cell>
          <cell r="J252" t="str">
            <v>Trương Quang Phúc</v>
          </cell>
          <cell r="K252" t="str">
            <v>Khoa Điện - Điện tử</v>
          </cell>
          <cell r="L252" t="str">
            <v>phuctq@hcmute.edu.vn</v>
          </cell>
          <cell r="M252" t="str">
            <v>01 File RTL và file layout đầy đủ của hệ thống điều khiển đèn giao thông hoàn chỉnh
01 Bản báo cáo tổng kết</v>
          </cell>
          <cell r="N252">
            <v>5000000</v>
          </cell>
          <cell r="O252" t="str">
            <v>Năm triệu đồng</v>
          </cell>
          <cell r="P252" t="str">
            <v xml:space="preserve"> 23161177@student.hcmute.edu.vn</v>
          </cell>
          <cell r="Q252" t="str">
            <v>0346710269</v>
          </cell>
        </row>
        <row r="253">
          <cell r="B253" t="str">
            <v>SV2026-264</v>
          </cell>
          <cell r="C253" t="str">
            <v>X</v>
          </cell>
          <cell r="D253" t="str">
            <v>Chế tạo một mô hình drone nhỏ gọn phục vụ đào tạo</v>
          </cell>
          <cell r="E253" t="str">
            <v>Nguyễn Phúc Quân 25161381</v>
          </cell>
          <cell r="F253" t="str">
            <v xml:space="preserve">Nguyễn Phúc Quân </v>
          </cell>
          <cell r="G253" t="str">
            <v>Điện - Điện tử</v>
          </cell>
          <cell r="H253" t="str">
            <v>25161381</v>
          </cell>
          <cell r="I253">
            <v>0</v>
          </cell>
          <cell r="J253" t="str">
            <v>Đặng Xuân Ba</v>
          </cell>
          <cell r="K253" t="str">
            <v>Khoa Điện - Điện tử</v>
          </cell>
          <cell r="L253" t="str">
            <v>badx@hcmute.edu.vn</v>
          </cell>
          <cell r="M253" t="str">
            <v>01 Máy bay drone nhỏ gọn</v>
          </cell>
          <cell r="N253">
            <v>10000000</v>
          </cell>
          <cell r="O253" t="str">
            <v>Mười triệu đồng</v>
          </cell>
          <cell r="P253" t="str">
            <v xml:space="preserve">25161381@student.hcmute.edu.vn </v>
          </cell>
          <cell r="Q253" t="str">
            <v>0868165377</v>
          </cell>
        </row>
        <row r="254">
          <cell r="B254" t="str">
            <v>SV2026-265</v>
          </cell>
          <cell r="C254" t="str">
            <v>X</v>
          </cell>
          <cell r="D254" t="str">
            <v>Thiết kế và thi công mô hình đăng kí khám bệnh dựa trên mã QR của Căn cước công dân</v>
          </cell>
          <cell r="E254" t="str">
            <v>Nguyễn Phúc Thiện 22129038</v>
          </cell>
          <cell r="F254" t="str">
            <v xml:space="preserve">Nguyễn Phúc Thiện </v>
          </cell>
          <cell r="G254" t="str">
            <v>Điện - Điện tử</v>
          </cell>
          <cell r="H254" t="str">
            <v>22129038</v>
          </cell>
          <cell r="I254" t="str">
            <v>Nguyễn Thị Huyền Trân 22129043
Bùi Đắc Thắng 2590707</v>
          </cell>
          <cell r="J254" t="str">
            <v>Nguyễn Thanh Nghĩa</v>
          </cell>
          <cell r="K254" t="str">
            <v>Khoa Điện - Điện tử</v>
          </cell>
          <cell r="L254" t="str">
            <v>nghiant@hcmute.edu.vn</v>
          </cell>
          <cell r="M254" t="str">
            <v>01 Kiosk đăng kí khám bệnh dùng mã QR trên thẻ CCCD tích hợp web và ứng dụng di động</v>
          </cell>
          <cell r="N254">
            <v>10000000</v>
          </cell>
          <cell r="O254" t="str">
            <v>Mười triệu đồng</v>
          </cell>
          <cell r="P254" t="str">
            <v>22129038@student.hcmute.edu.vn</v>
          </cell>
          <cell r="Q254" t="str">
            <v>0921901216</v>
          </cell>
        </row>
        <row r="255">
          <cell r="B255" t="str">
            <v>SV2026-267</v>
          </cell>
          <cell r="C255" t="str">
            <v>X</v>
          </cell>
          <cell r="D255" t="str">
            <v>Thiết kế bộ điều khiển mờ–neuron ứng dụng bám quỹ đạo cho cánh tay robot một bậc</v>
          </cell>
          <cell r="E255" t="str">
            <v>Nguyễn Quang Thiện 23161196</v>
          </cell>
          <cell r="F255" t="str">
            <v xml:space="preserve">Nguyễn Quang Thiện </v>
          </cell>
          <cell r="G255" t="str">
            <v>Điện - Điện tử</v>
          </cell>
          <cell r="H255" t="str">
            <v>23161196</v>
          </cell>
          <cell r="I255" t="str">
            <v>Lê Hoàng Linh 20151391
Đặng Nguyễn Thanh Phong 22151133
Kiều Ngọc Trung 23151197
Nguyễn Phan Khang  23142138</v>
          </cell>
          <cell r="J255" t="str">
            <v>Nguyễn Phong Lưu</v>
          </cell>
          <cell r="K255" t="str">
            <v>Khoa Điện - Điện tử</v>
          </cell>
          <cell r="L255" t="str">
            <v>luunp@hcmute.edu.vn</v>
          </cell>
          <cell r="M255" t="str">
            <v>02 Bài báo được chấp nhận đăng trên tạp chí quốc tế được viết bằng tiếng Anh, có phản biện, có chỉ số ISSN
01 Chương trình mô phỏng
01 Chương trình thực nghiệm</v>
          </cell>
          <cell r="N255">
            <v>25000000</v>
          </cell>
          <cell r="O255" t="str">
            <v>Hai mươi lăm triệu đồng</v>
          </cell>
          <cell r="P255" t="str">
            <v xml:space="preserve">23161196@student.hcmute.edu.vn </v>
          </cell>
          <cell r="Q255" t="str">
            <v>0376725014</v>
          </cell>
        </row>
        <row r="256">
          <cell r="B256" t="str">
            <v>SV2026-268</v>
          </cell>
          <cell r="C256" t="str">
            <v>X</v>
          </cell>
          <cell r="D256" t="str">
            <v>Thiết kế chiến lược quản lý năng lượng trên xe điện hydrogen (FCEV) sử dụng thuật toán mờ loại 2</v>
          </cell>
          <cell r="E256" t="str">
            <v>Nguyễn Quốc Sang 23151166</v>
          </cell>
          <cell r="F256" t="str">
            <v xml:space="preserve">Nguyễn Quốc Sang </v>
          </cell>
          <cell r="G256" t="str">
            <v>Điện - Điện tử</v>
          </cell>
          <cell r="H256" t="str">
            <v>23151166</v>
          </cell>
          <cell r="I256" t="str">
            <v>Trương Quốc Khánh 23151125
Trần Lê Huy 23151107
Đặng Trần Nhật 23151152</v>
          </cell>
          <cell r="J256" t="str">
            <v>Lê Trọng Hiếu</v>
          </cell>
          <cell r="K256" t="str">
            <v>Khoa Giao thông và Năng lượng</v>
          </cell>
          <cell r="L256" t="str">
            <v>tronghieu@hcmute.edu.vn</v>
          </cell>
          <cell r="M256" t="str">
            <v>01 Bài báo khoa học đăng toàn văn trong kỷ yếu hội nghị, hội thảo có chỉ số ISSN/ISBN
01 Báo cáo tổng kết</v>
          </cell>
          <cell r="N256">
            <v>10000000</v>
          </cell>
          <cell r="O256" t="str">
            <v>Mười triệu đồng</v>
          </cell>
          <cell r="P256" t="str">
            <v>23151166@student.hcmute.edu.vn</v>
          </cell>
          <cell r="Q256" t="str">
            <v>0932679827</v>
          </cell>
        </row>
        <row r="257">
          <cell r="B257" t="str">
            <v>SV2026-269</v>
          </cell>
          <cell r="C257" t="str">
            <v>X</v>
          </cell>
          <cell r="D257" t="str">
            <v>Thiết kế mô hình xe tự hành hoạt động trong môi trường ánh sáng yếu</v>
          </cell>
          <cell r="E257" t="str">
            <v>Nguyễn Tấn Hậu 22151077</v>
          </cell>
          <cell r="F257" t="str">
            <v xml:space="preserve">Nguyễn Tấn Hậu </v>
          </cell>
          <cell r="G257" t="str">
            <v>Điện - Điện tử</v>
          </cell>
          <cell r="H257" t="str">
            <v>22151077</v>
          </cell>
          <cell r="I257" t="str">
            <v>Lương Trần Trung Đức 22151074
Huỳnh Trọng Ơn 22151129
Nguyễn Tuấn Dương 22151066
Đào Thanh Tùng 22151159</v>
          </cell>
          <cell r="J257" t="str">
            <v>Dương Minh Thiện</v>
          </cell>
          <cell r="K257" t="str">
            <v>Khoa Điện - Điện tử</v>
          </cell>
          <cell r="L257" t="str">
            <v>minhthien@hcmute.edu.vn</v>
          </cell>
          <cell r="M257" t="str">
            <v>01 Báo cáo tổng kết</v>
          </cell>
          <cell r="N257">
            <v>5000000</v>
          </cell>
          <cell r="O257" t="str">
            <v>Năm triệu đồng</v>
          </cell>
          <cell r="P257" t="str">
            <v>22151077@student.hcmute.edu.vn</v>
          </cell>
          <cell r="Q257" t="str">
            <v>0337893590</v>
          </cell>
        </row>
        <row r="258">
          <cell r="B258" t="str">
            <v>SV2026-270</v>
          </cell>
          <cell r="C258" t="str">
            <v>X</v>
          </cell>
          <cell r="D258" t="str">
            <v>Thiết kế bộ truyền nhận UART tự động điều chỉnh cấu hình truyền</v>
          </cell>
          <cell r="E258" t="str">
            <v>Nguyễn Thái An 23119045</v>
          </cell>
          <cell r="F258" t="str">
            <v xml:space="preserve">Nguyễn Thái An </v>
          </cell>
          <cell r="G258" t="str">
            <v>Điện - Điện tử</v>
          </cell>
          <cell r="H258" t="str">
            <v>23119045</v>
          </cell>
          <cell r="I258" t="str">
            <v>Phạm Thanh Phúc 23119096
Nguyễn Quốc Khôi 23119075
Trần Minh Phước 23119098
Dương Minh Thông 23119111</v>
          </cell>
          <cell r="J258" t="str">
            <v>Đỗ Duy Tân</v>
          </cell>
          <cell r="K258" t="str">
            <v>Khoa Điện - Điện tử</v>
          </cell>
          <cell r="L258" t="str">
            <v>tandd@hcmute.edu.vn</v>
          </cell>
          <cell r="M258" t="str">
            <v>01 Báo cáo tổng kết</v>
          </cell>
          <cell r="N258">
            <v>5000000</v>
          </cell>
          <cell r="O258" t="str">
            <v>Năm triệu đồng</v>
          </cell>
          <cell r="P258" t="str">
            <v>23119045@student.hcmute.edu.vn</v>
          </cell>
          <cell r="Q258" t="str">
            <v>0937904967</v>
          </cell>
        </row>
        <row r="259">
          <cell r="B259" t="str">
            <v>SV2026-271</v>
          </cell>
          <cell r="C259" t="str">
            <v>X</v>
          </cell>
          <cell r="D259" t="str">
            <v xml:space="preserve">Xây dựng hệ thống quản lý mượn và trả sách tại thư viện </v>
          </cell>
          <cell r="E259" t="str">
            <v>Nguyễn Thanh Tân 23161188</v>
          </cell>
          <cell r="F259" t="str">
            <v xml:space="preserve">Nguyễn Thanh Tân </v>
          </cell>
          <cell r="G259" t="str">
            <v>Điện - Điện tử</v>
          </cell>
          <cell r="H259" t="str">
            <v>23161188</v>
          </cell>
          <cell r="I259" t="str">
            <v>Nguyễn Hoàng Trọng Phúc 23161166
Nguyễn Mạnh Quang 23161170
Phạm Hoàng Khánh Duy 23161114
Võ Như Thế 23161194</v>
          </cell>
          <cell r="J259" t="str">
            <v>Nguyễn Văn Phúc</v>
          </cell>
          <cell r="K259" t="str">
            <v>Khoa Điện - Điện tử</v>
          </cell>
          <cell r="L259" t="str">
            <v>phucnv@hcmute.edu.vn</v>
          </cell>
          <cell r="M259" t="str">
            <v>01 Mô hình hệ thống quản lý mượn và trả sách tại thư viện
01 Báo cáo tổng kết</v>
          </cell>
          <cell r="N259">
            <v>10000000</v>
          </cell>
          <cell r="O259" t="str">
            <v>Mười triệu đồng</v>
          </cell>
          <cell r="P259" t="str">
            <v>23161188@student.hcmute.edu.vn</v>
          </cell>
          <cell r="Q259" t="str">
            <v>0349570649</v>
          </cell>
        </row>
        <row r="260">
          <cell r="B260" t="str">
            <v>SV2026-272</v>
          </cell>
          <cell r="C260" t="str">
            <v>X</v>
          </cell>
          <cell r="D260" t="str">
            <v>Thiết kế hệ thống nhận diện thông minh điều khiển xe lăn điện hỗ trợ bệnh nhân bại liệt</v>
          </cell>
          <cell r="E260" t="str">
            <v>Nguyễn Thị Mỹ Thường 23129052</v>
          </cell>
          <cell r="F260" t="str">
            <v xml:space="preserve">Nguyễn Thị Mỹ Thường </v>
          </cell>
          <cell r="G260" t="str">
            <v>Điện - Điện tử</v>
          </cell>
          <cell r="H260" t="str">
            <v>23129052</v>
          </cell>
          <cell r="I260" t="str">
            <v>Cao Quang Thái 23129047
Thượng Thị Thanh Vân 23129064</v>
          </cell>
          <cell r="J260" t="str">
            <v>Ngô Bá Việt</v>
          </cell>
          <cell r="K260" t="str">
            <v>Khoa Điện - Điện tử</v>
          </cell>
          <cell r="L260" t="str">
            <v>vietnb@hcmute.edu.vn</v>
          </cell>
          <cell r="M260" t="str">
            <v xml:space="preserve">01 thiết bị thu thập dữ liệu từ hoạt động mắt 
01 Báo cáo tổng kết </v>
          </cell>
          <cell r="N260">
            <v>10000000</v>
          </cell>
          <cell r="O260" t="str">
            <v>Mười triệu đồng</v>
          </cell>
          <cell r="P260" t="str">
            <v>23129052@student.hcmute.edu.vn</v>
          </cell>
          <cell r="Q260" t="str">
            <v>0847015933</v>
          </cell>
        </row>
        <row r="261">
          <cell r="B261" t="str">
            <v>SV2026-273</v>
          </cell>
          <cell r="C261" t="str">
            <v>X</v>
          </cell>
          <cell r="D261" t="str">
            <v>Nghiên cứu phương pháp Modulation Dynamical Systems tránh vật cản cho hệ thống cánh tay Robot</v>
          </cell>
          <cell r="E261" t="str">
            <v>Nguyễn Thị Tuyết Mai 22151112</v>
          </cell>
          <cell r="F261" t="str">
            <v xml:space="preserve">Nguyễn Thị Tuyết Mai </v>
          </cell>
          <cell r="G261" t="str">
            <v>Điện - Điện tử</v>
          </cell>
          <cell r="H261" t="str">
            <v>22151112</v>
          </cell>
          <cell r="I261" t="str">
            <v>Phạm Võ Khải Anh 22151049
Lê Nam Châu 22151054
Phạm Trương Phương Nam 22151119</v>
          </cell>
          <cell r="J261" t="str">
            <v>Nguyễn Trần Minh Nguyệt</v>
          </cell>
          <cell r="K261" t="str">
            <v>Khoa Điện - Điện tử</v>
          </cell>
          <cell r="L261" t="str">
            <v>nguyetntm@hcmute.edu.vn</v>
          </cell>
          <cell r="M261" t="str">
            <v>01 Bài báo hội thảo quốc tế
01 Chương trình mô phỏng trên MATLAB</v>
          </cell>
          <cell r="N261">
            <v>10000000</v>
          </cell>
          <cell r="O261" t="str">
            <v>Mười triệu đồng</v>
          </cell>
          <cell r="P261" t="str">
            <v>22151112@student.hcmute.edu.vn</v>
          </cell>
          <cell r="Q261" t="str">
            <v>0397969813</v>
          </cell>
        </row>
        <row r="262">
          <cell r="B262" t="str">
            <v>SV2026-274</v>
          </cell>
          <cell r="C262" t="str">
            <v>X</v>
          </cell>
          <cell r="D262" t="str">
            <v>Thiết kế chiến lược tối thiểu mức nhiên liệu tiêu thụ tương đương (ECMS) cho xe máy điện chạy bằng pin nhiên liệu hydrogen</v>
          </cell>
          <cell r="E262" t="str">
            <v>Nguyễn Thiên Phú 22161169</v>
          </cell>
          <cell r="F262" t="str">
            <v xml:space="preserve">Nguyễn Thiên Phú </v>
          </cell>
          <cell r="G262" t="str">
            <v>Điện - Điện tử</v>
          </cell>
          <cell r="H262" t="str">
            <v>22161169</v>
          </cell>
          <cell r="I262" t="str">
            <v>Dương Quang Lộc 22161149</v>
          </cell>
          <cell r="J262" t="str">
            <v>Trịnh Hoài Ân</v>
          </cell>
          <cell r="K262" t="str">
            <v>Khoa Điện - Điện tử</v>
          </cell>
          <cell r="L262" t="str">
            <v>anth@hcmute.edu.vn</v>
          </cell>
          <cell r="M262" t="str">
            <v>01 Bài báo khoa học đăng trên tạp chí trong nước trong danh mục của HĐ GSNN tính từ 0,5 điểm trở lên
01 Báo cáo tổng kết</v>
          </cell>
          <cell r="N262">
            <v>15000000</v>
          </cell>
          <cell r="O262" t="str">
            <v>Mười lăm triệu đồng</v>
          </cell>
          <cell r="P262" t="str">
            <v>22161169@student.hcmute.edu.vn</v>
          </cell>
          <cell r="Q262" t="str">
            <v>0977606418</v>
          </cell>
        </row>
        <row r="263">
          <cell r="B263" t="str">
            <v>SV2026-275</v>
          </cell>
          <cell r="C263" t="str">
            <v>X</v>
          </cell>
          <cell r="D263" t="str">
            <v>Nghiên cứu, thiết kế và thi công thiết bị đo đường huyết dựa vào tín hiệu cận hồng ngoại</v>
          </cell>
          <cell r="E263" t="str">
            <v>Nguyễn Văn Ngọc Trình 23129055</v>
          </cell>
          <cell r="F263" t="str">
            <v xml:space="preserve">Nguyễn Văn Ngọc Trình </v>
          </cell>
          <cell r="G263" t="str">
            <v>Điện - Điện tử</v>
          </cell>
          <cell r="H263" t="str">
            <v>23129055</v>
          </cell>
          <cell r="I263" t="str">
            <v>Nguyễn Anh Kiệt 23129014
Nguyễn Đức Tài 23129045
Nguyễn Bá Anh Tùng 23129060</v>
          </cell>
          <cell r="J263" t="str">
            <v>Nguyễn Thanh Nghĩa</v>
          </cell>
          <cell r="K263" t="str">
            <v>Khoa Điện - Điện tử</v>
          </cell>
          <cell r="L263" t="str">
            <v>nghiant@hcmute.edu.vn</v>
          </cell>
          <cell r="M263" t="str">
            <v>01 Mô hình thiết bị đo đường huyết bằng tín hiệu hồng ngoại
01 Báo cáo phân tích</v>
          </cell>
          <cell r="N263">
            <v>10000000</v>
          </cell>
          <cell r="O263" t="str">
            <v>Mười triệu đồng</v>
          </cell>
          <cell r="P263" t="str">
            <v>23129055@student.hcmute.edu.vn</v>
          </cell>
          <cell r="Q263" t="str">
            <v>0387943825</v>
          </cell>
        </row>
        <row r="264">
          <cell r="B264" t="str">
            <v>SV2026-276</v>
          </cell>
          <cell r="C264" t="str">
            <v>X</v>
          </cell>
          <cell r="D264" t="str">
            <v xml:space="preserve">Nghiên cứu, thiết kế và chế tạo máy bán hàng tự động dùng cho các sản phẩm nông nghiệp </v>
          </cell>
          <cell r="E264" t="str">
            <v>Nguyễn Văn Nguyên 22142175</v>
          </cell>
          <cell r="F264" t="str">
            <v xml:space="preserve">Nguyễn Văn Nguyên </v>
          </cell>
          <cell r="G264" t="str">
            <v>Điện - Điện tử</v>
          </cell>
          <cell r="H264" t="str">
            <v>22142175</v>
          </cell>
          <cell r="I264" t="str">
            <v>Nguyễn Thanh Sang 22142212
Dương Minh Đức 22142107
Trần Quang Minh 24151208
Võ Trung Nguyên 24151219</v>
          </cell>
          <cell r="J264" t="str">
            <v>Đào Văn Phượng</v>
          </cell>
          <cell r="K264" t="str">
            <v>Khoa Điện - Điện tử</v>
          </cell>
          <cell r="L264" t="str">
            <v>phuongdv@hcmute.edu.vn</v>
          </cell>
          <cell r="M264" t="str">
            <v>01 Hệ thống bán sản phẩm nông nghiệp tự động
01 Chương trình của hệ thống
01 Bản vẽ thiết kế</v>
          </cell>
          <cell r="N264">
            <v>10000000</v>
          </cell>
          <cell r="O264" t="str">
            <v>Mười triệu đồng</v>
          </cell>
          <cell r="P264" t="str">
            <v>22142175@student.hcmute.edu.vn</v>
          </cell>
          <cell r="Q264" t="str">
            <v>0947251049</v>
          </cell>
        </row>
        <row r="265">
          <cell r="B265" t="str">
            <v>SV2026-277</v>
          </cell>
          <cell r="C265" t="str">
            <v>X</v>
          </cell>
          <cell r="D265" t="str">
            <v xml:space="preserve">Thiết kế bộ điều khiển cân bằng cho robot hai chân bánh xe thay đổi chiều cao </v>
          </cell>
          <cell r="E265" t="str">
            <v>Nguyễn Văn Tấn Đạt 23151234</v>
          </cell>
          <cell r="F265" t="str">
            <v xml:space="preserve">Nguyễn Văn Tấn Đạt </v>
          </cell>
          <cell r="G265" t="str">
            <v>Điện - Điện tử</v>
          </cell>
          <cell r="H265" t="str">
            <v>23151234</v>
          </cell>
          <cell r="I265" t="str">
            <v>Nguyễn Chế Thiện 23151313</v>
          </cell>
          <cell r="J265" t="str">
            <v>Trần Vi Đô</v>
          </cell>
          <cell r="K265" t="str">
            <v>Khoa Điện - Điện tử</v>
          </cell>
          <cell r="L265" t="str">
            <v>dotv@hcmute.edu.vn</v>
          </cell>
          <cell r="M265" t="str">
            <v>01 Mô hình robot hai chân bánh xe thay đổi được chiều cao
01 Báo cáo phân tích tính hiệu quả của bộ điều khiển</v>
          </cell>
          <cell r="N265">
            <v>10000000</v>
          </cell>
          <cell r="O265" t="str">
            <v>Mười triệu đồng</v>
          </cell>
          <cell r="P265" t="str">
            <v>23151234@student.hcmute.edu.vn</v>
          </cell>
          <cell r="Q265" t="str">
            <v>0778159356</v>
          </cell>
        </row>
        <row r="266">
          <cell r="B266" t="str">
            <v>SV2026-278</v>
          </cell>
          <cell r="C266" t="str">
            <v>X</v>
          </cell>
          <cell r="D266" t="str">
            <v>Ứng dụng 1D CNN accelerator để xử lí tín hiệu ECG cho chẩn đoán bệnh tim trên nền tảng FPGA</v>
          </cell>
          <cell r="E266" t="str">
            <v>Nguyễn Việt Anh 22119164</v>
          </cell>
          <cell r="F266" t="str">
            <v xml:space="preserve">Nguyễn Việt Anh </v>
          </cell>
          <cell r="G266" t="str">
            <v>Điện - Điện tử</v>
          </cell>
          <cell r="H266" t="str">
            <v>22119164</v>
          </cell>
          <cell r="I266" t="str">
            <v>Nguyễn Tấn An 22119161
Nguyễn Hoàng Đăng Duy 22119171
Hoàng Duy Hướng 22119187</v>
          </cell>
          <cell r="J266" t="str">
            <v>Đỗ Duy Tân</v>
          </cell>
          <cell r="K266" t="str">
            <v>Khoa Điện - Điện tử</v>
          </cell>
          <cell r="L266" t="str">
            <v>tandd@hcmute.edu.vn</v>
          </cell>
          <cell r="M266" t="str">
            <v>01 Báo cáo tổng kết</v>
          </cell>
          <cell r="N266">
            <v>5000000</v>
          </cell>
          <cell r="O266" t="str">
            <v>Năm triệu đồng</v>
          </cell>
          <cell r="P266" t="str">
            <v>22119164@student.hcmute.edu.vn</v>
          </cell>
          <cell r="Q266" t="str">
            <v>0923084835</v>
          </cell>
        </row>
        <row r="267">
          <cell r="B267" t="str">
            <v>SV2026-279</v>
          </cell>
          <cell r="C267" t="str">
            <v>X</v>
          </cell>
          <cell r="D267" t="str">
            <v>Khảo sát các công nghệ đốt và xử lí rác thải</v>
          </cell>
          <cell r="E267" t="str">
            <v>Phạm Gia Kiệt 23151134</v>
          </cell>
          <cell r="F267" t="str">
            <v xml:space="preserve">Phạm Gia Kiệt </v>
          </cell>
          <cell r="G267" t="str">
            <v>Điện - Điện tử</v>
          </cell>
          <cell r="H267" t="str">
            <v>23151134</v>
          </cell>
          <cell r="I267" t="str">
            <v>Nguyễn Văn Đức 25147084
Văn Thiên Vũ 23151210
Trần Viết Minh 23151142
Nguyễn Thái Hòa 23159020</v>
          </cell>
          <cell r="J267" t="str">
            <v>Nguyễn Thị Ngọc Thảo</v>
          </cell>
          <cell r="K267" t="str">
            <v>Khoa Điện - Điện tử</v>
          </cell>
          <cell r="L267" t="str">
            <v>hoangltt@hcmute.edu.vn</v>
          </cell>
          <cell r="M267" t="str">
            <v>01 Báo cáo tổng kết</v>
          </cell>
          <cell r="N267">
            <v>5000000</v>
          </cell>
          <cell r="O267" t="str">
            <v>Năm triệu đồng</v>
          </cell>
          <cell r="P267" t="str">
            <v>23151134@student.hcmute.edu.vn</v>
          </cell>
          <cell r="Q267" t="str">
            <v>0382432951</v>
          </cell>
        </row>
        <row r="268">
          <cell r="B268" t="str">
            <v>SV2026-280</v>
          </cell>
          <cell r="C268" t="str">
            <v>X</v>
          </cell>
          <cell r="D268" t="str">
            <v>Nghiên cứu kỹ thuật nạp firmware từ xa cho vi điều khiển</v>
          </cell>
          <cell r="E268" t="str">
            <v>Phạm Quốc Thắng 23161193</v>
          </cell>
          <cell r="F268" t="str">
            <v xml:space="preserve">Phạm Quốc Thắng </v>
          </cell>
          <cell r="G268" t="str">
            <v>Điện - Điện tử</v>
          </cell>
          <cell r="H268" t="str">
            <v>23161193</v>
          </cell>
          <cell r="I268" t="str">
            <v>Nguyễn Thuý Hiền 22129014
Đặng Thành Dương 23161117</v>
          </cell>
          <cell r="J268" t="str">
            <v>Lê Minh Thành</v>
          </cell>
          <cell r="K268" t="str">
            <v>Khoa Điện - Điện tử</v>
          </cell>
          <cell r="L268" t="str">
            <v>thanhlm@hcmute.edu.vn</v>
          </cell>
          <cell r="M268" t="str">
            <v xml:space="preserve">01 Mô hình thử nghiệm nạp firmware từ xa cho vi điều khiển
01 phần mềm Gateway trên ESP32 </v>
          </cell>
          <cell r="N268">
            <v>10000000</v>
          </cell>
          <cell r="O268" t="str">
            <v>Mười triệu đồng</v>
          </cell>
          <cell r="P268" t="str">
            <v>23161193@student.hcmute.edu.vn</v>
          </cell>
          <cell r="Q268" t="str">
            <v>0964453537</v>
          </cell>
        </row>
        <row r="269">
          <cell r="B269" t="str">
            <v>SV2026-281</v>
          </cell>
          <cell r="C269" t="str">
            <v>X</v>
          </cell>
          <cell r="D269" t="str">
            <v>Nghiên cứu và thiết kế bộ gia tốc mật mã nhẹ, hiệu năng cao dựa trên công nghệ FPGA</v>
          </cell>
          <cell r="E269" t="str">
            <v>Phạm Trọng Hoàng	 22147054</v>
          </cell>
          <cell r="F269" t="str">
            <v xml:space="preserve">Phạm Trọng Hoàng	 </v>
          </cell>
          <cell r="G269" t="str">
            <v>Điện - Điện tử</v>
          </cell>
          <cell r="H269" t="str">
            <v>22147054</v>
          </cell>
          <cell r="I269" t="str">
            <v>Đỗ Lê Hữu Trí 22161198
Nguyễn Việt Anh 22119164
Văn Đình Nghĩa 23161300</v>
          </cell>
          <cell r="J269" t="str">
            <v>Đỗ Duy Tân</v>
          </cell>
          <cell r="K269" t="str">
            <v>Khoa Điện - Điện tử</v>
          </cell>
          <cell r="L269" t="str">
            <v>tandd@hcmute.edu.vn</v>
          </cell>
          <cell r="M269" t="str">
            <v>01 Báo cáo tổng kết</v>
          </cell>
          <cell r="N269">
            <v>5000000</v>
          </cell>
          <cell r="O269" t="str">
            <v>Năm triệu đồng</v>
          </cell>
          <cell r="P269" t="str">
            <v>22147054@student.hcmute.edu.vn</v>
          </cell>
          <cell r="Q269" t="str">
            <v>0937437525</v>
          </cell>
        </row>
        <row r="270">
          <cell r="B270" t="str">
            <v>SV2026-282</v>
          </cell>
          <cell r="C270" t="str">
            <v>X</v>
          </cell>
          <cell r="D270" t="str">
            <v>Điều khiển mờ thực nghiệm cho hệ con lắc ngược trên xe hai bậc</v>
          </cell>
          <cell r="E270" t="str">
            <v>Phạm Trương Phương Nam 22151119</v>
          </cell>
          <cell r="F270" t="str">
            <v xml:space="preserve">Phạm Trương Phương Nam </v>
          </cell>
          <cell r="G270" t="str">
            <v>Điện - Điện tử</v>
          </cell>
          <cell r="H270" t="str">
            <v>22151119</v>
          </cell>
          <cell r="I270" t="str">
            <v>Nguyễn Gia Bảo 23151051
Trương Gia Bảo 23151054
Phan Thế Phong 23142181
Lê Trọng Tuấn Anh 22142068</v>
          </cell>
          <cell r="J270" t="str">
            <v>Trần Đức Lợi</v>
          </cell>
          <cell r="K270" t="str">
            <v>Khoa Điện - Điện tử</v>
          </cell>
          <cell r="L270" t="str">
            <v>loitd@hcmute.edu.vn</v>
          </cell>
          <cell r="M270" t="str">
            <v>02 Bài báo được chấp nhận đăng trên tạp chí quốc tế có chỉ số xuất bản ISSN hoặc tạp chí có trong danh mục SCOPUS
01 Chương trình mô phỏng mờ
01 Chương trình điều khiển mờ nhúng thực nghiệm</v>
          </cell>
          <cell r="N270">
            <v>25000000</v>
          </cell>
          <cell r="O270" t="str">
            <v>Hai mươi lăm triệu đồng</v>
          </cell>
          <cell r="P270" t="str">
            <v xml:space="preserve">22151119@student.hcmute.edu.vn </v>
          </cell>
          <cell r="Q270" t="str">
            <v>0965643422</v>
          </cell>
        </row>
        <row r="271">
          <cell r="B271" t="str">
            <v>SV2026-283</v>
          </cell>
          <cell r="C271" t="str">
            <v>X</v>
          </cell>
          <cell r="D271" t="str">
            <v>Nghiên cứu và phát triển gậy thông minh đa chức năng: định vị – phát hiện vật cản – cảnh báo an toàn</v>
          </cell>
          <cell r="E271" t="str">
            <v>Phạm Võ Thiện Bảo 23161101</v>
          </cell>
          <cell r="F271" t="str">
            <v xml:space="preserve">Phạm Võ Thiện Bảo </v>
          </cell>
          <cell r="G271" t="str">
            <v>Điện - Điện tử</v>
          </cell>
          <cell r="H271" t="str">
            <v>23161101</v>
          </cell>
          <cell r="I271" t="str">
            <v>Cao Văn Tài 23161179
Nguyễn Tuấn Cường 23161109
Lê Quang Trung 23161206</v>
          </cell>
          <cell r="J271" t="str">
            <v>Đặng Phước Hải Trang</v>
          </cell>
          <cell r="K271" t="str">
            <v>Khoa Điện - Điện tử</v>
          </cell>
          <cell r="L271" t="str">
            <v>trangdph@hcmute.edu.vn</v>
          </cell>
          <cell r="M271" t="str">
            <v>01 Mô hình gậy thông minh hoạt động được</v>
          </cell>
          <cell r="N271">
            <v>10000000</v>
          </cell>
          <cell r="O271" t="str">
            <v>Mười triệu đồng</v>
          </cell>
          <cell r="P271" t="str">
            <v>23161101@student.hcmute.edu.vn</v>
          </cell>
          <cell r="Q271" t="str">
            <v>0763719473</v>
          </cell>
        </row>
        <row r="272">
          <cell r="B272" t="str">
            <v>SV2026-284</v>
          </cell>
          <cell r="C272" t="str">
            <v>X</v>
          </cell>
          <cell r="D272" t="str">
            <v>Điều khiển thực nghiệm PID/Fuzzy vận tốc cho hệ băng tải</v>
          </cell>
          <cell r="E272" t="str">
            <v>Phan Minh Nam 22151261</v>
          </cell>
          <cell r="F272" t="str">
            <v xml:space="preserve">Phan Minh Nam </v>
          </cell>
          <cell r="G272" t="str">
            <v>Điện - Điện tử</v>
          </cell>
          <cell r="H272" t="str">
            <v>22151261</v>
          </cell>
          <cell r="I272" t="str">
            <v>Nguyễn Văn Thao 22151296
Quách Nguyễn Triệu Vỹ 22149208
Lê Minh Khoa 22149111
Nguyễn Đình Khánh 23151122</v>
          </cell>
          <cell r="J272" t="str">
            <v>Lê Thị Thanh Hoàng</v>
          </cell>
          <cell r="K272" t="str">
            <v>Khoa Điện - Điện tử</v>
          </cell>
          <cell r="L272" t="str">
            <v>hoangltt@hcmute.edu.vn</v>
          </cell>
          <cell r="M272" t="str">
            <v>01 Bài báo được chấp nhận đăng trên tạp chí quốc tế được viết bằng tiếng Anh, có phản biện, có chỉ số ISSN
01 Chương trình PID thực nghiệm
01 Chương trình mờ thực nghiệm</v>
          </cell>
          <cell r="N272">
            <v>15000000</v>
          </cell>
          <cell r="O272" t="str">
            <v>Mười lăm triệu đồng</v>
          </cell>
          <cell r="P272" t="str">
            <v xml:space="preserve">22151261@student.hcmute.edu.vn  </v>
          </cell>
          <cell r="Q272" t="str">
            <v>0971851277</v>
          </cell>
        </row>
        <row r="273">
          <cell r="B273" t="str">
            <v>SV2026-285</v>
          </cell>
          <cell r="C273" t="str">
            <v>X</v>
          </cell>
          <cell r="D273" t="str">
            <v>Ước lượng công suất hoạt động của động cơ xe điện tự hành dựa vào nhận dạng môi trường vận hành sử dụng công nghệ xử lý ảnh và cảm biến IMU</v>
          </cell>
          <cell r="E273" t="str">
            <v>Phan Thị Liệu 23151136</v>
          </cell>
          <cell r="F273" t="str">
            <v xml:space="preserve">Phan Thị Liệu </v>
          </cell>
          <cell r="G273" t="str">
            <v>Điện - Điện tử</v>
          </cell>
          <cell r="H273" t="str">
            <v>23151136</v>
          </cell>
          <cell r="I273" t="str">
            <v>Nguyễn Văn Hùng 23151111
Đào Nguyễn Quốc Kha 22151229
Lê Minh Tân 23119033</v>
          </cell>
          <cell r="J273" t="str">
            <v>Phùng Sơn Thanh</v>
          </cell>
          <cell r="K273" t="str">
            <v>Khoa Điện - Điện tử</v>
          </cell>
          <cell r="L273" t="str">
            <v>thanhps@hcmute.edu.vn</v>
          </cell>
          <cell r="M273" t="str">
            <v>01 Bài báo khoa học đăng toàn văn trong kỷ yếu hội nghị, hội thảo có chỉ số ISSN/ ISBN
01 Báo cáo tổng kết</v>
          </cell>
          <cell r="N273">
            <v>10000000</v>
          </cell>
          <cell r="O273" t="str">
            <v>Mười triệu đồng</v>
          </cell>
          <cell r="P273" t="str">
            <v>23151136@student.hcmute.edu.vn</v>
          </cell>
          <cell r="Q273" t="str">
            <v>0378702632</v>
          </cell>
        </row>
        <row r="274">
          <cell r="B274" t="str">
            <v>SV2026-286</v>
          </cell>
          <cell r="C274" t="str">
            <v>X</v>
          </cell>
          <cell r="D274" t="str">
            <v>Điều khiển bám quỹ đạo cho robot tự hành sử dụng PID – Mạng nơ-ron nhân tạo</v>
          </cell>
          <cell r="E274" t="str">
            <v>Phùng Anh Tuấn 23151201</v>
          </cell>
          <cell r="F274" t="str">
            <v xml:space="preserve">Phùng Anh Tuấn </v>
          </cell>
          <cell r="G274" t="str">
            <v>Điện - Điện tử</v>
          </cell>
          <cell r="H274" t="str">
            <v>23151201</v>
          </cell>
          <cell r="I274" t="str">
            <v>Lê Trần Minh Trí 23151190
Nguyễn Lê Thanh Trọng 23151192
Trần Văn Vinh 23151205</v>
          </cell>
          <cell r="J274" t="str">
            <v>Nguyễn Minh Tâm</v>
          </cell>
          <cell r="K274" t="str">
            <v>Khoa Điện - Điện tử</v>
          </cell>
          <cell r="L274" t="str">
            <v>tamnm@hcmute.edu.vn</v>
          </cell>
          <cell r="M274" t="str">
            <v>01 Chương trình máy tính
01 Báo cáo tổng kết</v>
          </cell>
          <cell r="N274">
            <v>5000000</v>
          </cell>
          <cell r="O274" t="str">
            <v>Năm triệu đồng</v>
          </cell>
          <cell r="P274" t="str">
            <v>23151201@student.hcmute.edu.vn</v>
          </cell>
          <cell r="Q274" t="str">
            <v>0937794365</v>
          </cell>
        </row>
        <row r="275">
          <cell r="B275" t="str">
            <v>SV2026-287</v>
          </cell>
          <cell r="C275" t="str">
            <v>X</v>
          </cell>
          <cell r="D275" t="str">
            <v>Nghiên cứu và xây dựng hệ thống cảnh báo trẻ em bị bỏ quên trên xe ô tô ứng dụng Trí tuệ nhân tạo (AI) và cơ chế cập nhật firmware từ xa (FOTA)</v>
          </cell>
          <cell r="E275" t="str">
            <v>Tạ Phú Thành 22144188</v>
          </cell>
          <cell r="F275" t="str">
            <v xml:space="preserve">Tạ Phú Thành </v>
          </cell>
          <cell r="G275" t="str">
            <v>Điện - Điện tử</v>
          </cell>
          <cell r="H275" t="str">
            <v>22144188</v>
          </cell>
          <cell r="I275" t="str">
            <v>Trần Nguyễn Thành Tài 22119129
Trần Đoàn Trung 22119144
Bùi Huỳnh Nhật Quang 22119121</v>
          </cell>
          <cell r="J275" t="str">
            <v>Nguyễn Ngô Lâm</v>
          </cell>
          <cell r="K275" t="str">
            <v>Khoa Điện - Điện tử</v>
          </cell>
          <cell r="L275" t="str">
            <v>lamnn@hcmute.edu.vn</v>
          </cell>
          <cell r="M275" t="str">
            <v>01 Mô hình Hệ thống Child Presence Detection trên xe Oto
01 Bản báo cáo tổng kết</v>
          </cell>
          <cell r="N275">
            <v>10000000</v>
          </cell>
          <cell r="O275" t="str">
            <v>Mười triệu đồng</v>
          </cell>
          <cell r="P275" t="str">
            <v>22144188@student.hcmute.edu.vn</v>
          </cell>
          <cell r="Q275" t="str">
            <v>0983073419</v>
          </cell>
        </row>
        <row r="276">
          <cell r="B276" t="str">
            <v>SV2026-288</v>
          </cell>
          <cell r="C276" t="str">
            <v>X</v>
          </cell>
          <cell r="D276" t="str">
            <v>Nghiên cứu và chế tạo thiết bị nhận biết mệnh giá tiền với các chức năng phục vụ cho người khiếm thị</v>
          </cell>
          <cell r="E276" t="str">
            <v>Thái Gia Bảo	 24119113</v>
          </cell>
          <cell r="F276" t="str">
            <v xml:space="preserve">Thái Gia Bảo	 </v>
          </cell>
          <cell r="G276" t="str">
            <v>Điện - Điện tử</v>
          </cell>
          <cell r="H276" t="str">
            <v>24119113</v>
          </cell>
          <cell r="I276" t="str">
            <v>Từ Lễ An 24119106
Bùi Ngọc Đăng Khoa 24119147
Đậu Đình Khánh 24119145</v>
          </cell>
          <cell r="J276" t="str">
            <v>Phùng Sơn Thanh</v>
          </cell>
          <cell r="K276" t="str">
            <v>Khoa Điện - Điện tử</v>
          </cell>
          <cell r="L276" t="str">
            <v>thanhps@hcmute.edu.vn</v>
          </cell>
          <cell r="M276" t="str">
            <v>01 Báo cáo tổng kết</v>
          </cell>
          <cell r="N276">
            <v>5000000</v>
          </cell>
          <cell r="O276" t="str">
            <v>Năm triệu đồng</v>
          </cell>
          <cell r="P276" t="str">
            <v>24119113@student.hcmute.edu.vn</v>
          </cell>
          <cell r="Q276" t="str">
            <v>0978819073</v>
          </cell>
        </row>
        <row r="277">
          <cell r="B277" t="str">
            <v>SV2026-289</v>
          </cell>
          <cell r="C277" t="str">
            <v>X</v>
          </cell>
          <cell r="D277" t="str">
            <v>Thiết kế SoC RISC-V tích hợp bộ gia tốc trí tuệ nhân tạo, tối ưu hóa toán tử GEMM/Convolution trong Deep Learning</v>
          </cell>
          <cell r="E277" t="str">
            <v>Thái Hoàng Phi 23119091</v>
          </cell>
          <cell r="F277" t="str">
            <v xml:space="preserve">Thái Hoàng Phi </v>
          </cell>
          <cell r="G277" t="str">
            <v>Điện - Điện tử</v>
          </cell>
          <cell r="H277" t="str">
            <v>23119091</v>
          </cell>
          <cell r="I277" t="str">
            <v>Nguyễn Xuân Khôi 23119076
Nguyễn Chính Ân 23119047</v>
          </cell>
          <cell r="J277" t="str">
            <v>Phạm Văn Khoa</v>
          </cell>
          <cell r="K277" t="str">
            <v>Khoa Đào tạo tiên tiến</v>
          </cell>
          <cell r="L277" t="str">
            <v>khoapv@hcmute.edu.vn</v>
          </cell>
          <cell r="M277" t="str">
            <v>01 Bài báo khoa học đăng trên tạp chí trong nước trong danh mục của HĐ GSNN tính từ 0,5 điểm trở lên</v>
          </cell>
          <cell r="N277">
            <v>15000000</v>
          </cell>
          <cell r="O277" t="str">
            <v>Mười lăm triệu đồng</v>
          </cell>
          <cell r="P277" t="str">
            <v>23119091@student.hcmute.edu.vn</v>
          </cell>
          <cell r="Q277" t="str">
            <v>0973186277</v>
          </cell>
        </row>
        <row r="278">
          <cell r="B278" t="str">
            <v>SV2026-290</v>
          </cell>
          <cell r="C278" t="str">
            <v>X</v>
          </cell>
          <cell r="D278" t="str">
            <v>Điều khiển bộ chuyển đổi DC – DC converter tăng áp cho thiết bị nghịch lưu một pha dựa trên học tăng cường sâu</v>
          </cell>
          <cell r="E278" t="str">
            <v>Trần Anh Khôi 23151267</v>
          </cell>
          <cell r="F278" t="str">
            <v xml:space="preserve">Trần Anh Khôi </v>
          </cell>
          <cell r="G278" t="str">
            <v>Điện - Điện tử</v>
          </cell>
          <cell r="H278" t="str">
            <v>23151267</v>
          </cell>
          <cell r="I278" t="str">
            <v>Nguyễn Minh Đức 23151238
Mai Đình Phong 23151294</v>
          </cell>
          <cell r="J278" t="str">
            <v>Trần Vi Đô</v>
          </cell>
          <cell r="K278" t="str">
            <v>Khoa Điện - Điện tử</v>
          </cell>
          <cell r="L278" t="str">
            <v>dotv@hcmute.edu.vn</v>
          </cell>
          <cell r="M278" t="str">
            <v>01 Bộ mô hình mạch nghịch lưu tăng áp công suất nhỏ phục vụ thí nghiệm
01 Báo cáo phân tích so sánh các thuật toán</v>
          </cell>
          <cell r="N278">
            <v>10000000</v>
          </cell>
          <cell r="O278" t="str">
            <v>Mười triệu đồng</v>
          </cell>
          <cell r="P278" t="str">
            <v>23151267@student.hcmute.edu.vn</v>
          </cell>
          <cell r="Q278" t="str">
            <v>0784528121</v>
          </cell>
        </row>
        <row r="279">
          <cell r="B279" t="str">
            <v>SV2026-291</v>
          </cell>
          <cell r="C279" t="str">
            <v>X</v>
          </cell>
          <cell r="D279" t="str">
            <v>Thiết kế và thi công hệ thống IoT điều khiển và giám sát thiết bị điện qua Website</v>
          </cell>
          <cell r="E279" t="str">
            <v>Trần Đức Tài 22119226</v>
          </cell>
          <cell r="F279" t="str">
            <v xml:space="preserve">Trần Đức Tài </v>
          </cell>
          <cell r="G279" t="str">
            <v>Điện - Điện tử</v>
          </cell>
          <cell r="H279" t="str">
            <v>22119226</v>
          </cell>
          <cell r="I279" t="str">
            <v>Nguyễn Đình Thống 22119236
Lưu Phúc Khang 22119188
Ngô Xuân Thọ 21119376
Nguyễn Minh Quân 20144197</v>
          </cell>
          <cell r="J279" t="str">
            <v>Huỳnh Hoàng Hà</v>
          </cell>
          <cell r="K279" t="str">
            <v>Khoa Điện - Điện tử</v>
          </cell>
          <cell r="L279" t="str">
            <v>hahh@hcmute.edu.vn</v>
          </cell>
          <cell r="M279" t="str">
            <v>01 Mô hình Panel điều khiển IoT
01 Báo cáo tổng kết</v>
          </cell>
          <cell r="N279">
            <v>10000000</v>
          </cell>
          <cell r="O279" t="str">
            <v>Mười triệu đồng</v>
          </cell>
          <cell r="P279" t="str">
            <v>22119226@student.hcmute.edu.vn</v>
          </cell>
          <cell r="Q279" t="str">
            <v>0397882342</v>
          </cell>
        </row>
        <row r="280">
          <cell r="B280" t="str">
            <v>SV2026-292</v>
          </cell>
          <cell r="C280"/>
          <cell r="D280" t="str">
            <v>Nghiên cứu phương pháp cải thiện công suất cho hệ thống pin quang điện trong đô thị dưới ảnh hưởng của bóng che</v>
          </cell>
          <cell r="E280" t="str">
            <v>Trần Khánh Quân 23142193</v>
          </cell>
          <cell r="F280" t="str">
            <v xml:space="preserve">Trần Khánh Quân </v>
          </cell>
          <cell r="G280" t="str">
            <v>Điện - Điện tử</v>
          </cell>
          <cell r="H280" t="str">
            <v>23142193</v>
          </cell>
          <cell r="I280" t="str">
            <v>Lê Cao Kiên 23142145</v>
          </cell>
          <cell r="J280" t="str">
            <v>Trương Việt Anh</v>
          </cell>
          <cell r="K280" t="str">
            <v>Khoa Điện - Điện tử</v>
          </cell>
          <cell r="L280" t="str">
            <v>anhtv@hcmute.edu.vn</v>
          </cell>
          <cell r="M280" t="str">
            <v>01 Bài báo khoa học đăng trên tạp chí trong nước trong danh mục của Hội đồng Giáo sư Nhà nước tính 0,5 điểm trở lên</v>
          </cell>
          <cell r="N280">
            <v>15000000</v>
          </cell>
          <cell r="O280" t="str">
            <v>Mười lăm triệu đồng</v>
          </cell>
          <cell r="P280" t="str">
            <v xml:space="preserve">23142193@student.hcmute.edu.vn  </v>
          </cell>
          <cell r="Q280" t="str">
            <v>0914749005</v>
          </cell>
        </row>
        <row r="281">
          <cell r="B281" t="str">
            <v>SV2026-293</v>
          </cell>
          <cell r="C281" t="str">
            <v>X</v>
          </cell>
          <cell r="D281" t="str">
            <v>Thiết kế và thi công thiết bị bàn đạp phục hồi chức năng chi dưới</v>
          </cell>
          <cell r="E281" t="str">
            <v>Trần Mỹ Duyên 22129009</v>
          </cell>
          <cell r="F281" t="str">
            <v xml:space="preserve">Trần Mỹ Duyên </v>
          </cell>
          <cell r="G281" t="str">
            <v>Điện - Điện tử</v>
          </cell>
          <cell r="H281" t="str">
            <v>22129009</v>
          </cell>
          <cell r="I281" t="str">
            <v>Nguyễn Thị Thùy Dương 22129010
Nguyễn Huỳnh Bình Minh 21129020</v>
          </cell>
          <cell r="J281" t="str">
            <v>Nguyễn Thanh Nghĩa</v>
          </cell>
          <cell r="K281" t="str">
            <v>Khoa Điện - Điện tử</v>
          </cell>
          <cell r="L281" t="str">
            <v>nghiant@hcmute.edu.vn</v>
          </cell>
          <cell r="M281" t="str">
            <v>01 Thiết bị bàn đạp phục hồi chức năng chi dưới
01 Báo cáo tổng kết</v>
          </cell>
          <cell r="N281">
            <v>10000000</v>
          </cell>
          <cell r="O281" t="str">
            <v>Mười triệu đồng</v>
          </cell>
          <cell r="P281" t="str">
            <v>22129009@student.hcmute.edu.vn</v>
          </cell>
          <cell r="Q281" t="str">
            <v>0926198199</v>
          </cell>
        </row>
        <row r="282">
          <cell r="B282" t="str">
            <v>SV2026-295</v>
          </cell>
          <cell r="C282" t="str">
            <v>X</v>
          </cell>
          <cell r="D282" t="str">
            <v>Thiết kế và thi công hệ thống giữ xe ô tô tự động</v>
          </cell>
          <cell r="E282" t="str">
            <v>Trần Quang Bình 22161095</v>
          </cell>
          <cell r="F282" t="str">
            <v xml:space="preserve">Trần Quang Bình </v>
          </cell>
          <cell r="G282" t="str">
            <v>Điện - Điện tử</v>
          </cell>
          <cell r="H282" t="str">
            <v>22161095</v>
          </cell>
          <cell r="I282" t="str">
            <v>Lê Khắc Duy 22161104
Dương Ngọc Vinh 22161214
Vũ Tiến Lực 22161151
Trương Minh Khôi 22161143</v>
          </cell>
          <cell r="J282" t="str">
            <v>Nguyễn Văn Phúc</v>
          </cell>
          <cell r="K282" t="str">
            <v>Khoa Điện - Điện tử</v>
          </cell>
          <cell r="L282" t="str">
            <v>phucnv@hcmute.edu.vn</v>
          </cell>
          <cell r="M282" t="str">
            <v>01 Mô hình bãi giữ xe tự động
01 Báo cáo tổng kết</v>
          </cell>
          <cell r="N282">
            <v>10000000</v>
          </cell>
          <cell r="O282" t="str">
            <v>Mười triệu đồng</v>
          </cell>
          <cell r="P282" t="str">
            <v>22161095@student.hcmute.edu.vn</v>
          </cell>
          <cell r="Q282" t="str">
            <v>0362093725</v>
          </cell>
        </row>
        <row r="283">
          <cell r="B283" t="str">
            <v>SV2026-296</v>
          </cell>
          <cell r="C283" t="str">
            <v>X</v>
          </cell>
          <cell r="D283" t="str">
            <v>Nghiên cứu hệ thống dự đoán trạng thái bất thường của động cơ xe điện dựa trên kỹ thuật song sinh kỹ thuật số</v>
          </cell>
          <cell r="E283" t="str">
            <v>Trần Thái Sơn 23151172</v>
          </cell>
          <cell r="F283" t="str">
            <v xml:space="preserve">Trần Thái Sơn </v>
          </cell>
          <cell r="G283" t="str">
            <v>Điện - Điện tử</v>
          </cell>
          <cell r="H283" t="str">
            <v>23151172</v>
          </cell>
          <cell r="I283" t="str">
            <v>Nguyễn Minh Huy 23151102
Dương Cường Sáng 23151169
Tăng Đàm Song 23151170
Lâm Hoàng Vũ 23151208</v>
          </cell>
          <cell r="J283" t="str">
            <v>Lê Trọng Hiếu</v>
          </cell>
          <cell r="K283" t="str">
            <v>Khoa Điện - Điện tử</v>
          </cell>
          <cell r="L283" t="str">
            <v>tronghieu@hcmute.edu.vn</v>
          </cell>
          <cell r="M283" t="str">
            <v xml:space="preserve">01 Bài báo khoa học đăng toàn văn trong kỷ yếu hội nghị, hội thảo có chỉ số ISSN/ISBN
01 Báo cáo tổng kết </v>
          </cell>
          <cell r="N283">
            <v>10000000</v>
          </cell>
          <cell r="O283" t="str">
            <v>Mười triệu đồng</v>
          </cell>
          <cell r="P283" t="str">
            <v xml:space="preserve">23151172@student.hcmute.edu.vn </v>
          </cell>
          <cell r="Q283" t="str">
            <v>0703397187</v>
          </cell>
        </row>
        <row r="284">
          <cell r="B284" t="str">
            <v>SV2026-297</v>
          </cell>
          <cell r="C284" t="str">
            <v>X</v>
          </cell>
          <cell r="D284" t="str">
            <v>Hệ thống trồng cây gia đình tự động</v>
          </cell>
          <cell r="E284" t="str">
            <v>Trịnh Xuân Nam 21151136</v>
          </cell>
          <cell r="F284" t="str">
            <v xml:space="preserve">Trịnh Xuân Nam </v>
          </cell>
          <cell r="G284" t="str">
            <v>Điện - Điện tử</v>
          </cell>
          <cell r="H284" t="str">
            <v>21151136</v>
          </cell>
          <cell r="I284" t="str">
            <v>Trần Việt Cường 21151081
Nguyễn Tiến Ninh 22151034
Võ Văn Thành 23151178
Đỗ Nguyễn Phương Thảo 22124111</v>
          </cell>
          <cell r="J284" t="str">
            <v>Nguyễn Trần Minh Nguyệt</v>
          </cell>
          <cell r="K284" t="str">
            <v>Khoa Điện - Điện tử</v>
          </cell>
          <cell r="L284" t="str">
            <v>nguyetntm@hcmute.edu.vn</v>
          </cell>
          <cell r="M284" t="str">
            <v>01 Chương trình thực nghiệm
01 Báo cáo tổng kết</v>
          </cell>
          <cell r="N284">
            <v>5000000</v>
          </cell>
          <cell r="O284" t="str">
            <v>Năm triệu đồng</v>
          </cell>
          <cell r="P284" t="str">
            <v>21151136@student.hcmute.edu.vn</v>
          </cell>
          <cell r="Q284" t="str">
            <v>0862723825</v>
          </cell>
        </row>
        <row r="285">
          <cell r="B285" t="str">
            <v>SV2026-299</v>
          </cell>
          <cell r="C285"/>
          <cell r="D285" t="str">
            <v>Thiết kế và thi công hệ thống quản lý thiết bị y tế trong bệnh viện bằng công nghệ không dây</v>
          </cell>
          <cell r="E285" t="str">
            <v>Trương Đông Quân 23129040</v>
          </cell>
          <cell r="F285" t="str">
            <v xml:space="preserve">Trương Đông Quân </v>
          </cell>
          <cell r="G285" t="str">
            <v>Điện - Điện tử</v>
          </cell>
          <cell r="H285" t="str">
            <v>23129040</v>
          </cell>
          <cell r="I285" t="str">
            <v>Trần Huỳnh Như 23129031</v>
          </cell>
          <cell r="J285" t="str">
            <v>Ngô Bá Việt</v>
          </cell>
          <cell r="K285" t="str">
            <v>Khoa Điện - Điện tử</v>
          </cell>
          <cell r="L285" t="str">
            <v>vietnb@hcmute.edu.vn</v>
          </cell>
          <cell r="M285" t="str">
            <v>01 mô hình Hệ thống quản lý thiết bị y tế bằng công nghệ không dây
01 Báo cáo tổng kết</v>
          </cell>
          <cell r="N285">
            <v>10000000</v>
          </cell>
          <cell r="O285" t="str">
            <v>Mười triệu đồng</v>
          </cell>
          <cell r="P285" t="str">
            <v xml:space="preserve">23129040@student.hcmute.edu.vn </v>
          </cell>
          <cell r="Q285" t="str">
            <v>0703967747</v>
          </cell>
        </row>
        <row r="286">
          <cell r="B286" t="str">
            <v>SV2026-300</v>
          </cell>
          <cell r="C286" t="str">
            <v>X</v>
          </cell>
          <cell r="D286" t="str">
            <v>Phát triển các chiến lược điều khiển FOC cho động cơ PMSM ứng dụng trên xe điện</v>
          </cell>
          <cell r="E286" t="str">
            <v>Từ Thái Đạt 22161238</v>
          </cell>
          <cell r="F286" t="str">
            <v xml:space="preserve">Từ Thái Đạt </v>
          </cell>
          <cell r="G286" t="str">
            <v>Điện - Điện tử</v>
          </cell>
          <cell r="H286" t="str">
            <v>22161238</v>
          </cell>
          <cell r="I286" t="str">
            <v>Nguyễn Minh Hiển 22161251</v>
          </cell>
          <cell r="J286" t="str">
            <v>Trịnh Hoài Ân</v>
          </cell>
          <cell r="K286" t="str">
            <v>Khoa Điện - Điện tử</v>
          </cell>
          <cell r="L286" t="str">
            <v>anth@hcmute.edu.vn</v>
          </cell>
          <cell r="M286" t="str">
            <v>01 Bài báo khoa học đăng trên tạp chí trong nước trong danh mục của HĐ GSNN tính từ 0,5 điểm trở lên
01 Báo cáo tổng kết</v>
          </cell>
          <cell r="N286">
            <v>15000000</v>
          </cell>
          <cell r="O286" t="str">
            <v>Mười lăm triệu đồng</v>
          </cell>
          <cell r="P286" t="str">
            <v>22161238@student.hcmute.edu.vn</v>
          </cell>
          <cell r="Q286" t="str">
            <v>0768649507</v>
          </cell>
        </row>
        <row r="287">
          <cell r="B287" t="str">
            <v>SV2026-301</v>
          </cell>
          <cell r="C287" t="str">
            <v>X</v>
          </cell>
          <cell r="D287" t="str">
            <v>Phân tích và thử nghiệm một số kĩ thuật tối ưu thuật toán trên FPGA</v>
          </cell>
          <cell r="E287" t="str">
            <v>Văn Đình Nghĩa 23161300</v>
          </cell>
          <cell r="F287" t="str">
            <v xml:space="preserve">Văn Đình Nghĩa </v>
          </cell>
          <cell r="G287" t="str">
            <v>Điện - Điện tử</v>
          </cell>
          <cell r="H287" t="str">
            <v>23161300</v>
          </cell>
          <cell r="I287" t="str">
            <v>Bùi Hoàng Thái Sơn 23161323
Nguyễn Hữu Khoa 22119191
Nguyễn Nguyễn Phúc Khang 25151050</v>
          </cell>
          <cell r="J287" t="str">
            <v>Huỳnh Hoàng Hà</v>
          </cell>
          <cell r="K287" t="str">
            <v>Khoa Điện - Điện tử</v>
          </cell>
          <cell r="L287" t="str">
            <v>hahh@hcmute.edu.vn</v>
          </cell>
          <cell r="M287" t="str">
            <v>01 Mô hình FPGA thực nghiệm
01 Báo cáo tổng kết</v>
          </cell>
          <cell r="N287">
            <v>10000000</v>
          </cell>
          <cell r="O287" t="str">
            <v>Mười triệu đồng</v>
          </cell>
          <cell r="P287" t="str">
            <v>23161300@student.hcmute.edu.vn</v>
          </cell>
          <cell r="Q287" t="str">
            <v>0359241096</v>
          </cell>
        </row>
        <row r="288">
          <cell r="B288" t="str">
            <v>SV2026-302</v>
          </cell>
          <cell r="C288" t="str">
            <v>X</v>
          </cell>
          <cell r="D288" t="str">
            <v>Ứng dụng thuật toán tối ưu hóa phi tuyến để tối ưu quỹ đạo cục bộ cho Robot Mecanum</v>
          </cell>
          <cell r="E288" t="str">
            <v>Văng Công Quỳnh 23151305</v>
          </cell>
          <cell r="F288" t="str">
            <v xml:space="preserve">Văng Công Quỳnh </v>
          </cell>
          <cell r="G288" t="str">
            <v>Điện - Điện tử</v>
          </cell>
          <cell r="H288" t="str">
            <v>23151305</v>
          </cell>
          <cell r="I288" t="str">
            <v>Trần Nhật Phúc 23151299
Nguyễn Phúc Qui 23151304</v>
          </cell>
          <cell r="J288" t="str">
            <v>Phạm Huỳnh Thế</v>
          </cell>
          <cell r="K288" t="str">
            <v>Khoa Điện - Điện tử</v>
          </cell>
          <cell r="L288" t="str">
            <v>theph@hcmute.edu.vn</v>
          </cell>
          <cell r="M288" t="str">
            <v>Báo cáo phân tích, so sánh, ứng dụng thuật toán tối ưu hóa phi tuyến để tối ưu quỹ đạo cục bộ</v>
          </cell>
          <cell r="N288">
            <v>5000000</v>
          </cell>
          <cell r="O288" t="str">
            <v>Năm triệu đồng</v>
          </cell>
          <cell r="P288" t="str">
            <v>23151305@student.hcmute.edu.vn</v>
          </cell>
          <cell r="Q288" t="str">
            <v>0965303305</v>
          </cell>
        </row>
        <row r="289">
          <cell r="B289" t="str">
            <v>SV2026-303</v>
          </cell>
          <cell r="C289" t="str">
            <v>X</v>
          </cell>
          <cell r="D289" t="str">
            <v>Thiết kế và vận hành cánh tay robot song song phân loại sản phẩm</v>
          </cell>
          <cell r="E289" t="str">
            <v>Võ Kim Thành 20151045</v>
          </cell>
          <cell r="F289" t="str">
            <v xml:space="preserve">Võ Kim Thành </v>
          </cell>
          <cell r="G289" t="str">
            <v>Điện - Điện tử</v>
          </cell>
          <cell r="H289" t="str">
            <v>20151045</v>
          </cell>
          <cell r="I289" t="str">
            <v>Nguyễn Ngô Hương Giang 23142114
Nguyễn Học Lễ 23142149
Phan Đình Mạnh Tùng 23142228
Nguyễn Quang Thiện 23161196</v>
          </cell>
          <cell r="J289" t="str">
            <v>Nguyễn Trần Minh Nguyệt</v>
          </cell>
          <cell r="K289" t="str">
            <v>Khoa Điện - Điện tử</v>
          </cell>
          <cell r="L289" t="str">
            <v>nguyetntm@hcmute.edu.vn</v>
          </cell>
          <cell r="M289" t="str">
            <v>02 Bài báo khoa học được chấp nhận đăng trên tạp chí quốc tế có chỉ số xuất bản ISSN
01 Chương trình phần mềm
01 Báo cáo tổng kết</v>
          </cell>
          <cell r="N289">
            <v>25000000</v>
          </cell>
          <cell r="O289" t="str">
            <v>Hai mươi lăm triệu đồng</v>
          </cell>
          <cell r="P289" t="str">
            <v xml:space="preserve">20151045@student.hcmute.edu.vn </v>
          </cell>
          <cell r="Q289" t="str">
            <v>0373542545</v>
          </cell>
        </row>
        <row r="290">
          <cell r="B290" t="str">
            <v>SV2026-304</v>
          </cell>
          <cell r="C290" t="str">
            <v>X</v>
          </cell>
          <cell r="D290" t="str">
            <v>Ứng dụng trí tuệ nhân tạo phát hiện hành vi bất thường của động vật hoang dã</v>
          </cell>
          <cell r="E290" t="str">
            <v>Võ Minh Nguyên 24161341</v>
          </cell>
          <cell r="F290" t="str">
            <v xml:space="preserve">Võ Minh Nguyên </v>
          </cell>
          <cell r="G290" t="str">
            <v>Điện - Điện tử</v>
          </cell>
          <cell r="H290" t="str">
            <v>24161341</v>
          </cell>
          <cell r="I290" t="str">
            <v>Võ Can Huy 24161087
Lê Ngọc Thanh 2439702
Nguyễn Thị Thu Thủy 24161416
Nguyễn Hoàng Công Tấn 23161077</v>
          </cell>
          <cell r="J290" t="str">
            <v>Võ Minh Huân</v>
          </cell>
          <cell r="K290" t="str">
            <v>Khoa Điện - Điện tử</v>
          </cell>
          <cell r="L290" t="str">
            <v>huanvm@hcmute.edu.vn</v>
          </cell>
          <cell r="M290" t="str">
            <v>01 Bài báo đăng trên tạp chí trong nước trong danh mục HĐ GSNN tính 0.5 điểm hoặc bài báo đăng trên tạp chí khoa quốc tế có chỉ số xuất bản ISSN</v>
          </cell>
          <cell r="N290">
            <v>15000000</v>
          </cell>
          <cell r="O290" t="str">
            <v>Mười lăm triệu đồng</v>
          </cell>
          <cell r="P290" t="str">
            <v>24161341@student.hcmute.edu.vn</v>
          </cell>
          <cell r="Q290" t="str">
            <v>0813047433</v>
          </cell>
        </row>
        <row r="291">
          <cell r="B291" t="str">
            <v>SV2026-305</v>
          </cell>
          <cell r="C291" t="str">
            <v>X</v>
          </cell>
          <cell r="D291" t="str">
            <v>Nghiên cứu và triển khai điều khiển bộ chuyển đổi DC–DC hai chiều trong hệ vi lưới sử dụng phương pháp trượt siêu xoắn kết hợp mạng nơ-ron</v>
          </cell>
          <cell r="E291" t="str">
            <v>Võ Minh Thành 23151177</v>
          </cell>
          <cell r="F291" t="str">
            <v xml:space="preserve">Võ Minh Thành </v>
          </cell>
          <cell r="G291" t="str">
            <v>Điện - Điện tử</v>
          </cell>
          <cell r="H291" t="str">
            <v>23151177</v>
          </cell>
          <cell r="I291" t="str">
            <v>Đỗ Đình Thắng 23151179
Lê Đức Tấn 23151174</v>
          </cell>
          <cell r="J291" t="str">
            <v>Phạm Hữu Thái</v>
          </cell>
          <cell r="K291" t="str">
            <v>Khoa Điện - Điện tử</v>
          </cell>
          <cell r="L291" t="str">
            <v>thaiph@hcmute.edu.vn</v>
          </cell>
          <cell r="M291" t="str">
            <v>01 Bài báo khoa học đăng toàn văn trong kỷ yếu hội nghị, hội thảo có chỉ số ISSN/ISBN
01 Báo cáo tổng kết</v>
          </cell>
          <cell r="N291">
            <v>10000000</v>
          </cell>
          <cell r="O291" t="str">
            <v>Mười triệu đồng</v>
          </cell>
          <cell r="P291" t="str">
            <v xml:space="preserve">23151177@student.hcmute.edu.vn </v>
          </cell>
          <cell r="Q291" t="str">
            <v>0354226517</v>
          </cell>
        </row>
        <row r="292">
          <cell r="B292" t="str">
            <v>SV2026-306</v>
          </cell>
          <cell r="C292" t="str">
            <v>X</v>
          </cell>
          <cell r="D292" t="str">
            <v>Nghiên cứu hệ thống giám sát và cảnh báo hành vi trái quy định tại trường học</v>
          </cell>
          <cell r="E292" t="str">
            <v>Võ Ngọc Trai 24119206</v>
          </cell>
          <cell r="F292" t="str">
            <v xml:space="preserve">Võ Ngọc Trai </v>
          </cell>
          <cell r="G292" t="str">
            <v>Điện - Điện tử</v>
          </cell>
          <cell r="H292" t="str">
            <v>24119206</v>
          </cell>
          <cell r="I292" t="str">
            <v>Lê Tiến Thịnh 24119200</v>
          </cell>
          <cell r="J292" t="str">
            <v>Lê Mỹ Hà</v>
          </cell>
          <cell r="K292" t="str">
            <v>Khoa Điện - Điện tử</v>
          </cell>
          <cell r="L292" t="str">
            <v>halm@hcmute.edu.vn</v>
          </cell>
          <cell r="M292" t="str">
            <v>01 Chương trình máy tính mô phỏng, mô hình camera nhận diện hành vi.
01 Báo cáo tổng kết</v>
          </cell>
          <cell r="N292">
            <v>5000000</v>
          </cell>
          <cell r="O292" t="str">
            <v>Năm triệu đồng</v>
          </cell>
          <cell r="P292" t="str">
            <v>24119206@student.hcmute.edu.vn</v>
          </cell>
          <cell r="Q292" t="str">
            <v>0937924665</v>
          </cell>
        </row>
        <row r="293">
          <cell r="B293" t="str">
            <v>SV2026-307</v>
          </cell>
          <cell r="C293" t="str">
            <v>X</v>
          </cell>
          <cell r="D293" t="str">
            <v>Thiết kế thi công bãi giữ xe quy mô nhỏ (áp dụng RFID, smartphone…)</v>
          </cell>
          <cell r="E293" t="str">
            <v>Võ Tấn Hưng 22161264</v>
          </cell>
          <cell r="F293" t="str">
            <v xml:space="preserve">Võ Tấn Hưng </v>
          </cell>
          <cell r="G293" t="str">
            <v>Điện - Điện tử</v>
          </cell>
          <cell r="H293" t="str">
            <v>22161264</v>
          </cell>
          <cell r="I293" t="str">
            <v>Lê Văn Hoàn 22142305</v>
          </cell>
          <cell r="J293" t="str">
            <v>Nguyễn Văn Hiệp</v>
          </cell>
          <cell r="K293" t="str">
            <v>Khoa Điện - Điện tử</v>
          </cell>
          <cell r="L293" t="str">
            <v>hiepspkt@hcmute.edu.vn</v>
          </cell>
          <cell r="M293" t="str">
            <v>01 Mô hình bãi giữ xe
01 Báo cáo nghiên cứu</v>
          </cell>
          <cell r="N293">
            <v>10000000</v>
          </cell>
          <cell r="O293" t="str">
            <v>Mười triệu đồng</v>
          </cell>
          <cell r="P293" t="str">
            <v xml:space="preserve">22161264@student.hcmute.edu.vn  </v>
          </cell>
          <cell r="Q293" t="str">
            <v>0868475873</v>
          </cell>
        </row>
        <row r="294">
          <cell r="B294" t="str">
            <v>SV2026-308</v>
          </cell>
          <cell r="C294" t="str">
            <v>X</v>
          </cell>
          <cell r="D294" t="str">
            <v>Ảnh hưởng của spirulina đến chất lượng sữa đậu nành lên men</v>
          </cell>
          <cell r="E294" t="str">
            <v>Cao Đăng Huy 23116059</v>
          </cell>
          <cell r="F294" t="str">
            <v xml:space="preserve">Cao Đăng Huy </v>
          </cell>
          <cell r="G294" t="str">
            <v>CN Hóa học &amp; Thực phẩm</v>
          </cell>
          <cell r="H294" t="str">
            <v>23116059</v>
          </cell>
          <cell r="I294" t="str">
            <v>Nguyễn Đặng Nguyên Chương 23116046
Lê Trần Gia Hân 23116055
Võ Ngọc Linh 23116071</v>
          </cell>
          <cell r="J294" t="str">
            <v>Phạm Thị Hoàn</v>
          </cell>
          <cell r="K294" t="str">
            <v>Khoa CNHH&amp;TP</v>
          </cell>
          <cell r="L294" t="str">
            <v>hoanpt@hcmute.edu.vn</v>
          </cell>
          <cell r="M294" t="str">
            <v>01 Báo cáo tổng kết</v>
          </cell>
          <cell r="N294">
            <v>5000000</v>
          </cell>
          <cell r="O294" t="str">
            <v>Năm triệu đồng</v>
          </cell>
          <cell r="P294" t="str">
            <v xml:space="preserve">23116059@student.hcmute.edu.vn </v>
          </cell>
          <cell r="Q294" t="str">
            <v>0915086728</v>
          </cell>
        </row>
        <row r="295">
          <cell r="B295" t="str">
            <v>SV2026-309</v>
          </cell>
          <cell r="C295" t="str">
            <v>X</v>
          </cell>
          <cell r="D295" t="str">
            <v>Phân tách protein tách từ bã cà phê</v>
          </cell>
          <cell r="E295" t="str">
            <v>Diệp Thế Vinh 23128080</v>
          </cell>
          <cell r="F295" t="str">
            <v xml:space="preserve">Diệp Thế Vinh </v>
          </cell>
          <cell r="G295" t="str">
            <v>CN Hóa học &amp; Thực phẩm</v>
          </cell>
          <cell r="H295" t="str">
            <v>23128080</v>
          </cell>
          <cell r="I295" t="str">
            <v>Nguyễn An Hưng 23128017
Lê Thanh Toàn 23128067</v>
          </cell>
          <cell r="J295" t="str">
            <v>Phan Thị Anh Đào</v>
          </cell>
          <cell r="K295" t="str">
            <v>Khoa CNHH&amp;TP</v>
          </cell>
          <cell r="L295" t="str">
            <v>daopta@hcmute.edu.vn</v>
          </cell>
          <cell r="M295" t="str">
            <v>01 Báo cáo tổng kết</v>
          </cell>
          <cell r="N295">
            <v>5000000</v>
          </cell>
          <cell r="O295" t="str">
            <v>Năm triệu đồng</v>
          </cell>
          <cell r="P295" t="str">
            <v>23128080@student.hcmute.edu.vn</v>
          </cell>
          <cell r="Q295" t="str">
            <v>0949719340</v>
          </cell>
        </row>
        <row r="296">
          <cell r="B296" t="str">
            <v>SV2026-310</v>
          </cell>
          <cell r="C296" t="str">
            <v>X</v>
          </cell>
          <cell r="D296" t="str">
            <v>Tổng hợp vật liệu carbon dots phát quang màu xanh lá bằng phương pháp solvothermal ứng dụng nhận biết ion Mn (VII)</v>
          </cell>
          <cell r="E296" t="str">
            <v>Lâm Minh Thư 23128177</v>
          </cell>
          <cell r="F296" t="str">
            <v xml:space="preserve">Lâm Minh Thư </v>
          </cell>
          <cell r="G296" t="str">
            <v>CN Hóa học &amp; Thực phẩm</v>
          </cell>
          <cell r="H296" t="str">
            <v>23128177</v>
          </cell>
          <cell r="I296">
            <v>0</v>
          </cell>
          <cell r="J296" t="str">
            <v>Nguyễn Thiên Phúc</v>
          </cell>
          <cell r="K296" t="str">
            <v>Khoa CNHH&amp;TP</v>
          </cell>
          <cell r="L296" t="str">
            <v>phucnt@hcmute.edu.vn</v>
          </cell>
          <cell r="M296" t="str">
            <v>01 Báo cáo tổng kết</v>
          </cell>
          <cell r="N296">
            <v>5000000</v>
          </cell>
          <cell r="O296" t="str">
            <v>Năm triệu đồng</v>
          </cell>
          <cell r="P296" t="str">
            <v xml:space="preserve">23128177@student.hcmute.edu.vn  </v>
          </cell>
          <cell r="Q296" t="str">
            <v>0879490514</v>
          </cell>
        </row>
        <row r="297">
          <cell r="B297" t="str">
            <v>SV2026-311</v>
          </cell>
          <cell r="C297" t="str">
            <v>X</v>
          </cell>
          <cell r="D297" t="str">
            <v>Tổng hợp vật liệu nano silica cầu rỗng bằng phương pháp khuôn cứng polystyrene từ nguồn xốp bao bì thải</v>
          </cell>
          <cell r="E297" t="str">
            <v>Lê Minh Hoàng Lân 23128125</v>
          </cell>
          <cell r="F297" t="str">
            <v xml:space="preserve">Lê Minh Hoàng Lân </v>
          </cell>
          <cell r="G297" t="str">
            <v>CN Hóa học &amp; Thực phẩm</v>
          </cell>
          <cell r="H297" t="str">
            <v>23128125</v>
          </cell>
          <cell r="I297" t="str">
            <v>Phan Thị Lan Thanh 23128168</v>
          </cell>
          <cell r="J297" t="str">
            <v>Nguyễn Văn Quý</v>
          </cell>
          <cell r="K297" t="str">
            <v>Khoa CNHH&amp;TP</v>
          </cell>
          <cell r="L297" t="str">
            <v>quynv@hcmute.edu.vn</v>
          </cell>
          <cell r="M297" t="str">
            <v>01 Báo cáo tổng kết</v>
          </cell>
          <cell r="N297">
            <v>5000000</v>
          </cell>
          <cell r="O297" t="str">
            <v>Năm triệu đồng</v>
          </cell>
          <cell r="P297" t="str">
            <v>23128125@student.hcmute.edu.vn</v>
          </cell>
          <cell r="Q297" t="str">
            <v>0846361464</v>
          </cell>
        </row>
        <row r="298">
          <cell r="B298" t="str">
            <v>SV2026-312</v>
          </cell>
          <cell r="C298" t="str">
            <v>X</v>
          </cell>
          <cell r="D298" t="str">
            <v>Khảo sát điều kiện chiết siêu âm các yếu tố TPC, TSC, TFC và FRAP của cây trà hoa trắng Camellia hoaana</v>
          </cell>
          <cell r="E298" t="str">
            <v>Lê Nhật Yến 22128093</v>
          </cell>
          <cell r="F298" t="str">
            <v xml:space="preserve">Lê Nhật Yến </v>
          </cell>
          <cell r="G298" t="str">
            <v>CN Hóa học &amp; Thực phẩm</v>
          </cell>
          <cell r="H298" t="str">
            <v>22128093</v>
          </cell>
          <cell r="I298" t="str">
            <v>Nguyễn Đinh Gia Huy 22128026</v>
          </cell>
          <cell r="J298" t="str">
            <v>Nguyễn Linh Nhâm</v>
          </cell>
          <cell r="K298" t="str">
            <v>Khoa CNHH&amp;TP</v>
          </cell>
          <cell r="L298" t="str">
            <v>nhamnl@hcmute.edu.vn</v>
          </cell>
          <cell r="M298" t="str">
            <v>01 Báo cáo tổng kết</v>
          </cell>
          <cell r="N298">
            <v>5000000</v>
          </cell>
          <cell r="O298" t="str">
            <v>Năm triệu đồng</v>
          </cell>
          <cell r="P298" t="str">
            <v>22128093@student.hcmute.edu.vn</v>
          </cell>
          <cell r="Q298">
            <v>949341614</v>
          </cell>
        </row>
        <row r="299">
          <cell r="B299" t="str">
            <v>SV2026-313</v>
          </cell>
          <cell r="C299" t="str">
            <v>X</v>
          </cell>
          <cell r="D299" t="str">
            <v>Tổng hợp vật liệu graphene oxide khử</v>
          </cell>
          <cell r="E299" t="str">
            <v>Lê Tấn Tài 23128055</v>
          </cell>
          <cell r="F299" t="str">
            <v xml:space="preserve">Lê Tấn Tài </v>
          </cell>
          <cell r="G299" t="str">
            <v>CN Hóa học &amp; Thực phẩm</v>
          </cell>
          <cell r="H299" t="str">
            <v>23128055</v>
          </cell>
          <cell r="I299" t="str">
            <v>Trần Lê Thanh Tuấn 23128074</v>
          </cell>
          <cell r="J299" t="str">
            <v>Lý Tấn Nhiệm</v>
          </cell>
          <cell r="K299" t="str">
            <v>Khoa CNHH&amp;TP</v>
          </cell>
          <cell r="L299" t="str">
            <v>nhiemlt@hcmute.edu.vn</v>
          </cell>
          <cell r="M299" t="str">
            <v>01 Báo cáo tổng kết</v>
          </cell>
          <cell r="N299">
            <v>5000000</v>
          </cell>
          <cell r="O299" t="str">
            <v>Năm triệu đồng</v>
          </cell>
          <cell r="P299" t="str">
            <v>23128055@student.hcmute.edu.vn</v>
          </cell>
          <cell r="Q299" t="str">
            <v>0888409339</v>
          </cell>
        </row>
        <row r="300">
          <cell r="B300" t="str">
            <v>SV2026-314</v>
          </cell>
          <cell r="C300" t="str">
            <v>X</v>
          </cell>
          <cell r="D300" t="str">
            <v>Nghiên cứu tổng hợp biochar từ thân cây bắp được hoạt hóa bằng FeCl3 định hướng ứng dụng làm chất hấp phụ tetracycline</v>
          </cell>
          <cell r="E300" t="str">
            <v>Lê Thiện Phú 23128045</v>
          </cell>
          <cell r="F300" t="str">
            <v xml:space="preserve">Lê Thiện Phú </v>
          </cell>
          <cell r="G300" t="str">
            <v>CN Hóa học &amp; Thực phẩm</v>
          </cell>
          <cell r="H300" t="str">
            <v>23128045</v>
          </cell>
          <cell r="I300" t="str">
            <v>Võ Hữu Nhân 24128128
Nguyễn Trung Tín 24128188
Nguyễn Khánh Đăng 23128010
Đặng Hoàng Anh 23128002</v>
          </cell>
          <cell r="J300" t="str">
            <v>Huỳnh Nguyễn Anh Tuấn</v>
          </cell>
          <cell r="K300" t="str">
            <v>Khoa CNHH&amp;TP</v>
          </cell>
          <cell r="L300" t="str">
            <v>tuanhna@hcmute.edu.vn</v>
          </cell>
          <cell r="M300" t="str">
            <v>01 Báo cáo tổng kết</v>
          </cell>
          <cell r="N300">
            <v>5000000</v>
          </cell>
          <cell r="O300" t="str">
            <v>Năm triệu đồng</v>
          </cell>
          <cell r="P300" t="str">
            <v xml:space="preserve">23128045@student.hcmute.edu.vn  </v>
          </cell>
          <cell r="Q300" t="str">
            <v>0918901900</v>
          </cell>
        </row>
        <row r="301">
          <cell r="B301" t="str">
            <v>SV2026-315</v>
          </cell>
          <cell r="C301" t="str">
            <v>X</v>
          </cell>
          <cell r="D301" t="str">
            <v>Nghiên cứu tích hợp hạt carbon dots lên màng polymer chitosan/ gelatin ứng dụng làm màng bọc thực phẩm.</v>
          </cell>
          <cell r="E301" t="str">
            <v>Lê Văn Thi 23128058</v>
          </cell>
          <cell r="F301" t="str">
            <v xml:space="preserve">Lê Văn Thi </v>
          </cell>
          <cell r="G301" t="str">
            <v>CN Hóa học &amp; Thực phẩm</v>
          </cell>
          <cell r="H301" t="str">
            <v>23128058</v>
          </cell>
          <cell r="I301" t="str">
            <v>Nguyễn Công Nguyên 22128152
Huỳnh Thanh Khương 22128141
Trương Quỳnh Như 23128042</v>
          </cell>
          <cell r="J301" t="str">
            <v>Trần Thị Nhung</v>
          </cell>
          <cell r="K301" t="str">
            <v>Khoa CNHH&amp;TP</v>
          </cell>
          <cell r="L301" t="str">
            <v>nhungtt@hcmute.edu.vn</v>
          </cell>
          <cell r="M301" t="str">
            <v>01 Báo cáo tổng kết</v>
          </cell>
          <cell r="N301">
            <v>5000000</v>
          </cell>
          <cell r="O301" t="str">
            <v>Năm triệu đồng</v>
          </cell>
          <cell r="P301" t="str">
            <v>23128058@student.hcmute.edu.vn</v>
          </cell>
          <cell r="Q301" t="str">
            <v>0343199165</v>
          </cell>
        </row>
        <row r="302">
          <cell r="B302" t="str">
            <v>SV2026-316</v>
          </cell>
          <cell r="C302" t="str">
            <v>X</v>
          </cell>
          <cell r="D302" t="str">
            <v>Chế tạo micelle vận chuyển thuốc kỵ nước từ polysaccharide biến tính octenyl succinic anhydride</v>
          </cell>
          <cell r="E302" t="str">
            <v>Lý Trung Hiếu 23128114</v>
          </cell>
          <cell r="F302" t="str">
            <v xml:space="preserve">Lý Trung Hiếu </v>
          </cell>
          <cell r="G302" t="str">
            <v>CN Hóa học &amp; Thực phẩm</v>
          </cell>
          <cell r="H302" t="str">
            <v>23128114</v>
          </cell>
          <cell r="I302" t="str">
            <v>Thái Bửu Uyên 23128191
Lê Nguyễn Phương Thảo 23128169
Trần Quốc Duy 24128037</v>
          </cell>
          <cell r="J302" t="str">
            <v>Nguyễn Văn Quý</v>
          </cell>
          <cell r="K302" t="str">
            <v>Khoa CNHH&amp;TP</v>
          </cell>
          <cell r="L302" t="str">
            <v>quynv@hcmute.edu.vn</v>
          </cell>
          <cell r="M302" t="str">
            <v>01 Báo cáo tổng kết</v>
          </cell>
          <cell r="N302">
            <v>5000000</v>
          </cell>
          <cell r="O302" t="str">
            <v>Năm triệu đồng</v>
          </cell>
          <cell r="P302" t="str">
            <v>23128114@student.hcmute.edu.vn</v>
          </cell>
          <cell r="Q302" t="str">
            <v>0968655316</v>
          </cell>
        </row>
        <row r="303">
          <cell r="B303" t="str">
            <v>SV2026-317</v>
          </cell>
          <cell r="C303"/>
          <cell r="D303" t="str">
            <v>Khảo sát sự ảnh hưởng của các yếu tố chiết xuất đến hiệu suất chiết, tổng hàm lượng polyphenol (TPC) và tổng hàm lượng flavonoid (TFC) từ cây Diệp Hạ Châu Phyllanthus amarus Schum. et Thonn.</v>
          </cell>
          <cell r="E303" t="str">
            <v>Nguyễn Đặng Gia Phúc 22128167</v>
          </cell>
          <cell r="F303" t="str">
            <v xml:space="preserve">Nguyễn Đặng Gia Phúc </v>
          </cell>
          <cell r="G303" t="str">
            <v>CN Hóa học &amp; Thực phẩm</v>
          </cell>
          <cell r="H303" t="str">
            <v>22128167</v>
          </cell>
          <cell r="I303" t="str">
            <v>Đồng Thị Ngọc Điệp 23128011
Phùng Thị Hà 23128012
Lê Huỳnh Như 23128040</v>
          </cell>
          <cell r="J303" t="str">
            <v>Nguyễn Thanh Sang</v>
          </cell>
          <cell r="K303" t="str">
            <v>Khoa CNHH&amp;TP</v>
          </cell>
          <cell r="L303" t="str">
            <v>ntsang@hcmute.edu.vn</v>
          </cell>
          <cell r="M303" t="str">
            <v>01 Báo cáo tổng kết</v>
          </cell>
          <cell r="N303">
            <v>5000000</v>
          </cell>
          <cell r="O303" t="str">
            <v>Năm triệu đồng</v>
          </cell>
          <cell r="P303" t="str">
            <v>22128167@student.hcmute.edu.vn</v>
          </cell>
          <cell r="Q303" t="str">
            <v>0354824247</v>
          </cell>
        </row>
        <row r="304">
          <cell r="B304" t="str">
            <v>SV2026-318</v>
          </cell>
          <cell r="C304" t="str">
            <v>X</v>
          </cell>
          <cell r="D304" t="str">
            <v>Đánh giá tác động của Sodium Alginate đến đặc tính của double network hydrogel trên cơ sở PVA định hướng ứng dụng làm chất mang Urea</v>
          </cell>
          <cell r="E304" t="str">
            <v>Nguyễn Đinh Phước Kỳ 23128124</v>
          </cell>
          <cell r="F304" t="str">
            <v xml:space="preserve">Nguyễn Đinh Phước Kỳ </v>
          </cell>
          <cell r="G304" t="str">
            <v>CN Hóa học &amp; Thực phẩm</v>
          </cell>
          <cell r="H304" t="str">
            <v>23128124</v>
          </cell>
          <cell r="I304" t="str">
            <v>Phạm Đình Huy 23128120
Vũ Kim Ngọc Tuyết 23128189
Nguyễn Trọng Tỷ 23128190</v>
          </cell>
          <cell r="J304" t="str">
            <v>Huỳnh Nguyễn Anh Tuấn</v>
          </cell>
          <cell r="K304" t="str">
            <v>Khoa CNHH&amp;TP</v>
          </cell>
          <cell r="L304" t="str">
            <v>tuanhna@hcmute.edu.vn</v>
          </cell>
          <cell r="M304" t="str">
            <v>01 Báo cáo tổng kết</v>
          </cell>
          <cell r="N304">
            <v>5000000</v>
          </cell>
          <cell r="O304" t="str">
            <v>Năm triệu đồng</v>
          </cell>
          <cell r="P304" t="str">
            <v xml:space="preserve">23128124@student.hcmute.edu.vn  </v>
          </cell>
          <cell r="Q304" t="str">
            <v>0399912040</v>
          </cell>
        </row>
        <row r="305">
          <cell r="B305" t="str">
            <v>SV2026-319</v>
          </cell>
          <cell r="C305" t="str">
            <v>X</v>
          </cell>
          <cell r="D305" t="str">
            <v>Tổng hợp vật liệu carbon dots bằng phương pháp sử dụng microwave hỗ trợ ứng dụng làm cảm biến hóa học để phát hiện chất màu hữu cơ Safranin O</v>
          </cell>
          <cell r="E305" t="str">
            <v>Nguyễn Hoàng Thái 24128172</v>
          </cell>
          <cell r="F305" t="str">
            <v xml:space="preserve">Nguyễn Hoàng Thái </v>
          </cell>
          <cell r="G305" t="str">
            <v>CN Hóa học &amp; Thực phẩm</v>
          </cell>
          <cell r="H305" t="str">
            <v>24128172</v>
          </cell>
          <cell r="I305" t="str">
            <v>Phạm Nguyễn Việt Anh 24128012</v>
          </cell>
          <cell r="J305" t="str">
            <v>Đặng Đình Khôi</v>
          </cell>
          <cell r="K305" t="str">
            <v>Khoa CNHH&amp;TP</v>
          </cell>
          <cell r="L305" t="str">
            <v>khoidd@hcmute.edu.vn</v>
          </cell>
          <cell r="M305" t="str">
            <v>01 Báo cáo tổng kết</v>
          </cell>
          <cell r="N305">
            <v>5000000</v>
          </cell>
          <cell r="O305" t="str">
            <v>Năm triệu đồng</v>
          </cell>
          <cell r="P305" t="str">
            <v xml:space="preserve">24128172@student.hcmute.edu.vn  </v>
          </cell>
          <cell r="Q305" t="str">
            <v>0944758828</v>
          </cell>
        </row>
        <row r="306">
          <cell r="B306" t="str">
            <v>SV2026-320</v>
          </cell>
          <cell r="C306" t="str">
            <v>X</v>
          </cell>
          <cell r="D306" t="str">
            <v>Khảo sát và so sánh thành phần hóa học của quả cây vả (Ficus auriculata) thu hái tại Đồng Nai, Dak Lak, Huế</v>
          </cell>
          <cell r="E306" t="str">
            <v>Nguyễn Khắc Duy 22128009</v>
          </cell>
          <cell r="F306" t="str">
            <v xml:space="preserve">Nguyễn Khắc Duy </v>
          </cell>
          <cell r="G306" t="str">
            <v>CN Hóa học &amp; Thực phẩm</v>
          </cell>
          <cell r="H306" t="str">
            <v>22128009</v>
          </cell>
          <cell r="I306" t="str">
            <v>Nguyễn Phạm Phương Anh 22128003
Lê Ngọc Minh Thư 22128072</v>
          </cell>
          <cell r="J306" t="str">
            <v>Nguyễn Linh Nhâm</v>
          </cell>
          <cell r="K306" t="str">
            <v>Khoa CNHH&amp;TP</v>
          </cell>
          <cell r="L306" t="str">
            <v>nhamnl@hcmute.edu.vn</v>
          </cell>
          <cell r="M306" t="str">
            <v>01 Báo cáo tổng kết</v>
          </cell>
          <cell r="N306">
            <v>5000000</v>
          </cell>
          <cell r="O306" t="str">
            <v>Năm triệu đồng</v>
          </cell>
          <cell r="P306" t="str">
            <v xml:space="preserve">22128009@student.hcmute.edu.vn </v>
          </cell>
          <cell r="Q306" t="str">
            <v>0906799146</v>
          </cell>
        </row>
        <row r="307">
          <cell r="B307" t="str">
            <v>SV2026-321</v>
          </cell>
          <cell r="C307" t="str">
            <v>X</v>
          </cell>
          <cell r="D307" t="str">
            <v>Tổng hợp vật liệu carbon dots bằng phương pháp nhiệt phân pha rắn ứng dụng làm cảm biến hóa học để phát hiện chất màu hữu cơ Neutral Red</v>
          </cell>
          <cell r="E307" t="str">
            <v>Nguyễn Kiều Lan 23128023</v>
          </cell>
          <cell r="F307" t="str">
            <v xml:space="preserve">Nguyễn Kiều Lan </v>
          </cell>
          <cell r="G307" t="str">
            <v>CN Hóa học &amp; Thực phẩm</v>
          </cell>
          <cell r="H307" t="str">
            <v>23128023</v>
          </cell>
          <cell r="I307">
            <v>0</v>
          </cell>
          <cell r="J307" t="str">
            <v>Nguyễn Thiên Phúc</v>
          </cell>
          <cell r="K307" t="str">
            <v>Khoa CNHH&amp;TP</v>
          </cell>
          <cell r="L307" t="str">
            <v>phucnt@hcmute.edu.vn</v>
          </cell>
          <cell r="M307" t="str">
            <v>01 Báo cáo tổng kết</v>
          </cell>
          <cell r="N307">
            <v>5000000</v>
          </cell>
          <cell r="O307" t="str">
            <v>Năm triệu đồng</v>
          </cell>
          <cell r="P307" t="str">
            <v xml:space="preserve">23128023@student.hcmute.edu.vn  </v>
          </cell>
          <cell r="Q307" t="str">
            <v>0707210184</v>
          </cell>
        </row>
        <row r="308">
          <cell r="B308" t="str">
            <v>SV2026-322</v>
          </cell>
          <cell r="C308" t="str">
            <v>X</v>
          </cell>
          <cell r="D308" t="str">
            <v>Khảo sát và so sánh thành phần hóa học của thân cây vả (Ficus auriculata) thu hái tại Đồng Nai, Đắk Lắk, Huế</v>
          </cell>
          <cell r="E308" t="str">
            <v>Nguyễn Phạm Hoài Bảo 22128004</v>
          </cell>
          <cell r="F308" t="str">
            <v xml:space="preserve">Nguyễn Phạm Hoài Bảo </v>
          </cell>
          <cell r="G308" t="str">
            <v>CN Hóa học &amp; Thực phẩm</v>
          </cell>
          <cell r="H308" t="str">
            <v>22128004</v>
          </cell>
          <cell r="I308" t="str">
            <v>Vũ Nguyễn Đình Bình 22128006
Nguyễn Văn Hậu 22128019</v>
          </cell>
          <cell r="J308" t="str">
            <v>Nguyễn Linh Nhâm</v>
          </cell>
          <cell r="K308" t="str">
            <v>Khoa CNHH&amp;TP</v>
          </cell>
          <cell r="L308" t="str">
            <v>nhamnl@hcmute.edu.vn</v>
          </cell>
          <cell r="M308" t="str">
            <v>01 Báo cáo tổng kết</v>
          </cell>
          <cell r="N308">
            <v>5000000</v>
          </cell>
          <cell r="O308" t="str">
            <v>Năm triệu đồng</v>
          </cell>
          <cell r="P308" t="str">
            <v>22128004@student.hcmute.edu.vn</v>
          </cell>
          <cell r="Q308" t="str">
            <v>0394218625</v>
          </cell>
        </row>
        <row r="309">
          <cell r="B309" t="str">
            <v>SV2026-323</v>
          </cell>
          <cell r="C309" t="str">
            <v>X</v>
          </cell>
          <cell r="D309" t="str">
            <v>Tổng hợp và đánh giá hiệu quả của vật liệu đất sét kết hợp bùn thải và bã đậu trong xử lý nước thải dệt nhuộm</v>
          </cell>
          <cell r="E309" t="str">
            <v>Nguyễn Quốc Duy 23150026</v>
          </cell>
          <cell r="F309" t="str">
            <v xml:space="preserve">Nguyễn Quốc Duy </v>
          </cell>
          <cell r="G309" t="str">
            <v>CN Hóa học &amp; Thực phẩm</v>
          </cell>
          <cell r="H309" t="str">
            <v>23150026</v>
          </cell>
          <cell r="I309" t="str">
            <v>Nguyễn Anh Quốc 23150059
Lê Thanh Tuấn 23150070</v>
          </cell>
          <cell r="J309" t="str">
            <v>Nguyễn Duy Đạt</v>
          </cell>
          <cell r="K309" t="str">
            <v>Khoa CNHH&amp;TP</v>
          </cell>
          <cell r="L309" t="str">
            <v>datnd@hcmute.edu.vn</v>
          </cell>
          <cell r="M309" t="str">
            <v>01 Báo cáo tổng kết</v>
          </cell>
          <cell r="N309">
            <v>5000000</v>
          </cell>
          <cell r="O309" t="str">
            <v>Năm triệu đồng</v>
          </cell>
          <cell r="P309" t="str">
            <v>23150026@student.hcmute.edu.vn</v>
          </cell>
          <cell r="Q309" t="str">
            <v>0836810902</v>
          </cell>
        </row>
        <row r="310">
          <cell r="B310" t="str">
            <v>SV2026-324</v>
          </cell>
          <cell r="C310" t="str">
            <v>X</v>
          </cell>
          <cell r="D310" t="str">
            <v>Thiết kế bộ điều khiển PID ổn định thiết bị phản ứng khuấy trộn liên tục tổng hợp glycerol (C3H6O2) từ phản ứng hydrat hóa 2,3-expoxy-1-propanol (C3H8O3)</v>
          </cell>
          <cell r="E310" t="str">
            <v>Nguyễn Thành Thắng 23128170</v>
          </cell>
          <cell r="F310" t="str">
            <v xml:space="preserve">Nguyễn Thành Thắng </v>
          </cell>
          <cell r="G310" t="str">
            <v>CN Hóa học &amp; Thực phẩm</v>
          </cell>
          <cell r="H310" t="str">
            <v>23128170</v>
          </cell>
          <cell r="I310" t="str">
            <v>Đặng Đức Nghĩa 23128138</v>
          </cell>
          <cell r="J310" t="str">
            <v>Nguyễn Thanh Sang</v>
          </cell>
          <cell r="K310" t="str">
            <v>Khoa CNHH&amp;TP</v>
          </cell>
          <cell r="L310" t="str">
            <v>ntsang@hcmute.edu.vn</v>
          </cell>
          <cell r="M310" t="str">
            <v>01 Báo cáo tổng kết</v>
          </cell>
          <cell r="N310">
            <v>5000000</v>
          </cell>
          <cell r="O310" t="str">
            <v>Năm triệu đồng</v>
          </cell>
          <cell r="P310" t="str">
            <v>23128170@student.hcmute.edu.vn</v>
          </cell>
          <cell r="Q310" t="str">
            <v>0911451860</v>
          </cell>
        </row>
        <row r="311">
          <cell r="B311" t="str">
            <v>SV2026-325</v>
          </cell>
          <cell r="C311" t="str">
            <v>X</v>
          </cell>
          <cell r="D311" t="str">
            <v>Tổng hợp vật liệu carbon dots bằng phương pháp sử dụng microwave hỗ trợ ứng dụng làm cảm biến hóa học để phát hiện chất màu thực phẩm</v>
          </cell>
          <cell r="E311" t="str">
            <v>Nguyễn Thanh Tuyền  23128188</v>
          </cell>
          <cell r="F311" t="str">
            <v xml:space="preserve">Nguyễn Thanh Tuyền  </v>
          </cell>
          <cell r="G311" t="str">
            <v>CN Hóa học &amp; Thực phẩm</v>
          </cell>
          <cell r="H311" t="str">
            <v>23128188</v>
          </cell>
          <cell r="I311">
            <v>0</v>
          </cell>
          <cell r="J311" t="str">
            <v>Đặng Đình Khôi</v>
          </cell>
          <cell r="K311" t="str">
            <v>Khoa CNHH&amp;TP</v>
          </cell>
          <cell r="L311" t="str">
            <v>khoidd@hcmute.edu.vn</v>
          </cell>
          <cell r="M311" t="str">
            <v>01 Báo cáo tổng kết</v>
          </cell>
          <cell r="N311">
            <v>5000000</v>
          </cell>
          <cell r="O311" t="str">
            <v>Năm triệu đồng</v>
          </cell>
          <cell r="P311" t="str">
            <v xml:space="preserve">23128188@student.hcmute.edu.vn  </v>
          </cell>
          <cell r="Q311" t="str">
            <v>0896460736</v>
          </cell>
        </row>
        <row r="312">
          <cell r="B312" t="str">
            <v>SV2026-326</v>
          </cell>
          <cell r="C312" t="str">
            <v>X</v>
          </cell>
          <cell r="D312" t="str">
            <v>Nghiên cứu chế tạo và đánh giá hiệu quả xử lý nước thải sinh hoạt của bể lọc màng sinh học (MBR)</v>
          </cell>
          <cell r="E312" t="str">
            <v>Nguyễn Thị Bảo Ngọc 23150048</v>
          </cell>
          <cell r="F312" t="str">
            <v xml:space="preserve">Nguyễn Thị Bảo Ngọc </v>
          </cell>
          <cell r="G312" t="str">
            <v>CN Hóa học &amp; Thực phẩm</v>
          </cell>
          <cell r="H312" t="str">
            <v>23150048</v>
          </cell>
          <cell r="I312" t="str">
            <v>Nguyễn Chí Thanh 23150061
Nguyễn Khương Duy 23150025</v>
          </cell>
          <cell r="J312" t="str">
            <v>Trần Thị Kim Anh</v>
          </cell>
          <cell r="K312" t="str">
            <v>Khoa CNHH&amp;TP</v>
          </cell>
          <cell r="L312" t="str">
            <v>anhttk@hcmute.edu.vn</v>
          </cell>
          <cell r="M312" t="str">
            <v>01 bản vẽ 3D
01 mô hình bể MBR
Báo cáo tổng kết</v>
          </cell>
          <cell r="N312">
            <v>10000000</v>
          </cell>
          <cell r="O312" t="str">
            <v>Mười triệu đồng</v>
          </cell>
          <cell r="P312" t="str">
            <v>23150048@student.hcmute.edu.vn</v>
          </cell>
          <cell r="Q312" t="str">
            <v>0399846271</v>
          </cell>
        </row>
        <row r="313">
          <cell r="B313" t="str">
            <v>SV2026-327</v>
          </cell>
          <cell r="C313" t="str">
            <v>X</v>
          </cell>
          <cell r="D313" t="str">
            <v>Thiết kế, xây dựng mô hình bể keo tụ - tạo bông kết hợp bể lắng nhanh và xác định các thông số vận hành tối ưu xử lý nước sông Đồng Nai</v>
          </cell>
          <cell r="E313" t="str">
            <v>Nguyễn Thị Phương Linh 24150032</v>
          </cell>
          <cell r="F313" t="str">
            <v xml:space="preserve">Nguyễn Thị Phương Linh </v>
          </cell>
          <cell r="G313" t="str">
            <v>CN Hóa học &amp; Thực phẩm</v>
          </cell>
          <cell r="H313" t="str">
            <v>24150032</v>
          </cell>
          <cell r="I313" t="str">
            <v>Nguyễn Trần Ngọc Minh 24150034
Nguyễn Bảo Ngân 24150036
Nguyễn Trung Nghĩa 24150038
Nguyễn Thế Phương 24150051</v>
          </cell>
          <cell r="J313" t="str">
            <v>Nguyễn Duy Đạt</v>
          </cell>
          <cell r="K313" t="str">
            <v>Khoa CNHH&amp;TP</v>
          </cell>
          <cell r="L313" t="str">
            <v>datnd@hcmute.edu.vn</v>
          </cell>
          <cell r="M313" t="str">
            <v>01 bản vẽ 3D
01 Mô hình bể keo tụ, tạo bông kết hợp bể lắng bằng nhựa acrylic
01 Báo cáo tổng kết</v>
          </cell>
          <cell r="N313">
            <v>10000000</v>
          </cell>
          <cell r="O313" t="str">
            <v>Mười triệu đồng</v>
          </cell>
          <cell r="P313" t="str">
            <v>24150032@student.hcmute.edu.vn</v>
          </cell>
          <cell r="Q313" t="str">
            <v>0868338835</v>
          </cell>
        </row>
        <row r="314">
          <cell r="B314" t="str">
            <v>SV2026-328</v>
          </cell>
          <cell r="C314" t="str">
            <v>X</v>
          </cell>
          <cell r="D314" t="str">
            <v xml:space="preserve">Thiết kế và xây dựng mô hình của hệ thống lọc nhanh kết hợp khử trùng quy mô phòng thí nghiệm và xác định các thông số vận hành tối ưu xử lý nước sông Đồng Nai </v>
          </cell>
          <cell r="E314" t="str">
            <v>Nguyễn Văn Bách 24150005</v>
          </cell>
          <cell r="F314" t="str">
            <v xml:space="preserve">Nguyễn Văn Bách </v>
          </cell>
          <cell r="G314" t="str">
            <v>CN Hóa học &amp; Thực phẩm</v>
          </cell>
          <cell r="H314" t="str">
            <v>24150005</v>
          </cell>
          <cell r="I314" t="str">
            <v>Đoàn Huỳnh Mai Thảo 24150061
Hà Thị Phương Trang 24150073
Lê Thị Cát Văn 24150081</v>
          </cell>
          <cell r="J314" t="str">
            <v>Nguyễn Duy Đạt</v>
          </cell>
          <cell r="K314" t="str">
            <v>Khoa CNHH&amp;TP</v>
          </cell>
          <cell r="L314" t="str">
            <v>datnd@hcmute.edu.vn</v>
          </cell>
          <cell r="M314" t="str">
            <v>01 bản vẽ 3D
01 Mô hình bể lọc nhanh, hệ thống khử trùng bằng nhựa acrylic
01 Báo cáo tổng kết</v>
          </cell>
          <cell r="N314">
            <v>10000000</v>
          </cell>
          <cell r="O314" t="str">
            <v>Mười triệu đồng</v>
          </cell>
          <cell r="P314" t="str">
            <v>24150005@student.hcmute.edu.vn</v>
          </cell>
          <cell r="Q314" t="str">
            <v>0328068215</v>
          </cell>
        </row>
        <row r="315">
          <cell r="B315" t="str">
            <v>SV2026-329</v>
          </cell>
          <cell r="C315" t="str">
            <v>X</v>
          </cell>
          <cell r="D315" t="str">
            <v>Nghiên cứu chế tạo màng bọc thực phẩm có khả năng đổi màu giúp nhận diện thực phẩm hư hỏng</v>
          </cell>
          <cell r="E315" t="str">
            <v>Phan Đăng Bảo 23128091</v>
          </cell>
          <cell r="F315" t="str">
            <v xml:space="preserve">Phan Đăng Bảo </v>
          </cell>
          <cell r="G315" t="str">
            <v>CN Hóa học &amp; Thực phẩm</v>
          </cell>
          <cell r="H315" t="str">
            <v>23128091</v>
          </cell>
          <cell r="I315" t="str">
            <v>Nguyễn Trường Giang 23128108
Lê Thị Mỹ Phương 23128048
Đào Bùi Thiên Quang 23128158</v>
          </cell>
          <cell r="J315" t="str">
            <v>Nguyễn Văn Quý</v>
          </cell>
          <cell r="K315" t="str">
            <v>Khoa CNHH&amp;TP</v>
          </cell>
          <cell r="L315" t="str">
            <v>quynv@hcmute.edu.vn</v>
          </cell>
          <cell r="M315" t="str">
            <v>01 Báo cáo tổng kết</v>
          </cell>
          <cell r="N315">
            <v>5000000</v>
          </cell>
          <cell r="O315" t="str">
            <v>Năm triệu đồng</v>
          </cell>
          <cell r="P315" t="str">
            <v>23128091@student.hcmute.edu.vn</v>
          </cell>
          <cell r="Q315" t="str">
            <v>0969757905</v>
          </cell>
        </row>
        <row r="316">
          <cell r="B316" t="str">
            <v>SV2026-330</v>
          </cell>
          <cell r="C316" t="str">
            <v>X</v>
          </cell>
          <cell r="D316" t="str">
            <v>Khảo sát và so sánh thành phần hóa học của lá cây vả (Ficus ariculata) thu hái tại Đồng Nai, Đắk Lắk, Huế</v>
          </cell>
          <cell r="E316" t="str">
            <v>Phan Nguyễn Anh Khoa 22128038</v>
          </cell>
          <cell r="F316" t="str">
            <v xml:space="preserve">Phan Nguyễn Anh Khoa </v>
          </cell>
          <cell r="G316" t="str">
            <v>CN Hóa học &amp; Thực phẩm</v>
          </cell>
          <cell r="H316" t="str">
            <v>22128038</v>
          </cell>
          <cell r="I316" t="str">
            <v>Trương Phát Huy 22128028
Nguyễn Đình Khánh Ngân 22128046
Võ Phương Quyên 22128064</v>
          </cell>
          <cell r="J316" t="str">
            <v>Nguyễn Linh Nhâm</v>
          </cell>
          <cell r="K316" t="str">
            <v>Khoa CNHH&amp;TP</v>
          </cell>
          <cell r="L316" t="str">
            <v>nhamnl@hcmute.edu.vn</v>
          </cell>
          <cell r="M316" t="str">
            <v>01 Báo cáo tổng kết</v>
          </cell>
          <cell r="N316">
            <v>5000000</v>
          </cell>
          <cell r="O316" t="str">
            <v>Năm triệu đồng</v>
          </cell>
          <cell r="P316" t="str">
            <v xml:space="preserve">22128038@student.hcmute.edu.vn </v>
          </cell>
          <cell r="Q316" t="str">
            <v>0385802531</v>
          </cell>
        </row>
        <row r="317">
          <cell r="B317" t="str">
            <v>SV2026-331</v>
          </cell>
          <cell r="C317" t="str">
            <v>X</v>
          </cell>
          <cell r="D317" t="str">
            <v>Tổng hợp vật liệu carbon dots bằng phương pháp nhiệt phân pha rắn phát quang trong dung dịch và dạng rắn ứng dụng làm mực in phát quang</v>
          </cell>
          <cell r="E317" t="str">
            <v>Lê Hoàng Vân 24128214</v>
          </cell>
          <cell r="F317" t="str">
            <v xml:space="preserve">Lê Hoàng Vân </v>
          </cell>
          <cell r="G317" t="str">
            <v>CN Hóa học &amp; Thực phẩm</v>
          </cell>
          <cell r="H317" t="str">
            <v>24128214</v>
          </cell>
          <cell r="I317" t="str">
            <v>Phùng Minh Vương 24128218
Tô Thành Nhân 22128052</v>
          </cell>
          <cell r="J317" t="str">
            <v>Nguyễn Thiên Phúc</v>
          </cell>
          <cell r="K317" t="str">
            <v>Khoa CNHH&amp;TP</v>
          </cell>
          <cell r="L317" t="str">
            <v>phucnt@hcmute.edu.vn</v>
          </cell>
          <cell r="M317" t="str">
            <v>01 Báo cáo tổng kết</v>
          </cell>
          <cell r="N317">
            <v>5000000</v>
          </cell>
          <cell r="O317" t="str">
            <v>Năm triệu đồng</v>
          </cell>
          <cell r="P317" t="str">
            <v xml:space="preserve">22128052@student.hcmute.edu.vn  </v>
          </cell>
          <cell r="Q317" t="str">
            <v>0703247826</v>
          </cell>
        </row>
        <row r="318">
          <cell r="B318" t="str">
            <v>SV2026-332</v>
          </cell>
          <cell r="C318"/>
          <cell r="D318" t="str">
            <v>Khảo sát quá trình tách polysaccharide từ nấm linh chi trúc bằng phương pháp trích ly hai pha nước</v>
          </cell>
          <cell r="E318" t="str">
            <v>Trần Hùng Vương 23128193</v>
          </cell>
          <cell r="F318" t="str">
            <v xml:space="preserve">Trần Hùng Vương </v>
          </cell>
          <cell r="G318" t="str">
            <v>CN Hóa học &amp; Thực phẩm</v>
          </cell>
          <cell r="H318" t="str">
            <v>23128193</v>
          </cell>
          <cell r="I318">
            <v>0</v>
          </cell>
          <cell r="J318" t="str">
            <v>Phan Thị Anh Đào</v>
          </cell>
          <cell r="K318" t="str">
            <v>Khoa CNHH&amp;TP</v>
          </cell>
          <cell r="L318" t="str">
            <v>daopta@hcmute.edu.vn</v>
          </cell>
          <cell r="M318" t="str">
            <v>01 Báo cáo tổng kết</v>
          </cell>
          <cell r="N318">
            <v>5000000</v>
          </cell>
          <cell r="O318" t="str">
            <v>Năm triệu đồng</v>
          </cell>
          <cell r="P318" t="str">
            <v>23128193@student.hcmute.edu.vn</v>
          </cell>
          <cell r="Q318" t="str">
            <v>0817895654</v>
          </cell>
        </row>
        <row r="319">
          <cell r="B319" t="str">
            <v>SV2026-333</v>
          </cell>
          <cell r="C319" t="str">
            <v>X</v>
          </cell>
          <cell r="D319" t="str">
            <v>Xác định một số tính chất lý hóa của polysaccharide trích ly từ nấm linh chi trúc (Ganoderma neo-japonicum)</v>
          </cell>
          <cell r="E319" t="str">
            <v>Trịnh Phước Hậu 23128014</v>
          </cell>
          <cell r="F319" t="str">
            <v xml:space="preserve">Trịnh Phước Hậu </v>
          </cell>
          <cell r="G319" t="str">
            <v>CN Hóa học &amp; Thực phẩm</v>
          </cell>
          <cell r="H319" t="str">
            <v>23128014</v>
          </cell>
          <cell r="I319" t="str">
            <v>Tăng Kim Thúy An 23128001</v>
          </cell>
          <cell r="J319" t="str">
            <v>Phan Thị Anh Đào</v>
          </cell>
          <cell r="K319" t="str">
            <v>Khoa CNHH&amp;TP</v>
          </cell>
          <cell r="L319" t="str">
            <v>daopta@hcmute.edu.vn</v>
          </cell>
          <cell r="M319" t="str">
            <v>01 Báo cáo tổng kết</v>
          </cell>
          <cell r="N319">
            <v>5000000</v>
          </cell>
          <cell r="O319" t="str">
            <v>Năm triệu đồng</v>
          </cell>
          <cell r="P319" t="str">
            <v xml:space="preserve">23128014@student.hcmute.edu.vn  </v>
          </cell>
          <cell r="Q319" t="str">
            <v>0798881921</v>
          </cell>
        </row>
        <row r="320">
          <cell r="B320" t="str">
            <v>SV2026-334</v>
          </cell>
          <cell r="C320" t="str">
            <v>X</v>
          </cell>
          <cell r="D320" t="str">
            <v>Chế tạo cảm biến cơ học biến dạng trên cơ sở vật liệu graphene oxide khử</v>
          </cell>
          <cell r="E320" t="str">
            <v>Võ Quang Trường 23128073</v>
          </cell>
          <cell r="F320" t="str">
            <v xml:space="preserve">Võ Quang Trường </v>
          </cell>
          <cell r="G320" t="str">
            <v>CN Hóa học &amp; Thực phẩm</v>
          </cell>
          <cell r="H320" t="str">
            <v>23128073</v>
          </cell>
          <cell r="I320" t="str">
            <v>Trần Tấn Đạt 23128009</v>
          </cell>
          <cell r="J320" t="str">
            <v>Lý Tấn Nhiệm</v>
          </cell>
          <cell r="K320" t="str">
            <v>Khoa CNHH&amp;TP</v>
          </cell>
          <cell r="L320" t="str">
            <v>nhiemlt@hcmute.edu.vn</v>
          </cell>
          <cell r="M320" t="str">
            <v>01 Báo cáo tổng kết</v>
          </cell>
          <cell r="N320">
            <v>5000000</v>
          </cell>
          <cell r="O320" t="str">
            <v>Năm triệu đồng</v>
          </cell>
          <cell r="P320" t="str">
            <v>23128073@student.hcmute.edu.vn</v>
          </cell>
          <cell r="Q320" t="str">
            <v>0904786185</v>
          </cell>
        </row>
        <row r="321">
          <cell r="B321" t="str">
            <v>SV2026-335</v>
          </cell>
          <cell r="C321"/>
          <cell r="D321" t="str">
            <v>Bào chế gel bôi da chứa liposome mang dịch chiết hoa Kim ngân (Lonicera japonica) ứng dụng chống lão hóa da</v>
          </cell>
          <cell r="E321" t="str">
            <v>Võ Văn Tình 22128075</v>
          </cell>
          <cell r="F321" t="str">
            <v xml:space="preserve">Võ Văn Tình </v>
          </cell>
          <cell r="G321" t="str">
            <v>CN Hóa học &amp; Thực phẩm</v>
          </cell>
          <cell r="H321" t="str">
            <v>22128075</v>
          </cell>
          <cell r="I321" t="str">
            <v>Nguyễn Thị Thanh Hiền 23128113
Lày Võ Thanh Thanh 23128166</v>
          </cell>
          <cell r="J321" t="str">
            <v>Nguyễn Văn Quý</v>
          </cell>
          <cell r="K321" t="str">
            <v>Khoa CNHH&amp;TP</v>
          </cell>
          <cell r="L321" t="str">
            <v>quynv@hcmute.edu.vn</v>
          </cell>
          <cell r="M321" t="str">
            <v>01 Bài báo khoa học đăng trên tạp chí trong nước trong danh mục của HĐ GSNN tính từ 0,5 điểm trở lên; hoặc bài báo đăng trên tạp chí quốc tế có chỉ số xuất bản ISSN; 
01 Báo cáo tổng kết</v>
          </cell>
          <cell r="N321">
            <v>15000000</v>
          </cell>
          <cell r="O321" t="str">
            <v>Mười lăm triệu đồng</v>
          </cell>
          <cell r="P321" t="str">
            <v>22128075@student.hcmute.edu.vn</v>
          </cell>
          <cell r="Q321" t="str">
            <v>0382667882</v>
          </cell>
        </row>
        <row r="322">
          <cell r="B322" t="str">
            <v>SV2026-336</v>
          </cell>
          <cell r="C322" t="str">
            <v>X</v>
          </cell>
          <cell r="D322" t="str">
            <v>Nghiên cứu quá trình lên men trà Kombucha phụ phẩm mắt dứa</v>
          </cell>
          <cell r="E322" t="str">
            <v>Võ Thị Anh Thư 23116229</v>
          </cell>
          <cell r="F322" t="str">
            <v xml:space="preserve">Võ Thị Anh Thư </v>
          </cell>
          <cell r="G322" t="str">
            <v>CN Hóa học &amp; Thực phẩm</v>
          </cell>
          <cell r="H322" t="str">
            <v>23116229</v>
          </cell>
          <cell r="I322" t="str">
            <v>Nguyễn Ngọc Huyên 23116163
Trần Thị Tâm Như 23116198
Lê Phan Minh Thư 23116226
Hồ Quỳnh Trang 23116232</v>
          </cell>
          <cell r="J322" t="str">
            <v>Phạm Khánh Dung</v>
          </cell>
          <cell r="K322" t="str">
            <v>Khoa CNHH&amp;TP</v>
          </cell>
          <cell r="L322" t="str">
            <v>dungpk@hcmute.edu.vn</v>
          </cell>
          <cell r="M322" t="str">
            <v>01 Báo cáo tổng kết</v>
          </cell>
          <cell r="N322">
            <v>5000000</v>
          </cell>
          <cell r="O322" t="str">
            <v>Năm triệu đồng</v>
          </cell>
          <cell r="P322" t="str">
            <v>23116229@student.hcmute.edu.vn</v>
          </cell>
          <cell r="Q322" t="str">
            <v>0906680142</v>
          </cell>
        </row>
        <row r="323">
          <cell r="B323" t="str">
            <v>SV2026-337</v>
          </cell>
          <cell r="C323" t="str">
            <v>X</v>
          </cell>
          <cell r="D323" t="str">
            <v>Nghiên cứu tổng hợp hạt nano carbon dots trên nền màng polymer PVA/Chitosan cho ứng dụng công nghệ bảo quản thực phẩm</v>
          </cell>
          <cell r="E323" t="str">
            <v>Vũ Thông Phú 23128153</v>
          </cell>
          <cell r="F323" t="str">
            <v xml:space="preserve">Vũ Thông Phú </v>
          </cell>
          <cell r="G323" t="str">
            <v>CN Hóa học &amp; Thực phẩm</v>
          </cell>
          <cell r="H323" t="str">
            <v>23128153</v>
          </cell>
          <cell r="I323" t="str">
            <v xml:space="preserve">Phạm Thị Lan Anh 23128004
Lê Thị Yến 22128212
Ngô Gia Ánh Vy 22128210 </v>
          </cell>
          <cell r="J323" t="str">
            <v xml:space="preserve">Trần Thị Nhung </v>
          </cell>
          <cell r="K323" t="str">
            <v>Khoa CNHH&amp;TP</v>
          </cell>
          <cell r="L323" t="str">
            <v>nhungtt@hcmute.edu.vn</v>
          </cell>
          <cell r="M323" t="str">
            <v>01 Báo cáo tổng kết</v>
          </cell>
          <cell r="N323">
            <v>5000000</v>
          </cell>
          <cell r="O323" t="str">
            <v>Năm triệu đồng</v>
          </cell>
          <cell r="P323" t="str">
            <v xml:space="preserve">23128153@student.hcmute.edu.vn  </v>
          </cell>
          <cell r="Q323" t="str">
            <v>0332884589</v>
          </cell>
        </row>
        <row r="324">
          <cell r="B324" t="str">
            <v>SV2026-338</v>
          </cell>
          <cell r="C324" t="str">
            <v>X</v>
          </cell>
          <cell r="D324" t="str">
            <v>Tổng hợp vật liệu từ tính nickel ferrite NiFe2O4 pha tạp đất hiếm holmium bằng phương pháp sol-gel và ứng dụng làm xúc tác oxy hóa malachite green</v>
          </cell>
          <cell r="E324" t="str">
            <v>Ngô Thị Kim Thanh 23128167</v>
          </cell>
          <cell r="F324" t="str">
            <v xml:space="preserve">Ngô Thị Kim Thanh </v>
          </cell>
          <cell r="G324" t="str">
            <v>CN Hóa học &amp; Thực phẩm</v>
          </cell>
          <cell r="H324" t="str">
            <v>23128167</v>
          </cell>
          <cell r="I324" t="str">
            <v>Phan Thị Nhật Quyên 23128161</v>
          </cell>
          <cell r="J324" t="str">
            <v>Nguyễn Vinh Tiến</v>
          </cell>
          <cell r="K324" t="str">
            <v>Khoa CNHH&amp;TP</v>
          </cell>
          <cell r="L324" t="str">
            <v>tiennv@hcmute.edu.vn</v>
          </cell>
          <cell r="M324" t="str">
            <v>01 Báo cáo tổng kết</v>
          </cell>
          <cell r="N324">
            <v>5000000</v>
          </cell>
          <cell r="O324" t="str">
            <v>Năm triệu đồng</v>
          </cell>
          <cell r="P324" t="str">
            <v>23128167@student.hcmute.edu.vn</v>
          </cell>
          <cell r="Q324" t="str">
            <v>0976715519</v>
          </cell>
        </row>
        <row r="325">
          <cell r="B325" t="str">
            <v>SV2026-339</v>
          </cell>
          <cell r="C325" t="str">
            <v>X</v>
          </cell>
          <cell r="D325" t="str">
            <v>Điều chế, đánh giá khả năng hấp phụ và quang xúc tác loại bỏ thuốc nhuộm của vật liệu CoFe2O4 pha tạp đất hiếm</v>
          </cell>
          <cell r="E325" t="str">
            <v>Vũ Đăng Khoa 23128021</v>
          </cell>
          <cell r="F325" t="str">
            <v xml:space="preserve">Vũ Đăng Khoa </v>
          </cell>
          <cell r="G325" t="str">
            <v>CN Hóa học &amp; Thực phẩm</v>
          </cell>
          <cell r="H325" t="str">
            <v>23128021</v>
          </cell>
          <cell r="I325" t="str">
            <v>Nguyễn Duy Khánh 23128018
Dương Ngọc Hân 23128013
Mai Thụy Minh Thư 23128061</v>
          </cell>
          <cell r="J325" t="str">
            <v>Nguyễn Vinh Tiến</v>
          </cell>
          <cell r="K325" t="str">
            <v>Khoa CNHH&amp;TP</v>
          </cell>
          <cell r="L325" t="str">
            <v>tiennv@hcmute.edu.vn</v>
          </cell>
          <cell r="M325" t="str">
            <v>01 Báo cáo tổng kết</v>
          </cell>
          <cell r="N325">
            <v>5000000</v>
          </cell>
          <cell r="O325" t="str">
            <v>Năm triệu đồng</v>
          </cell>
          <cell r="P325" t="str">
            <v>23128021@student.hcmute.edu.vn</v>
          </cell>
          <cell r="Q325" t="str">
            <v>0948446529</v>
          </cell>
        </row>
        <row r="326">
          <cell r="B326" t="str">
            <v>SV2026-340</v>
          </cell>
          <cell r="C326" t="str">
            <v>X</v>
          </cell>
          <cell r="D326" t="str">
            <v>Tổng hợp NiErxFe2-xO4 bằng phương pháp đồng kết tủa và ứng dụng quang xúc tác trong phản ứng phân hủy Rhodamine B.</v>
          </cell>
          <cell r="E326" t="str">
            <v>Đinh Thị Huyền Chí 23128096</v>
          </cell>
          <cell r="F326" t="str">
            <v xml:space="preserve">Đinh Thị Huyền Chí </v>
          </cell>
          <cell r="G326" t="str">
            <v>CN Hóa học &amp; Thực phẩm</v>
          </cell>
          <cell r="H326" t="str">
            <v>23128096</v>
          </cell>
          <cell r="I326" t="str">
            <v>Võ Thị Thảo Vy 23128196</v>
          </cell>
          <cell r="J326" t="str">
            <v>Nguyễn Vinh Tiến</v>
          </cell>
          <cell r="K326" t="str">
            <v>Khoa CNHH&amp;TP</v>
          </cell>
          <cell r="L326" t="str">
            <v>tiennv@hcmute.edu.vn</v>
          </cell>
          <cell r="M326" t="str">
            <v>01 Báo cáo tổng kết</v>
          </cell>
          <cell r="N326">
            <v>5000000</v>
          </cell>
          <cell r="O326" t="str">
            <v>Năm triệu đồng</v>
          </cell>
          <cell r="P326" t="str">
            <v>23128096@student.hcmute.edu.vn</v>
          </cell>
          <cell r="Q326" t="str">
            <v>0372762602</v>
          </cell>
        </row>
        <row r="327">
          <cell r="B327" t="str">
            <v>SV2026-341</v>
          </cell>
          <cell r="C327" t="str">
            <v>X</v>
          </cell>
          <cell r="D327" t="str">
            <v>Xác định tần số riêng của kết cấu bằng thí nghiệm kết hợp mô phỏng số</v>
          </cell>
          <cell r="E327" t="str">
            <v>Lê Tấn Đạt 23149189</v>
          </cell>
          <cell r="F327" t="str">
            <v xml:space="preserve">Lê Tấn Đạt </v>
          </cell>
          <cell r="G327" t="str">
            <v>Xây dựng</v>
          </cell>
          <cell r="H327" t="str">
            <v>23149189</v>
          </cell>
          <cell r="I327" t="str">
            <v xml:space="preserve">Phạm Lê Sông Hương 23155022
</v>
          </cell>
          <cell r="J327" t="str">
            <v>Bùi Phạm Đức Tường</v>
          </cell>
          <cell r="K327" t="str">
            <v>Khoa Xây Dựng</v>
          </cell>
          <cell r="L327" t="str">
            <v xml:space="preserve">tuongbpd@hcmute.edu.vn </v>
          </cell>
          <cell r="M327" t="str">
            <v xml:space="preserve">01 Báo cáo tổng kết
01 Mô hình MTLD   </v>
          </cell>
          <cell r="N327">
            <v>5000000</v>
          </cell>
          <cell r="O327" t="str">
            <v>Năm triệu đồng</v>
          </cell>
          <cell r="P327" t="str">
            <v>23149189@student.hcmute.edu.vn</v>
          </cell>
          <cell r="Q327">
            <v>867123150</v>
          </cell>
        </row>
        <row r="328">
          <cell r="B328" t="str">
            <v>SV2026-342</v>
          </cell>
          <cell r="C328"/>
          <cell r="D328" t="str">
            <v xml:space="preserve">Ứng dụng học máy dự đoán hư hại kết cấu dưới tác dụng tải trọng động đất </v>
          </cell>
          <cell r="E328" t="str">
            <v>Hà Ngọc Minh Thư 23155065</v>
          </cell>
          <cell r="F328" t="str">
            <v xml:space="preserve">Hà Ngọc Minh Thư </v>
          </cell>
          <cell r="G328" t="str">
            <v>Xây dựng</v>
          </cell>
          <cell r="H328" t="str">
            <v>23155065</v>
          </cell>
          <cell r="I328" t="str">
            <v>Nguyễn Xuân Nhi 23155038
Hồ Thị Ngọc Trâm 23155068
Phan Mai Ngọc Tú 23155077
Trần Hoàng Đăng 23155012</v>
          </cell>
          <cell r="J328" t="str">
            <v>Bùi Phạm Đức Tường</v>
          </cell>
          <cell r="K328" t="str">
            <v>Khoa Xây Dựng</v>
          </cell>
          <cell r="L328" t="str">
            <v xml:space="preserve">tuongbpd@hcmute.edu.vn </v>
          </cell>
          <cell r="M328" t="str">
            <v xml:space="preserve">01 Báo cáo tổng kết
  </v>
          </cell>
          <cell r="N328">
            <v>5000000</v>
          </cell>
          <cell r="O328" t="str">
            <v>Năm triệu đồng</v>
          </cell>
          <cell r="P328" t="str">
            <v>23155065@student.hcmute.edu.vn</v>
          </cell>
          <cell r="Q328">
            <v>0</v>
          </cell>
        </row>
        <row r="329">
          <cell r="B329" t="str">
            <v>SV2026-344</v>
          </cell>
          <cell r="C329" t="str">
            <v>X</v>
          </cell>
          <cell r="D329" t="str">
            <v>Ứng dụng AI và mô hình hệ thống động trong đánh giá tác động quy hoạch nhà cao tầng đến giao thông nội đô khu vực TP. Hồ Chí Minh</v>
          </cell>
          <cell r="E329" t="str">
            <v>Trần Đặng Ngọc Khuê 23155028</v>
          </cell>
          <cell r="F329" t="str">
            <v xml:space="preserve">Trần Đặng Ngọc Khuê </v>
          </cell>
          <cell r="G329" t="str">
            <v>Xây dựng</v>
          </cell>
          <cell r="H329" t="str">
            <v>23155028</v>
          </cell>
          <cell r="I329" t="str">
            <v>Phan Thanh Cường 23155004
Nguyễn Thành Linh 23155030
Huỳnh Ngọc Phúc 23155044
Lê Yên 23155081</v>
          </cell>
          <cell r="J329" t="str">
            <v>Nguyễn Văn Tiếp</v>
          </cell>
          <cell r="K329" t="str">
            <v>Khoa Xây Dựng</v>
          </cell>
          <cell r="L329" t="str">
            <v xml:space="preserve">tiepnv@hcmute.edu.vn </v>
          </cell>
          <cell r="M329" t="str">
            <v xml:space="preserve">01 Báo cáo tổng kết
01 bài báo được đăng trên các tạp chí uy tín trong nước nằm trong danh mục của Hội đồng giáo sư nhà nước tính điểm tối thiểu 0,5 điểm. </v>
          </cell>
          <cell r="N329">
            <v>15000000</v>
          </cell>
          <cell r="O329" t="str">
            <v>Mười lăm triệu đồng</v>
          </cell>
          <cell r="P329" t="str">
            <v>23155028@student.hcmute.edu.vn</v>
          </cell>
          <cell r="Q329">
            <v>786479494</v>
          </cell>
        </row>
        <row r="330">
          <cell r="B330" t="str">
            <v>SV2026-345</v>
          </cell>
          <cell r="C330" t="str">
            <v>X</v>
          </cell>
          <cell r="D330" t="str">
            <v>Đánh giá thực trạng và khả năng ứng dụng của trí tuệ nhân tạo (AI) trong quản lý hợp đồng xây dựng.</v>
          </cell>
          <cell r="E330" t="str">
            <v>Nguyễn Trọng Phúc 23155047</v>
          </cell>
          <cell r="F330" t="str">
            <v xml:space="preserve">Nguyễn Trọng Phúc </v>
          </cell>
          <cell r="G330" t="str">
            <v>Xây dựng</v>
          </cell>
          <cell r="H330" t="str">
            <v>23155047</v>
          </cell>
          <cell r="I330" t="str">
            <v>Phạm Ngọc Tấn Phát 23155041
Thái Đức Tịnh 23155066
Ngô Đức Phong 23155043
Trương Chí Dũng 23155008</v>
          </cell>
          <cell r="J330" t="str">
            <v>Hà Duy Khánh</v>
          </cell>
          <cell r="K330" t="str">
            <v>Khoa Xây Dựng</v>
          </cell>
          <cell r="L330" t="str">
            <v xml:space="preserve">khanhhd@hcmute.edu.vn </v>
          </cell>
          <cell r="M330" t="str">
            <v xml:space="preserve">01 Báo cáo tổng kết
01 bài báo được đăng trên các tạp chí uy tín trong ước nằm trong danh mục của Hội đồng giáo sư nhà nước tính điểm tối thiểu 0.5 điểm. </v>
          </cell>
          <cell r="N330">
            <v>15000000</v>
          </cell>
          <cell r="O330" t="str">
            <v>Mười lăm triệu đồng</v>
          </cell>
          <cell r="P330" t="str">
            <v>23155047@student.hcmute.edu.vn</v>
          </cell>
          <cell r="Q330">
            <v>986446947</v>
          </cell>
        </row>
        <row r="331">
          <cell r="B331" t="str">
            <v>SV2026-347</v>
          </cell>
          <cell r="C331" t="str">
            <v>X</v>
          </cell>
          <cell r="D331" t="str">
            <v>Nghiên cứu tổ chức không gian kiến trúc và khả năng thích ứng của chợ truyền thống trong bối cảnh đô thị đương đại</v>
          </cell>
          <cell r="E331" t="str">
            <v>Lê Thùy Trang 24157067</v>
          </cell>
          <cell r="F331" t="str">
            <v xml:space="preserve">Lê Thùy Trang </v>
          </cell>
          <cell r="G331" t="str">
            <v>Xây dựng</v>
          </cell>
          <cell r="H331" t="str">
            <v>24157067</v>
          </cell>
          <cell r="I331" t="str">
            <v>Nguyễn Minh Thuận 24157061
Trần Kha  24157015</v>
          </cell>
          <cell r="J331" t="str">
            <v>Đỗ Duy Thịnh</v>
          </cell>
          <cell r="K331" t="str">
            <v>Khoa Xây Dựng</v>
          </cell>
          <cell r="L331" t="str">
            <v xml:space="preserve">thinhdd@hcmute.edu.vn </v>
          </cell>
          <cell r="M331" t="str">
            <v>01 Báo cáo tổng kết
01 Bài báo khoa học đăng trên tạp chí trong nước trong danh mục của Hội đồng Giáo sư Nhà nước tính 0,5 điểm trở lên hoặc sản phẩm mô hình, thiết bị có hợp đồng chuyển giao công nghệ phục vụ cộng đồng.</v>
          </cell>
          <cell r="N331">
            <v>15000000</v>
          </cell>
          <cell r="O331" t="str">
            <v>Mười lăm triệu đồng</v>
          </cell>
          <cell r="P331" t="str">
            <v>24157067@student.hcmute.edu.vn</v>
          </cell>
          <cell r="Q331">
            <v>559147604</v>
          </cell>
        </row>
        <row r="332">
          <cell r="B332" t="str">
            <v>SV2026-348</v>
          </cell>
          <cell r="C332" t="str">
            <v>X</v>
          </cell>
          <cell r="D332" t="str">
            <v>Nghiên cứu tác động và giải pháp đô thị thích ứng với ngập lụt tại khu vực trung tâm TP.HCM</v>
          </cell>
          <cell r="E332" t="str">
            <v>Dương Hoàng Hồng Anh 23157005</v>
          </cell>
          <cell r="F332" t="str">
            <v xml:space="preserve">Dương Hoàng Hồng Anh </v>
          </cell>
          <cell r="G332" t="str">
            <v>Xây dựng</v>
          </cell>
          <cell r="H332" t="str">
            <v>23157005</v>
          </cell>
          <cell r="I332" t="str">
            <v>Đặng Thái Thụy 22157067</v>
          </cell>
          <cell r="J332" t="str">
            <v>Đỗ Duy Thịnh</v>
          </cell>
          <cell r="K332" t="str">
            <v>Khoa Xây Dựng</v>
          </cell>
          <cell r="L332" t="str">
            <v xml:space="preserve">thinhdd@hcmute.edu.vn </v>
          </cell>
          <cell r="M332" t="str">
            <v>01 Báo cáo tổng kết
02 Bài báo khoa học đăng trên tạp chí quốc tế có chỉ số XB ISSN</v>
          </cell>
          <cell r="N332">
            <v>25000000</v>
          </cell>
          <cell r="O332" t="str">
            <v>Hai mươi lăm triệu đồng</v>
          </cell>
          <cell r="P332" t="str">
            <v>23157005@student.hcmute.edu.vn</v>
          </cell>
          <cell r="Q332">
            <v>904713210</v>
          </cell>
        </row>
        <row r="333">
          <cell r="B333" t="str">
            <v>SV2026-349</v>
          </cell>
          <cell r="C333"/>
          <cell r="D333" t="str">
            <v>Mô phỏng và tối ưu hóa luồng giao thông tại nút giao thông đô thị</v>
          </cell>
          <cell r="E333" t="str">
            <v>Trần Ngân Dương 25160007</v>
          </cell>
          <cell r="F333" t="str">
            <v xml:space="preserve">Trần Ngân Dương </v>
          </cell>
          <cell r="G333" t="str">
            <v>Xây dựng</v>
          </cell>
          <cell r="H333" t="str">
            <v>25160007</v>
          </cell>
          <cell r="I333">
            <v>0</v>
          </cell>
          <cell r="J333" t="str">
            <v>Lâm Phát Thuận</v>
          </cell>
          <cell r="K333" t="str">
            <v>Khoa Xây Dựng</v>
          </cell>
          <cell r="L333" t="str">
            <v xml:space="preserve">thuanlp@hcmute.edu.vn </v>
          </cell>
          <cell r="M333" t="str">
            <v xml:space="preserve">01 Báo cáo tổng kết
01 bài báo được đăng trên các tạp chí uy tín trong ước nằm trong danh mục của Hội đồng giáo sư nhà nước tính điểm tối thiểu 0,5 điểm. </v>
          </cell>
          <cell r="N333">
            <v>15000000</v>
          </cell>
          <cell r="O333" t="str">
            <v>Mười lăm triệu đồng</v>
          </cell>
          <cell r="P333" t="str">
            <v>25160007@student.hcmute.edu.vn</v>
          </cell>
          <cell r="Q333">
            <v>868429425</v>
          </cell>
        </row>
        <row r="334">
          <cell r="B334" t="str">
            <v>SV2026-350</v>
          </cell>
          <cell r="C334"/>
          <cell r="D334" t="str">
            <v>Tối ưu hóa bố trí mặt bằng công trường bằng thuật toán metaheuristic</v>
          </cell>
          <cell r="E334" t="str">
            <v>Lê Nguyễn Tấn Phát 25160027</v>
          </cell>
          <cell r="F334" t="str">
            <v xml:space="preserve">Lê Nguyễn Tấn Phát </v>
          </cell>
          <cell r="G334" t="str">
            <v>Xây dựng</v>
          </cell>
          <cell r="H334" t="str">
            <v>25160027</v>
          </cell>
          <cell r="I334">
            <v>0</v>
          </cell>
          <cell r="J334" t="str">
            <v>Lâm Phát Thuận</v>
          </cell>
          <cell r="K334" t="str">
            <v>Khoa Xây Dựng</v>
          </cell>
          <cell r="L334" t="str">
            <v xml:space="preserve">thuanlp@hcmute.edu.vn </v>
          </cell>
          <cell r="M334" t="str">
            <v xml:space="preserve">01 Báo cáo tổng kết
01 bài báo được đăng trên các tạp chí uy tín trong ước nằm trong danh mục của Hội đồng giáo sư nhà nước ính điểm tối thiểu 0,5 điểm. </v>
          </cell>
          <cell r="N334">
            <v>15000000</v>
          </cell>
          <cell r="O334" t="str">
            <v>Mười lăm triệu đồng</v>
          </cell>
          <cell r="P334" t="str">
            <v>25160027@student.hcmute.edu.vn</v>
          </cell>
          <cell r="Q334">
            <v>797350927</v>
          </cell>
        </row>
        <row r="335">
          <cell r="B335" t="str">
            <v>SV2026-351</v>
          </cell>
          <cell r="C335" t="str">
            <v>X</v>
          </cell>
          <cell r="D335" t="str">
            <v>Nghiên cứu ứng dụng BIM 5D trong quản lý chi phí xây dựng công trình dân dụng quy mô nhỏ tại Việt Nam - Nghiên cứu tình huống tại TP. Hồ Chí Minh</v>
          </cell>
          <cell r="E335" t="str">
            <v>Nguyễn Đình Trường 24149286</v>
          </cell>
          <cell r="F335" t="str">
            <v xml:space="preserve">Nguyễn Đình Trường </v>
          </cell>
          <cell r="G335" t="str">
            <v>Xây dựng</v>
          </cell>
          <cell r="H335" t="str">
            <v>24149286</v>
          </cell>
          <cell r="I335" t="str">
            <v>Lâm Nguyễn Phúc Thịnh 24149257
Nguyễn Ngọc Anh 24149085
Nguyễn Trung Hiếu 24149129
Trần Nguyên Quỳnh Hương 24149151</v>
          </cell>
          <cell r="J335" t="str">
            <v>Châu Thanh Hùng</v>
          </cell>
          <cell r="K335" t="str">
            <v>Khoa Xây Dựng</v>
          </cell>
          <cell r="L335" t="str">
            <v xml:space="preserve">hungct@hcmute.edu.vn </v>
          </cell>
          <cell r="M335" t="str">
            <v xml:space="preserve">01 Báo cáo tổng kết
</v>
          </cell>
          <cell r="N335">
            <v>5000000</v>
          </cell>
          <cell r="O335" t="str">
            <v>Năm triệu đồng</v>
          </cell>
          <cell r="P335" t="str">
            <v>24149286@student.hcmute.edu.vn</v>
          </cell>
          <cell r="Q335">
            <v>374357997</v>
          </cell>
        </row>
        <row r="336">
          <cell r="B336" t="str">
            <v>SV2026-352</v>
          </cell>
          <cell r="C336"/>
          <cell r="D336" t="str">
            <v>Nghiên cứu giải pháp vật liệu xây dựng bền vững tái tạo, lấy sáng, thông gió để tiết kiệm năng lượng và tăng gắn kết cư dân trong các công trình chung cư cao tầng.</v>
          </cell>
          <cell r="E336" t="str">
            <v>Nguyễn Quốc Đạt 22140010</v>
          </cell>
          <cell r="F336" t="str">
            <v xml:space="preserve">Nguyễn Quốc Đạt </v>
          </cell>
          <cell r="G336" t="str">
            <v>Xây dựng</v>
          </cell>
          <cell r="H336" t="str">
            <v>22140010</v>
          </cell>
          <cell r="I336" t="str">
            <v>Huỳnh Tấn Lộc 22140025</v>
          </cell>
          <cell r="J336" t="str">
            <v>Châu Thanh Hùng</v>
          </cell>
          <cell r="K336" t="str">
            <v>Khoa Xây Dựng</v>
          </cell>
          <cell r="L336" t="str">
            <v xml:space="preserve">hungct@hcmute.edu.vn </v>
          </cell>
          <cell r="M336" t="str">
            <v xml:space="preserve">01 Báo cáo tổng kết
</v>
          </cell>
          <cell r="N336">
            <v>5000000</v>
          </cell>
          <cell r="O336" t="str">
            <v>Năm triệu đồng</v>
          </cell>
          <cell r="P336" t="str">
            <v>22140010@student.hcmute.edu.vn</v>
          </cell>
          <cell r="Q336">
            <v>0</v>
          </cell>
        </row>
        <row r="337">
          <cell r="B337" t="str">
            <v>SV2026-355</v>
          </cell>
          <cell r="C337" t="str">
            <v>X</v>
          </cell>
          <cell r="D337" t="str">
            <v>Phân tích ứng xử uốn của tấm composite nhiều lớp sử dụng phương pháp đẳng hình học và lý thuyết biến dạng cắt bậc cao.</v>
          </cell>
          <cell r="E337" t="str">
            <v>Huỳnh Bá Học 23149069</v>
          </cell>
          <cell r="F337" t="str">
            <v xml:space="preserve">Huỳnh Bá Học </v>
          </cell>
          <cell r="G337" t="str">
            <v>Xây dựng</v>
          </cell>
          <cell r="H337" t="str">
            <v>23149069</v>
          </cell>
          <cell r="I337" t="str">
            <v>Nguyễn Đức Phát 23145167</v>
          </cell>
          <cell r="J337" t="str">
            <v>Nguyễn Thị Bích Liễu</v>
          </cell>
          <cell r="K337" t="str">
            <v>Khoa Xây Dựng</v>
          </cell>
          <cell r="L337" t="str">
            <v xml:space="preserve">lieuntb@hcmute.edu.vn </v>
          </cell>
          <cell r="M337" t="str">
            <v xml:space="preserve">01 Báo cáo tổng kết
01 bài báo được đăng trên các tạp chí uy tín trong ước nằm trong danh mục của Hội đồng giáo sư nhà nước tính điểm tối thiểu 0,75 điểm. </v>
          </cell>
          <cell r="N337">
            <v>15000000</v>
          </cell>
          <cell r="O337" t="str">
            <v>Mười lăm triệu đồng</v>
          </cell>
          <cell r="P337" t="str">
            <v>23149069@student.hcmute.edu.vn</v>
          </cell>
          <cell r="Q337">
            <v>384553738</v>
          </cell>
        </row>
        <row r="338">
          <cell r="B338" t="str">
            <v>SV2026-356</v>
          </cell>
          <cell r="C338" t="str">
            <v>X</v>
          </cell>
          <cell r="D338" t="str">
            <v>Giải pháp tổ chức không gian thích ứng ngập lụt cho khu vực chợ Thủ Đức - hướng đến mô hình chợ đô thị bền vững</v>
          </cell>
          <cell r="E338" t="str">
            <v>Bùi Thị Mỹ Trà 22157073</v>
          </cell>
          <cell r="F338" t="str">
            <v xml:space="preserve">Bùi Thị Mỹ Trà </v>
          </cell>
          <cell r="G338" t="str">
            <v>Xây dựng</v>
          </cell>
          <cell r="H338" t="str">
            <v>22157073</v>
          </cell>
          <cell r="I338" t="str">
            <v xml:space="preserve">Bùi Thị Kim Ngân 22157041 
Dương Hoàng Hồng Anh 23157005 </v>
          </cell>
          <cell r="J338" t="str">
            <v>Đỗ Xuân Sơn</v>
          </cell>
          <cell r="K338" t="str">
            <v>Khoa Xây Dựng</v>
          </cell>
          <cell r="L338" t="str">
            <v xml:space="preserve">sondx@hcmute.edu.vn </v>
          </cell>
          <cell r="M338" t="str">
            <v>01 Báo cáo tổng kết
02 Bài báo khoa học đăng trên tạp chí quốc tế có chỉ số XB ISSN</v>
          </cell>
          <cell r="N338">
            <v>25000000</v>
          </cell>
          <cell r="O338" t="str">
            <v>Hai mươi lăm triệu đồng</v>
          </cell>
          <cell r="P338" t="str">
            <v>22157073@student.hcmute.edu.vn</v>
          </cell>
          <cell r="Q338">
            <v>978571304</v>
          </cell>
        </row>
        <row r="339">
          <cell r="B339" t="str">
            <v>SV2026-357</v>
          </cell>
          <cell r="C339" t="str">
            <v>X</v>
          </cell>
          <cell r="D339" t="str">
            <v>Nghiên cứu tính chất cơ lý của vữa chịu nhiệt độ cao bằng thực nghiệm</v>
          </cell>
          <cell r="E339" t="str">
            <v>Võ Hoàng Phương Duy 22149232</v>
          </cell>
          <cell r="F339" t="str">
            <v xml:space="preserve">Võ Hoàng Phương Duy </v>
          </cell>
          <cell r="G339" t="str">
            <v>Xây dựng</v>
          </cell>
          <cell r="H339" t="str">
            <v>22149232</v>
          </cell>
          <cell r="I339" t="str">
            <v>Võ Hữu Trực 22149368
Mai Hữu Phước 22149311</v>
          </cell>
          <cell r="J339" t="str">
            <v>Nguyễn Thanh Hưng</v>
          </cell>
          <cell r="K339" t="str">
            <v>Khoa Xây Dựng</v>
          </cell>
          <cell r="L339" t="str">
            <v xml:space="preserve">nthung@hcmute.edu.vn </v>
          </cell>
          <cell r="M339" t="str">
            <v>01 Báo cáo tổng kết
01 Bài báo khoa học đăng trên tạp chí trong nước trong danh mục của Hội đồng Giáo sư Nhà nước tính 0,5 điểm trở lên hoặc sản phẩm mô hình, thiết bị có hợp đồng chuyển giao công nghệ phục vụ cộng đồng.</v>
          </cell>
          <cell r="N339">
            <v>15000000</v>
          </cell>
          <cell r="O339" t="str">
            <v>Mười lăm triệu đồng</v>
          </cell>
          <cell r="P339" t="str">
            <v>22149232@student.hcmute.edu.vn</v>
          </cell>
          <cell r="Q339">
            <v>347424099</v>
          </cell>
        </row>
        <row r="340">
          <cell r="B340" t="str">
            <v>SV2026-359</v>
          </cell>
          <cell r="C340" t="str">
            <v>X</v>
          </cell>
          <cell r="D340" t="str">
            <v>Nghiên cứu dao động của dầm FG-TPMS bằng phương pháp đẳng hình học</v>
          </cell>
          <cell r="E340" t="str">
            <v>Tạ Thiên Phú 24149214</v>
          </cell>
          <cell r="F340" t="str">
            <v xml:space="preserve">Tạ Thiên Phú </v>
          </cell>
          <cell r="G340" t="str">
            <v>Xây dựng</v>
          </cell>
          <cell r="H340" t="str">
            <v>24149214</v>
          </cell>
          <cell r="I340" t="str">
            <v>Phan Phạm Hồng Phước 24149220
Nguyễn Anh Khoa 24149166</v>
          </cell>
          <cell r="J340" t="str">
            <v>Phạm Tấn Hùng</v>
          </cell>
          <cell r="K340" t="str">
            <v>Khoa Xây Dựng</v>
          </cell>
          <cell r="L340" t="str">
            <v xml:space="preserve">hungpht@hcmute.edu.vn </v>
          </cell>
          <cell r="M340" t="str">
            <v>01 Báo cáo tổng kết
01 Bài báo khoa học đăng trên tạp chí trong nước trong danh mục của Hội đồng Giáo sư Nhà nước tính 0,5 điểm trở lên.</v>
          </cell>
          <cell r="N340">
            <v>15000000</v>
          </cell>
          <cell r="O340" t="str">
            <v>Mười lăm triệu đồng</v>
          </cell>
          <cell r="P340" t="str">
            <v>24149214@student.hcmute.edu.vn</v>
          </cell>
          <cell r="Q340">
            <v>589309787</v>
          </cell>
        </row>
        <row r="341">
          <cell r="B341" t="str">
            <v>SV2026-360</v>
          </cell>
          <cell r="C341" t="str">
            <v>X</v>
          </cell>
          <cell r="D341" t="str">
            <v>Nghiên cứu đặc trưng kiến trúc nhà ở khu vực Nam Bộ cuối thế kỉ XIX - đầu thế kỉ XX, Trường hợp tỉnh Tiền Giang và tỉnh Đồng Tháp.</v>
          </cell>
          <cell r="E341" t="str">
            <v>Nguyễn Đặng Trúc Phương 25140055</v>
          </cell>
          <cell r="F341" t="str">
            <v xml:space="preserve">Nguyễn Đặng Trúc Phương </v>
          </cell>
          <cell r="G341" t="str">
            <v>Xây dựng</v>
          </cell>
          <cell r="H341" t="str">
            <v>25140055</v>
          </cell>
          <cell r="I341" t="str">
            <v>Huỳnh Ngọc Hân 25140018
Bùi Nguyễn Minh Phương 25140053</v>
          </cell>
          <cell r="J341" t="str">
            <v>Nguyễn Văn Hoan</v>
          </cell>
          <cell r="K341" t="str">
            <v>Khoa Xây Dựng</v>
          </cell>
          <cell r="L341" t="str">
            <v xml:space="preserve">hoannv@hcmute.edu.vn </v>
          </cell>
          <cell r="M341" t="str">
            <v>01 Báo cáo tổng kết
01 Bài báo khoa học đăng trên tạp chí trong nước trong danh mục của Hội đồng Giáo sư Nhà nước tính 0,5 điểm trở lên.</v>
          </cell>
          <cell r="N341">
            <v>15000000</v>
          </cell>
          <cell r="O341" t="str">
            <v>Mười lăm triệu đồng</v>
          </cell>
          <cell r="P341" t="str">
            <v>25140055@student.hcmute.edu.vn</v>
          </cell>
          <cell r="Q341">
            <v>909600128</v>
          </cell>
        </row>
        <row r="342">
          <cell r="B342" t="str">
            <v>SV2026-362</v>
          </cell>
          <cell r="C342" t="str">
            <v>X</v>
          </cell>
          <cell r="D342" t="str">
            <v>Giải pháp móng bể chứa dầu - khí sử dụng cọc xi măng đất trộn nông có chiều dài cọc bằng nhau.</v>
          </cell>
          <cell r="E342" t="str">
            <v>Nguyễn Thành Đạt 23149061</v>
          </cell>
          <cell r="F342" t="str">
            <v xml:space="preserve">Nguyễn Thành Đạt </v>
          </cell>
          <cell r="G342" t="str">
            <v>Xây dựng</v>
          </cell>
          <cell r="H342" t="str">
            <v>23149061</v>
          </cell>
          <cell r="I342" t="str">
            <v>Phạm Mạnh Cường 23149055
Lê Đức Quang Huy 23149074
Trần Minh Phong 23149112
Ngô Thanh Thanh 23149129</v>
          </cell>
          <cell r="J342" t="str">
            <v>Nguyễn Tổng</v>
          </cell>
          <cell r="K342" t="str">
            <v>Khoa Xây Dựng</v>
          </cell>
          <cell r="L342" t="str">
            <v xml:space="preserve">tongn@hcmute.edu.vn </v>
          </cell>
          <cell r="M342" t="str">
            <v>01 Báo cáo tổng kết</v>
          </cell>
          <cell r="N342">
            <v>5000000</v>
          </cell>
          <cell r="O342" t="str">
            <v>Năm triệu đồng</v>
          </cell>
          <cell r="P342" t="str">
            <v>23149061@student.hcmute.edu.vn</v>
          </cell>
          <cell r="Q342">
            <v>769527664</v>
          </cell>
        </row>
        <row r="343">
          <cell r="B343" t="str">
            <v>SV2026-363</v>
          </cell>
          <cell r="C343" t="str">
            <v>X</v>
          </cell>
          <cell r="D343" t="str">
            <v>Giải pháp móng bể chứa dầu - khí sử dụng cọc xi măng đất trộn nông có chiều dài cọc khác nhau.</v>
          </cell>
          <cell r="E343" t="str">
            <v>Võ Hữu Vinh 23149163</v>
          </cell>
          <cell r="F343" t="str">
            <v xml:space="preserve">Võ Hữu Vinh </v>
          </cell>
          <cell r="G343" t="str">
            <v>Xây dựng</v>
          </cell>
          <cell r="H343" t="str">
            <v>23149163</v>
          </cell>
          <cell r="I343" t="str">
            <v xml:space="preserve">Bùi Đình Chiến 23149051
Lê Tuấn Kiệt 23149091
Trần Huỳnh Minh Hoàng 23149068
Hoàng Gia Huy 23149072
</v>
          </cell>
          <cell r="J343" t="str">
            <v>Nguyễn Tổng</v>
          </cell>
          <cell r="K343" t="str">
            <v>Khoa Xây Dựng</v>
          </cell>
          <cell r="L343" t="str">
            <v xml:space="preserve">tongn@hcmute.edu.vn </v>
          </cell>
          <cell r="M343" t="str">
            <v>'01 Báo cáo tổng kết</v>
          </cell>
          <cell r="N343">
            <v>5000000</v>
          </cell>
          <cell r="O343" t="str">
            <v>Năm triệu đồng</v>
          </cell>
          <cell r="P343" t="str">
            <v>23149163@student.hcmute.edu.vn</v>
          </cell>
          <cell r="Q343">
            <v>332938718</v>
          </cell>
        </row>
        <row r="344">
          <cell r="B344" t="str">
            <v>SV2026-364</v>
          </cell>
          <cell r="C344" t="str">
            <v>X</v>
          </cell>
          <cell r="D344" t="str">
            <v>Nghiên cứu mối quan hệ giữa lưu lượng giao thông với độ bụi và tiếng ồn trên đường lê văn chí, TP. Hồ Chí Minh.</v>
          </cell>
          <cell r="E344" t="str">
            <v>Huỳnh Thanh Huy 24149138</v>
          </cell>
          <cell r="F344" t="str">
            <v xml:space="preserve">Huỳnh Thanh Huy </v>
          </cell>
          <cell r="G344" t="str">
            <v>Xây dựng</v>
          </cell>
          <cell r="H344" t="str">
            <v>24149138</v>
          </cell>
          <cell r="I344" t="str">
            <v>Phạm Nguyễn Duy Gia 24149116</v>
          </cell>
          <cell r="J344" t="str">
            <v>Trần Vũ Tự</v>
          </cell>
          <cell r="K344" t="str">
            <v>Khoa Xây Dựng</v>
          </cell>
          <cell r="L344" t="str">
            <v xml:space="preserve">tutv@hcmute.edu.vn </v>
          </cell>
          <cell r="M344" t="str">
            <v>01 Báo cáo tổng kết
01 Bài báo khoa học đăng trên tạp chí trong nước trong danh mục của Hội đồng Giáo sư Nhà nước tính 0,5 điểm trở lên.</v>
          </cell>
          <cell r="N344">
            <v>15000000</v>
          </cell>
          <cell r="O344" t="str">
            <v>Mười lăm triệu đồng</v>
          </cell>
          <cell r="P344" t="str">
            <v>24149138@student.hcmute.edu.vn</v>
          </cell>
          <cell r="Q344">
            <v>348234631</v>
          </cell>
        </row>
        <row r="345">
          <cell r="B345" t="str">
            <v>SV2026-365</v>
          </cell>
          <cell r="C345"/>
          <cell r="D345" t="str">
            <v>Nghiên cứu đánh giá các phương án nút giao thông ở TP Hồ Chí Minh trên cơ sở xem xét mức hiệu quả kinh tế - kỹ thuật</v>
          </cell>
          <cell r="E345" t="str">
            <v>Trần Đức Phú 23160043</v>
          </cell>
          <cell r="F345" t="str">
            <v xml:space="preserve">Trần Đức Phú </v>
          </cell>
          <cell r="G345" t="str">
            <v>Xây dựng</v>
          </cell>
          <cell r="H345" t="str">
            <v>23160043</v>
          </cell>
          <cell r="I345" t="str">
            <v>Võ Thị Kim Trúc 24124087
Nguyễn Kim Ngọc Ánh 25126017
Trần Trọng An 23142079</v>
          </cell>
          <cell r="J345" t="str">
            <v>Trần Vũ Tự</v>
          </cell>
          <cell r="K345" t="str">
            <v>Khoa Xây Dựng</v>
          </cell>
          <cell r="L345" t="str">
            <v xml:space="preserve">tutv@hcmute.edu.vn </v>
          </cell>
          <cell r="M345" t="str">
            <v>01 Báo cáo tổng kết
01 Bài báo khoa học đăng trên tạp chí trong nước trong danh mục của Hội đồng Giáo sư Nhà nước tính 0,5 điểm trở lên.</v>
          </cell>
          <cell r="N345">
            <v>15000000</v>
          </cell>
          <cell r="O345" t="str">
            <v>Mười lăm triệu đồng</v>
          </cell>
          <cell r="P345" t="str">
            <v>23160043@student.hcmute.edu.vn</v>
          </cell>
          <cell r="Q345">
            <v>395493622</v>
          </cell>
        </row>
        <row r="346">
          <cell r="B346" t="str">
            <v>SV2026-366</v>
          </cell>
          <cell r="C346" t="str">
            <v>X</v>
          </cell>
          <cell r="D346" t="str">
            <v>Nghiên cứu ảnh hưởng của kích thước đảo vòng xuyến đến khả năng thông hành cho nút giao ngã tư bằng phương pháp mô phỏng</v>
          </cell>
          <cell r="E346" t="str">
            <v>Trương Minh Nhựt 24127049</v>
          </cell>
          <cell r="F346" t="str">
            <v xml:space="preserve">Trương Minh Nhựt </v>
          </cell>
          <cell r="G346" t="str">
            <v>Xây dựng</v>
          </cell>
          <cell r="H346" t="str">
            <v>24127049</v>
          </cell>
          <cell r="I346" t="str">
            <v>Trần Đức Phú 23160043
Nguyễn Nhật Khôi 24127034
Nguyễn Phạm Anh Kiệt 24127036</v>
          </cell>
          <cell r="J346" t="str">
            <v>Trần Vũ Tự</v>
          </cell>
          <cell r="K346" t="str">
            <v>Khoa Xây Dựng</v>
          </cell>
          <cell r="L346" t="str">
            <v xml:space="preserve">tutv@hcmute.edu.vn </v>
          </cell>
          <cell r="M346" t="str">
            <v>01 Báo cáo tổng kết
01 Bài báo khoa học đăng trên tạp chí trong nước trong danh mục của Hội đồng Giáo sư Nhà nước tính 0,5 điểm trở lên.</v>
          </cell>
          <cell r="N346">
            <v>15000000</v>
          </cell>
          <cell r="O346" t="str">
            <v>Mười lăm triệu đồng</v>
          </cell>
          <cell r="P346" t="str">
            <v>24127049@student.hcmute.edu.vn</v>
          </cell>
          <cell r="Q346">
            <v>908812757</v>
          </cell>
        </row>
        <row r="347">
          <cell r="B347" t="str">
            <v>SV2026-367</v>
          </cell>
          <cell r="C347" t="str">
            <v>X</v>
          </cell>
          <cell r="D347" t="str">
            <v>Phân tích ứng xử của tường vây có xét ảnh hưởng các yếu tố trong quá trình thi công</v>
          </cell>
          <cell r="E347" t="str">
            <v>Nguyễn Trọng Đạt 23149062</v>
          </cell>
          <cell r="F347" t="str">
            <v xml:space="preserve">Nguyễn Trọng Đạt </v>
          </cell>
          <cell r="G347" t="str">
            <v>Xây dựng</v>
          </cell>
          <cell r="H347" t="str">
            <v>23149062</v>
          </cell>
          <cell r="I347" t="str">
            <v>Nguyễn Hữu Hạn 23149065
Trần Văn Duy 23149057
Đỗ Thành Đạt 23149059
Bùi Văn Nhật 23149110</v>
          </cell>
          <cell r="J347" t="str">
            <v>Nguyễn Văn Chúng</v>
          </cell>
          <cell r="K347" t="str">
            <v>Khoa Xây Dựng</v>
          </cell>
          <cell r="L347" t="str">
            <v xml:space="preserve">chungnv@hcmute.edu.vn </v>
          </cell>
          <cell r="M347" t="str">
            <v>01 Báo cáo tổng kết</v>
          </cell>
          <cell r="N347">
            <v>5000000</v>
          </cell>
          <cell r="O347" t="str">
            <v>Năm triệu đồng</v>
          </cell>
          <cell r="P347" t="str">
            <v>23149062@student.hcmute.edu.vn</v>
          </cell>
          <cell r="Q347">
            <v>383735107</v>
          </cell>
        </row>
        <row r="348">
          <cell r="B348" t="str">
            <v>SV2026-368</v>
          </cell>
          <cell r="C348" t="str">
            <v>X</v>
          </cell>
          <cell r="D348" t="str">
            <v>Phân tích các yếu tố ảnh hưởng đến sức chịu tải cọc trong nền đất cát</v>
          </cell>
          <cell r="E348" t="str">
            <v>Trần Vũ Nhật Cương 23149054</v>
          </cell>
          <cell r="F348" t="str">
            <v xml:space="preserve">Trần Vũ Nhật Cương </v>
          </cell>
          <cell r="G348" t="str">
            <v>Xây dựng</v>
          </cell>
          <cell r="H348" t="str">
            <v>23149054</v>
          </cell>
          <cell r="I348" t="str">
            <v>Phạm Gia Bảo 23149048
Cao Quang Minh 23149098
Ngô Lê Tấn Sang 23149122
Nguyễn Thái Bình 23149050</v>
          </cell>
          <cell r="J348" t="str">
            <v>Nguyễn Văn Chúng</v>
          </cell>
          <cell r="K348" t="str">
            <v>Khoa Xây Dựng</v>
          </cell>
          <cell r="L348" t="str">
            <v xml:space="preserve">chungnv@hcmute.edu.vn </v>
          </cell>
          <cell r="M348" t="str">
            <v>01 Báo cáo tổng kết</v>
          </cell>
          <cell r="N348">
            <v>5000000</v>
          </cell>
          <cell r="O348" t="str">
            <v>Năm triệu đồng</v>
          </cell>
          <cell r="P348" t="str">
            <v>23149054@student.hcmute.edu.vn</v>
          </cell>
          <cell r="Q348">
            <v>937159771</v>
          </cell>
        </row>
        <row r="349">
          <cell r="B349" t="str">
            <v>SV2026-369</v>
          </cell>
          <cell r="C349"/>
          <cell r="D349" t="str">
            <v>Ứng dụng BIM Tự động Thiết kế hệ thống Cấp nước Công trình Theo Tiêu Chuẩn Việt Nam</v>
          </cell>
          <cell r="E349" t="str">
            <v>Lê Quốc Huy 22135014</v>
          </cell>
          <cell r="F349" t="str">
            <v xml:space="preserve">Lê Quốc Huy </v>
          </cell>
          <cell r="G349" t="str">
            <v>Xây dựng</v>
          </cell>
          <cell r="H349" t="str">
            <v>22135014</v>
          </cell>
          <cell r="I349" t="str">
            <v>Nguyễn Thành Phát 22135032
Dương Thị Thảo Tiên 22135040
Lê Trọng Tình 22135041</v>
          </cell>
          <cell r="J349" t="str">
            <v>Phan Thành Chiến</v>
          </cell>
          <cell r="K349" t="str">
            <v>Khoa Xây Dựng</v>
          </cell>
          <cell r="L349" t="str">
            <v>chienpt@hcmute.edu.vn</v>
          </cell>
          <cell r="M349" t="str">
            <v>01 Báo cáo tổng kết
01 Bài báo khoa học đăng trên tạp chí trong nước, trong danh mục của HĐ GSNN tính điểm từ 0.5 điểm trở lên.</v>
          </cell>
          <cell r="N349">
            <v>15000000</v>
          </cell>
          <cell r="O349" t="str">
            <v>Mười lăm triệu đồng</v>
          </cell>
          <cell r="P349" t="str">
            <v>22135014@student.hcmute.edu.vn</v>
          </cell>
          <cell r="Q349">
            <v>901193304</v>
          </cell>
        </row>
        <row r="350">
          <cell r="B350" t="str">
            <v>SV2026-370</v>
          </cell>
          <cell r="C350" t="str">
            <v>X</v>
          </cell>
          <cell r="D350" t="str">
            <v>Nghiên cứu các chiến lược học từ vựng của sinh viên chuyên ngành tiếng Anh tại trường đại học Công nghệ Kỹ thuật TP HCM</v>
          </cell>
          <cell r="E350" t="str">
            <v>Lê Quang Sang 23950011</v>
          </cell>
          <cell r="F350" t="str">
            <v xml:space="preserve">Lê Quang Sang </v>
          </cell>
          <cell r="G350" t="str">
            <v>Ngoại ngữ</v>
          </cell>
          <cell r="H350" t="str">
            <v>23950011</v>
          </cell>
          <cell r="I350" t="str">
            <v>Lê Thị Ngọc Khánh 23950004</v>
          </cell>
          <cell r="J350" t="str">
            <v>Trịnh Ngọc Thành</v>
          </cell>
          <cell r="K350" t="str">
            <v>Khoa Ngoại ngữ</v>
          </cell>
          <cell r="L350" t="str">
            <v>thanhtn@hcmute.edu.vn</v>
          </cell>
          <cell r="M350" t="str">
            <v>01 Báo cáo tổng kết</v>
          </cell>
          <cell r="N350">
            <v>5000000</v>
          </cell>
          <cell r="O350" t="str">
            <v>Năm triệu đồng</v>
          </cell>
          <cell r="P350" t="str">
            <v>sangsang.qn.qn.vn@gmail.com</v>
          </cell>
          <cell r="Q350" t="str">
            <v>0857333759</v>
          </cell>
        </row>
        <row r="351">
          <cell r="B351" t="str">
            <v>SV2026-371</v>
          </cell>
          <cell r="C351" t="str">
            <v>X</v>
          </cell>
          <cell r="D351" t="str">
            <v>Tác động của đặc điểm Hội đồng quản trị đến hành vi quản trị lợi nhuận của các công ty niêm yết ngành nguyên vật liệu tại Việt Nam</v>
          </cell>
          <cell r="E351" t="str">
            <v>Lê Nguyễn Hà My 23125014</v>
          </cell>
          <cell r="F351" t="str">
            <v xml:space="preserve">Lê Nguyễn Hà My </v>
          </cell>
          <cell r="G351" t="str">
            <v>Kinh tế</v>
          </cell>
          <cell r="H351" t="str">
            <v>23125014</v>
          </cell>
          <cell r="I351" t="str">
            <v>Hoàng Quỳnh Anh 23125002
Lê Minh Thư 23125034
Trần Tiểu Yến 23125901</v>
          </cell>
          <cell r="J351" t="str">
            <v>Cao Thị Nhân Anh</v>
          </cell>
          <cell r="K351" t="str">
            <v>Khoa Kinh tế</v>
          </cell>
          <cell r="L351" t="str">
            <v>anhctn@hcmute.edu.vn</v>
          </cell>
          <cell r="M351" t="str">
            <v>1 bài báo trong danh mục HDGSNN được tính 0,75 điểm
1 báo cáo tổng hợp</v>
          </cell>
          <cell r="N351">
            <v>15000000</v>
          </cell>
          <cell r="O351" t="str">
            <v>Mười lăm triệu đồng</v>
          </cell>
          <cell r="P351" t="str">
            <v>23125014@student.hcmute.edu.vn</v>
          </cell>
          <cell r="Q351" t="str">
            <v>0934092976</v>
          </cell>
        </row>
        <row r="352">
          <cell r="B352" t="str">
            <v>SV2026-372</v>
          </cell>
          <cell r="C352" t="str">
            <v>X</v>
          </cell>
          <cell r="D352" t="str">
            <v>Tác động của thiền định đến chất lượng làm việc của nhân viên văn phòng tại Thành phố Hồ Chí Minh</v>
          </cell>
          <cell r="E352" t="str">
            <v>Nguyễn Ngọc Minh Trang 23126041</v>
          </cell>
          <cell r="F352" t="str">
            <v xml:space="preserve">Nguyễn Ngọc Minh Trang </v>
          </cell>
          <cell r="G352" t="str">
            <v>Kinh tế</v>
          </cell>
          <cell r="H352" t="str">
            <v>23126041</v>
          </cell>
          <cell r="I352" t="str">
            <v>Lê Nguyễn Thanh Huyền 23126014
Đỗ Nguyễn Thanh Uyên 23126053
Nguyễn Thị Yến Linh 23126024
Nguyễn Ngọc Phương Trinh 23126046</v>
          </cell>
          <cell r="J352" t="str">
            <v>Hồ Thị Hồng Xuyên</v>
          </cell>
          <cell r="K352" t="str">
            <v>Khoa Kinh tế</v>
          </cell>
          <cell r="L352" t="str">
            <v>xuyenhth@hcmute.edu.vn</v>
          </cell>
          <cell r="M352" t="str">
            <v>1 báo cáo tổng hợp</v>
          </cell>
          <cell r="N352">
            <v>5000000</v>
          </cell>
          <cell r="O352" t="str">
            <v>Năm triệu đồng</v>
          </cell>
          <cell r="P352" t="str">
            <v>23126041@student.hcmute.edu.vn</v>
          </cell>
          <cell r="Q352" t="str">
            <v>0937382005</v>
          </cell>
        </row>
        <row r="353">
          <cell r="B353" t="str">
            <v>SV2026-373</v>
          </cell>
          <cell r="C353"/>
          <cell r="D353" t="str">
            <v>Trí tuệ nhân tạo trong giáo dục: Đột phá công nghệ hay sự xói mòn trong tư duy phản biện của sinh viên trường đại học Công nghệ Kỹ thuật Thành phố Hồ Chí Minh.</v>
          </cell>
          <cell r="E353" t="str">
            <v>Phạm Nhã Uyên 23126155</v>
          </cell>
          <cell r="F353" t="str">
            <v xml:space="preserve">Phạm Nhã Uyên </v>
          </cell>
          <cell r="G353" t="str">
            <v>Kinh tế</v>
          </cell>
          <cell r="H353" t="str">
            <v>23126155</v>
          </cell>
          <cell r="I353" t="str">
            <v>Phạm Thị Thanh Thúy 23126135
Nguyễn Thị Mai Trâm 23126144
Lương Nguyễn Phương Uyên 23126154</v>
          </cell>
          <cell r="J353" t="str">
            <v>Nguyễn Phan Anh Huy</v>
          </cell>
          <cell r="K353" t="str">
            <v>Khoa Kinh tế</v>
          </cell>
          <cell r="L353" t="str">
            <v>huynpa@hcmute.edu.vn</v>
          </cell>
          <cell r="M353" t="str">
            <v>1 báo cáo tổng hợp</v>
          </cell>
          <cell r="N353">
            <v>5000000</v>
          </cell>
          <cell r="O353" t="str">
            <v>Năm triệu đồng</v>
          </cell>
          <cell r="P353" t="str">
            <v>23126155@student.hcmute.edu.vn</v>
          </cell>
          <cell r="Q353" t="str">
            <v>0393295864</v>
          </cell>
        </row>
        <row r="354">
          <cell r="B354" t="str">
            <v>SV2026-374</v>
          </cell>
          <cell r="C354" t="str">
            <v>X</v>
          </cell>
          <cell r="D354" t="str">
            <v>Phân tích các yếu tố tác động tâm lý FOMO đến ý định mua hàng của GenZ trên nền tảng TikTok tại Thành phố Hồ Chí Minh</v>
          </cell>
          <cell r="E354" t="str">
            <v>Nguyễn Thị Hồng Ngân 23126100</v>
          </cell>
          <cell r="F354" t="str">
            <v xml:space="preserve">Nguyễn Thị Hồng Ngân </v>
          </cell>
          <cell r="G354" t="str">
            <v>Kinh tế</v>
          </cell>
          <cell r="H354" t="str">
            <v>23126100</v>
          </cell>
          <cell r="I354" t="str">
            <v>Bùi Thị Lan Anh 23126063
Lăng Hoàng Lê 23132056
Ngô Phương Đài 23126072
Lê Thảo Hân 23126080</v>
          </cell>
          <cell r="J354" t="str">
            <v>Lại Thị Tường Vi</v>
          </cell>
          <cell r="K354" t="str">
            <v>Khoa Kinh tế</v>
          </cell>
          <cell r="L354" t="str">
            <v>viltt@hcmute.edu.vn</v>
          </cell>
          <cell r="M354" t="str">
            <v>1 báo cáo tổng hợp
1 bài báo trong danh mục HDGSNN được tính 0,5 điểm</v>
          </cell>
          <cell r="N354">
            <v>15000000</v>
          </cell>
          <cell r="O354" t="str">
            <v>Mười lăm triệu đồng</v>
          </cell>
          <cell r="P354" t="str">
            <v>23126100@student.hcmute.edu.vn</v>
          </cell>
          <cell r="Q354" t="str">
            <v>0974142206</v>
          </cell>
        </row>
        <row r="355">
          <cell r="B355" t="str">
            <v>SV2026-375</v>
          </cell>
          <cell r="C355" t="str">
            <v>X</v>
          </cell>
          <cell r="D355" t="str">
            <v>Tác động của trải nghiệm dòng chảy ảnh hưởng đến hành vi mua hàng trong bối cảnh livestream tại Thành phố Hồ Chí Minh.</v>
          </cell>
          <cell r="E355" t="str">
            <v>Phan Nhứt Huy 23136035</v>
          </cell>
          <cell r="F355" t="str">
            <v xml:space="preserve">Phan Nhứt Huy </v>
          </cell>
          <cell r="G355" t="str">
            <v>Kinh tế</v>
          </cell>
          <cell r="H355" t="str">
            <v>23136035</v>
          </cell>
          <cell r="I355">
            <v>0</v>
          </cell>
          <cell r="J355" t="str">
            <v>Lê Thị Tuyết Thanh</v>
          </cell>
          <cell r="K355" t="str">
            <v>Khoa Kinh tế</v>
          </cell>
          <cell r="L355" t="str">
            <v>thanhltt@hcmute.edu.vn</v>
          </cell>
          <cell r="M355" t="str">
            <v>1 báo cáo tổng hợp
1 bài báo trong danh mục HDGSNN được tính 0,5 điểm</v>
          </cell>
          <cell r="N355">
            <v>15000000</v>
          </cell>
          <cell r="O355" t="str">
            <v>Mười lăm triệu đồng</v>
          </cell>
          <cell r="P355" t="str">
            <v>23136035@student.hcmute.edu.vn</v>
          </cell>
          <cell r="Q355" t="str">
            <v xml:space="preserve"> 0786923786</v>
          </cell>
        </row>
        <row r="356">
          <cell r="B356" t="str">
            <v>SV2026-376</v>
          </cell>
          <cell r="C356" t="str">
            <v>X</v>
          </cell>
          <cell r="D356" t="str">
            <v>Phân tích các yếu tố tác động nhận thức về sống xanh của sinh viên trường đại học SPKT TP.HCM</v>
          </cell>
          <cell r="E356" t="str">
            <v>Huỳnh Bảo Hân 24124121</v>
          </cell>
          <cell r="F356" t="str">
            <v xml:space="preserve">Huỳnh Bảo Hân </v>
          </cell>
          <cell r="G356" t="str">
            <v>Kinh tế</v>
          </cell>
          <cell r="H356" t="str">
            <v>24124121</v>
          </cell>
          <cell r="I356" t="str">
            <v>Trần Ngọc Anh 24124094
Phan Đăng Bảo 23128091</v>
          </cell>
          <cell r="J356" t="str">
            <v>Phan Văn Hồng Thắng</v>
          </cell>
          <cell r="K356" t="str">
            <v>Khoa Kinh tế</v>
          </cell>
          <cell r="L356" t="str">
            <v>thangpvh@hcmute.edu.vn</v>
          </cell>
          <cell r="M356" t="str">
            <v>1 báo cáo tổng hợp
1 bài báo trong danh mục HDGSNN được tính 0,5 điểm</v>
          </cell>
          <cell r="N356">
            <v>15000000</v>
          </cell>
          <cell r="O356" t="str">
            <v>Mười lăm triệu đồng</v>
          </cell>
          <cell r="P356" t="str">
            <v> 24124121@student.hcmute.edu.vn</v>
          </cell>
          <cell r="Q356" t="str">
            <v>0917368337</v>
          </cell>
        </row>
        <row r="357">
          <cell r="B357" t="str">
            <v>SV2026-378</v>
          </cell>
          <cell r="C357" t="str">
            <v>X</v>
          </cell>
          <cell r="D357" t="str">
            <v>Tác động của hệ thống làm việc hiệu suất cao và kháng cự thay đổi đến sự sẵn sàng ứng dụng trí tuệ nhân tạo: Vai trò trung gian của lãnh đạo định hướng nhiệm vụ và nỗi sợ trí tuệ nhân tạo.</v>
          </cell>
          <cell r="E357" t="str">
            <v>Bùi Thanh Huyền 23136036</v>
          </cell>
          <cell r="F357" t="str">
            <v xml:space="preserve">Bùi Thanh Huyền </v>
          </cell>
          <cell r="G357" t="str">
            <v>Kinh tế</v>
          </cell>
          <cell r="H357" t="str">
            <v>23136036</v>
          </cell>
          <cell r="I357" t="str">
            <v>Nguyễn Văn Đức Trí 23126047
Nguyễn Nhựt Quỳnh 23126121</v>
          </cell>
          <cell r="J357" t="str">
            <v>Lê Thị Tuyết Thanh</v>
          </cell>
          <cell r="K357" t="str">
            <v>Khoa Kinh tế</v>
          </cell>
          <cell r="L357" t="str">
            <v>thanhltt@hcmute.edu.vn</v>
          </cell>
          <cell r="M357" t="str">
            <v>1 báo cáo tổng hợp
1 bài báo trong danh mục HDGSNN được tính 0,5 điểm</v>
          </cell>
          <cell r="N357">
            <v>15000000</v>
          </cell>
          <cell r="O357" t="str">
            <v>Mười lăm triệu đồng</v>
          </cell>
          <cell r="P357" t="str">
            <v>23136036@student.hcmute.edu.vn</v>
          </cell>
          <cell r="Q357" t="str">
            <v>0935758842</v>
          </cell>
        </row>
        <row r="358">
          <cell r="B358" t="str">
            <v>SV2026-379</v>
          </cell>
          <cell r="C358" t="str">
            <v>X</v>
          </cell>
          <cell r="D358" t="str">
            <v>Các yếu tố ảnh hưởng từ làn sóng loại bỏ nhựa đến hành vi tiêu dùng trong lĩnh vực thực phẩm và đồ uống</v>
          </cell>
          <cell r="E358" t="str">
            <v>Trương Quỳnh Như 23126031</v>
          </cell>
          <cell r="F358" t="str">
            <v xml:space="preserve">Trương Quỳnh Như </v>
          </cell>
          <cell r="G358" t="str">
            <v>Kinh tế</v>
          </cell>
          <cell r="H358" t="str">
            <v>23126031</v>
          </cell>
          <cell r="I358" t="str">
            <v>Trương Quang Anh​ 21110129
Vũ Anh Nguyên​ 21161340
Nguyễn Thị Ánh Thu 23126038
Nguyễn Hoàng Giang​ 22124041</v>
          </cell>
          <cell r="J358" t="str">
            <v>Nguyễn Thị Lan Anh</v>
          </cell>
          <cell r="K358" t="str">
            <v>Khoa Kinh tế</v>
          </cell>
          <cell r="L358" t="str">
            <v>lananhnt@hcmute.edu.vn</v>
          </cell>
          <cell r="M358" t="str">
            <v>1 báo cáo tổng hợp
1 bài báo trong danh mục HDGSNN được tính 0,5 điểm</v>
          </cell>
          <cell r="N358">
            <v>15000000</v>
          </cell>
          <cell r="O358" t="str">
            <v>Mười lăm triệu đồng</v>
          </cell>
          <cell r="P358" t="str">
            <v>23126031@student.hcmute.edu.vn</v>
          </cell>
          <cell r="Q358" t="str">
            <v>0837725269</v>
          </cell>
        </row>
        <row r="359">
          <cell r="B359" t="str">
            <v>SV2026-380</v>
          </cell>
          <cell r="C359" t="str">
            <v>X</v>
          </cell>
          <cell r="D359" t="str">
            <v xml:space="preserve">Ảnh hưởng của quảng cáo và mạng xã hội đến hành vi chi tiêu của sinh viên trường Đại học Công nghệ Kỹ thuật thành phố Hồ Chí Minh </v>
          </cell>
          <cell r="E359" t="str">
            <v>Huỳnh Võ Kim Chi 22125010</v>
          </cell>
          <cell r="F359" t="str">
            <v xml:space="preserve">Huỳnh Võ Kim Chi </v>
          </cell>
          <cell r="G359" t="str">
            <v>Kinh tế</v>
          </cell>
          <cell r="H359" t="str">
            <v>22125010</v>
          </cell>
          <cell r="I359">
            <v>0</v>
          </cell>
          <cell r="J359" t="str">
            <v>Trần Thụy Ái Phương</v>
          </cell>
          <cell r="K359" t="str">
            <v>Khoa Kinh tế</v>
          </cell>
          <cell r="L359" t="str">
            <v>phuongtta@hcmute.edu.vn</v>
          </cell>
          <cell r="M359" t="str">
            <v>1 báo cáo tổng hợp</v>
          </cell>
          <cell r="N359">
            <v>5000000</v>
          </cell>
          <cell r="O359" t="str">
            <v>Năm triệu đồng</v>
          </cell>
          <cell r="P359" t="str">
            <v xml:space="preserve"> 22125010@student.hcmute.edu.vn</v>
          </cell>
          <cell r="Q359" t="str">
            <v>0788348079</v>
          </cell>
        </row>
        <row r="360">
          <cell r="B360" t="str">
            <v>SV2026-381</v>
          </cell>
          <cell r="C360" t="str">
            <v>X</v>
          </cell>
          <cell r="D360" t="str">
            <v>Phân tích các yếu tố quyết định sự thành công của việc triển khai Bảo trì năng suất toàn diện (TPM) trong môi trường sản xuất</v>
          </cell>
          <cell r="E360" t="str">
            <v>Lưu Nguyễn Thảo Nguyên 23124105</v>
          </cell>
          <cell r="F360" t="str">
            <v xml:space="preserve">Lưu Nguyễn Thảo Nguyên </v>
          </cell>
          <cell r="G360" t="str">
            <v>Kinh tế</v>
          </cell>
          <cell r="H360" t="str">
            <v>23124105</v>
          </cell>
          <cell r="I360" t="str">
            <v>Định Tuấn 23124151
Vũ Thanh Tùng 23124154</v>
          </cell>
          <cell r="J360" t="str">
            <v>Nguyễn Phương Quang</v>
          </cell>
          <cell r="K360" t="str">
            <v>Khoa Điện - Điện tử</v>
          </cell>
          <cell r="L360" t="str">
            <v>quangnp@hcmute.edu.vn</v>
          </cell>
          <cell r="M360" t="str">
            <v>1 báo cáo tổng hợp
1 bài báo trong danh mục HDGSNN được tính 0,5 điểm</v>
          </cell>
          <cell r="N360">
            <v>15000000</v>
          </cell>
          <cell r="O360" t="str">
            <v>Mười lăm triệu đồng</v>
          </cell>
          <cell r="P360" t="str">
            <v>23124105@student.hcmute.edu.vn</v>
          </cell>
          <cell r="Q360" t="str">
            <v>0858278886</v>
          </cell>
        </row>
        <row r="361">
          <cell r="B361" t="str">
            <v>SV2026-382</v>
          </cell>
          <cell r="C361" t="str">
            <v>X</v>
          </cell>
          <cell r="D361" t="str">
            <v>Các yếu tố tác động đến ý định tham gia thương mại điện tử xuyên biên giới của giới trẻ Việt Nam</v>
          </cell>
          <cell r="E361" t="str">
            <v>Nguyễn Hoàng Dung 24126034</v>
          </cell>
          <cell r="F361" t="str">
            <v xml:space="preserve">Nguyễn Hoàng Dung </v>
          </cell>
          <cell r="G361" t="str">
            <v>Kinh tế</v>
          </cell>
          <cell r="H361" t="str">
            <v>24126034</v>
          </cell>
          <cell r="I361" t="str">
            <v>Đặng Phúc Thiên	 24126214
Trương Nhật Trường 24126266
Mai Khánh Thuận 24126222</v>
          </cell>
          <cell r="J361" t="str">
            <v>Nguyễn Danh Hà Thái</v>
          </cell>
          <cell r="K361" t="str">
            <v>Khoa Kinh tế</v>
          </cell>
          <cell r="L361" t="str">
            <v>thaindh@hcmute.edu.vn</v>
          </cell>
          <cell r="M361" t="str">
            <v>1 Báo cáo phân tích tổng hợp
1 Bài báo đăng tạp chí trong danh mục của Hội đồng giáo sư nhà nước có điểm từ 0,5-1,0</v>
          </cell>
          <cell r="N361">
            <v>15000000</v>
          </cell>
          <cell r="O361" t="str">
            <v>Mười lăm triệu đồng</v>
          </cell>
          <cell r="P361" t="str">
            <v> 24126034@student.hcmute.edu.vn</v>
          </cell>
          <cell r="Q361" t="str">
            <v>0972773072</v>
          </cell>
        </row>
        <row r="362">
          <cell r="B362" t="str">
            <v>SV2026-383</v>
          </cell>
          <cell r="C362" t="str">
            <v>X</v>
          </cell>
          <cell r="D362" t="str">
            <v>Ảnh hưởng của truyền bá tinh thần yêu nước và  truyền miệng điện tử đến ý định mua hàng Việt và hành vi tẩy chay  hàng ngoại: Vai trò trung gian của tính vị chủng tiêu dùng</v>
          </cell>
          <cell r="E362" t="str">
            <v>Huỳnh Nguyễn Bửu Ngọc 24132119</v>
          </cell>
          <cell r="F362" t="str">
            <v xml:space="preserve">Huỳnh Nguyễn Bửu Ngọc </v>
          </cell>
          <cell r="G362" t="str">
            <v>Kinh tế</v>
          </cell>
          <cell r="H362" t="str">
            <v>24132119</v>
          </cell>
          <cell r="I362" t="str">
            <v>Phạm Thị Hà My 24126137
Lê Nguyễn Anh Thư 24132175
Phạm Anh Thư 24132176
Phạm Minh Thư 24126230</v>
          </cell>
          <cell r="J362" t="str">
            <v>Lê Thị Tuyết Thanh</v>
          </cell>
          <cell r="K362" t="str">
            <v>Khoa Kinh tế</v>
          </cell>
          <cell r="L362" t="str">
            <v>thanhltt@hcmute.edu.vn</v>
          </cell>
          <cell r="M362" t="str">
            <v>1 báo cáo tổng hợp
1 bài báo trong danh mục HDGSNN được tính 0,5 điểm</v>
          </cell>
          <cell r="N362">
            <v>15000000</v>
          </cell>
          <cell r="O362" t="str">
            <v>Mười lăm triệu đồng</v>
          </cell>
          <cell r="P362" t="str">
            <v>24132119@student.hcmute.edu.vn</v>
          </cell>
          <cell r="Q362" t="str">
            <v>0383267509</v>
          </cell>
        </row>
        <row r="363">
          <cell r="B363" t="str">
            <v>SV2026-384</v>
          </cell>
          <cell r="C363" t="str">
            <v>X</v>
          </cell>
          <cell r="D363" t="str">
            <v>Tác động của marketing dựa trên trí tuệ nhân tạo đến hành vi kháng cự của người tiêu dùng: Vai trò của cảm nhận bị thao túng và năng lực số</v>
          </cell>
          <cell r="E363" t="str">
            <v>Lưu Hoàng Vân Nhi 23126030</v>
          </cell>
          <cell r="F363" t="str">
            <v xml:space="preserve">Lưu Hoàng Vân Nhi </v>
          </cell>
          <cell r="G363" t="str">
            <v>Kinh tế</v>
          </cell>
          <cell r="H363" t="str">
            <v>23126030</v>
          </cell>
          <cell r="I363" t="str">
            <v>Nguyễn Lê Bảo Trân 23126043
Lê Hồ Thảo Vy 23126055
Nguyễn Đoàn Thùy Linh 23126023</v>
          </cell>
          <cell r="J363" t="str">
            <v>Lê Thị Tuyết Thanh</v>
          </cell>
          <cell r="K363" t="str">
            <v>Khoa Kinh tế</v>
          </cell>
          <cell r="L363" t="str">
            <v>thanhltt@hcmute.edu.vn</v>
          </cell>
          <cell r="M363" t="str">
            <v>1 báo cáo tổng hợp
1 bài báo trong danh mục HDGSNN được tính 0,5 điểm</v>
          </cell>
          <cell r="N363">
            <v>15000000</v>
          </cell>
          <cell r="O363" t="str">
            <v>Mười lăm triệu đồng</v>
          </cell>
          <cell r="P363" t="str">
            <v>23126030@student.hcmute.edu.vn</v>
          </cell>
          <cell r="Q363" t="str">
            <v>0789520309</v>
          </cell>
        </row>
        <row r="364">
          <cell r="B364" t="str">
            <v>SV2026-385</v>
          </cell>
          <cell r="C364" t="str">
            <v>X</v>
          </cell>
          <cell r="D364" t="str">
            <v>Ảnh hưởng của hội đồng quản trị bận rộn đến tính thận trọng trong kế toán: bằng chứng thực nghiệm tại Việt Nam</v>
          </cell>
          <cell r="E364" t="str">
            <v>Phạm Thị Phương Quyên 23125030</v>
          </cell>
          <cell r="F364" t="str">
            <v xml:space="preserve">Phạm Thị Phương Quyên </v>
          </cell>
          <cell r="G364" t="str">
            <v>Kinh tế</v>
          </cell>
          <cell r="H364" t="str">
            <v>23125030</v>
          </cell>
          <cell r="I364" t="str">
            <v>Vầy Thị Mỹ Duyên 23125007
Nguyễn Hồng Ngọc 23125016
Câu Hồng Hoài Thuận 23125032
Nguyễn Đoàn Cát Tường 23125041</v>
          </cell>
          <cell r="J364" t="str">
            <v>Cao Thị Nhân Anh</v>
          </cell>
          <cell r="K364" t="str">
            <v>Khoa Kinh tế</v>
          </cell>
          <cell r="L364" t="str">
            <v>anhctn@hcmute.edu.vn</v>
          </cell>
          <cell r="M364" t="str">
            <v>1 báo cáo tổng hợp
1 bài báo trong danh mục HDGSNN được tính 0,5 điểm</v>
          </cell>
          <cell r="N364">
            <v>15000000</v>
          </cell>
          <cell r="O364" t="str">
            <v>Mười lăm triệu đồng</v>
          </cell>
          <cell r="P364" t="str">
            <v>23125030@student.hcmute.edu.vn</v>
          </cell>
          <cell r="Q364" t="str">
            <v>0396186415</v>
          </cell>
        </row>
        <row r="365">
          <cell r="B365" t="str">
            <v>SV2026-386</v>
          </cell>
          <cell r="C365" t="str">
            <v>X</v>
          </cell>
          <cell r="D365" t="str">
            <v>Dự đoán hành vi rời bỏ sàn thương mại điện tử của sinh viên trường Đại học Công nghệ Kỹ thuật TP. HCM: Ứng dụng học máy</v>
          </cell>
          <cell r="E365" t="str">
            <v>Phạm Trần Thanh Trúc 24126263</v>
          </cell>
          <cell r="F365" t="str">
            <v xml:space="preserve">Phạm Trần Thanh Trúc </v>
          </cell>
          <cell r="G365" t="str">
            <v>Kinh tế</v>
          </cell>
          <cell r="H365" t="str">
            <v>24126263</v>
          </cell>
          <cell r="I365" t="str">
            <v>Lê Trần Diệu Quyên 24126189
Võ Hoàng Nam 24132115
Bùi Minh Thọ 24126220</v>
          </cell>
          <cell r="J365" t="str">
            <v xml:space="preserve">Bùi Tiến Thịnh </v>
          </cell>
          <cell r="K365" t="str">
            <v>Khoa Kinh tế</v>
          </cell>
          <cell r="L365" t="str">
            <v>thinhbt@hcmute.edu.vn</v>
          </cell>
          <cell r="M365" t="str">
            <v>1 báo cáo tổng hợp
1 bài báo trong danh mục HDGSNN được tính 0,5 điểm</v>
          </cell>
          <cell r="N365">
            <v>15000000</v>
          </cell>
          <cell r="O365" t="str">
            <v>Mười lăm triệu đồng</v>
          </cell>
          <cell r="P365" t="str">
            <v>24126263@student.hcmute.edu.vn</v>
          </cell>
          <cell r="Q365" t="str">
            <v>0937587181</v>
          </cell>
        </row>
        <row r="366">
          <cell r="B366" t="str">
            <v>SV2026-387</v>
          </cell>
          <cell r="C366" t="str">
            <v>X</v>
          </cell>
          <cell r="D366" t="str">
            <v>Tác động của đánh giá trực tuyến đến ý định mua hàng của giới trẻ trên các sàn thương mại điện tử tại thành phố Hồ Chí Minh</v>
          </cell>
          <cell r="E366" t="str">
            <v>Lê Nhựt Linh 23126022</v>
          </cell>
          <cell r="F366" t="str">
            <v xml:space="preserve">Lê Nhựt Linh </v>
          </cell>
          <cell r="G366" t="str">
            <v>Kinh tế</v>
          </cell>
          <cell r="H366" t="str">
            <v>23126022</v>
          </cell>
          <cell r="I366">
            <v>0</v>
          </cell>
          <cell r="J366" t="str">
            <v>Hồ Thị Hồng Xuyên</v>
          </cell>
          <cell r="K366" t="str">
            <v>Khoa Kinh tế</v>
          </cell>
          <cell r="L366" t="str">
            <v>xuyenhth@hcmute.edu.vn</v>
          </cell>
          <cell r="M366" t="str">
            <v>1 báo cáo tổng hợp
1 bài báo trong danh mục HDGSNN được tính 0,5 điểm</v>
          </cell>
          <cell r="N366">
            <v>15000000</v>
          </cell>
          <cell r="O366" t="str">
            <v>Mười lăm triệu đồng</v>
          </cell>
          <cell r="P366" t="str">
            <v>23126022@student.hcmute.edu.vn</v>
          </cell>
          <cell r="Q366" t="str">
            <v xml:space="preserve">0384585841 </v>
          </cell>
        </row>
        <row r="367">
          <cell r="B367" t="str">
            <v>SV2026-388</v>
          </cell>
          <cell r="C367" t="str">
            <v>X</v>
          </cell>
          <cell r="D367" t="str">
            <v>Các yếu tố ảnh hưởng đến hành vi chuyển đổi sử dụng dịch vụ xe buýt điện của học sinh, sinh viên trên địa bàn TP.HCM</v>
          </cell>
          <cell r="E367" t="str">
            <v>Nguyễn Thị Hoà Bình 24126021</v>
          </cell>
          <cell r="F367" t="str">
            <v xml:space="preserve">Nguyễn Thị Hoà Bình </v>
          </cell>
          <cell r="G367" t="str">
            <v>Kinh tế</v>
          </cell>
          <cell r="H367" t="str">
            <v>24126021</v>
          </cell>
          <cell r="I367" t="str">
            <v xml:space="preserve">Mai Thị Xuân Sinh 24126191
Nguyễn Ngọc Kiều Vy 24126277
Nguyễn Thị Tường Vy 24126278
Văn Nữ Hà Vy 24126281            </v>
          </cell>
          <cell r="J367" t="str">
            <v>Nguyễn Thị Lan Anh</v>
          </cell>
          <cell r="K367" t="str">
            <v>Khoa Kinh tế</v>
          </cell>
          <cell r="L367" t="str">
            <v>lananhnt@hcmute.edu.vn</v>
          </cell>
          <cell r="M367" t="str">
            <v>1 báo cáo tổng hợp
1 bài báo trong danh mục HDGSNN được tính 0,5 điểm</v>
          </cell>
          <cell r="N367">
            <v>15000000</v>
          </cell>
          <cell r="O367" t="str">
            <v>Mười lăm triệu đồng</v>
          </cell>
          <cell r="P367" t="str">
            <v>24126021@student.hcmute.edu.vn</v>
          </cell>
          <cell r="Q367" t="str">
            <v>0325648412</v>
          </cell>
        </row>
        <row r="368">
          <cell r="B368" t="str">
            <v>SV2026-389</v>
          </cell>
          <cell r="C368" t="str">
            <v>X</v>
          </cell>
          <cell r="D368" t="str">
            <v>Nghiên cứu các yếu tố ảnh hưởng đến thói quen đọc sách của sinh viên trường đại học Công nghệ kỹ thuật Tp. Hồ Chí Minh</v>
          </cell>
          <cell r="E368" t="str">
            <v>Võ Lâm Vĩ 22149204</v>
          </cell>
          <cell r="F368" t="str">
            <v xml:space="preserve">Võ Lâm Vĩ </v>
          </cell>
          <cell r="G368" t="str">
            <v>Kinh tế</v>
          </cell>
          <cell r="H368" t="str">
            <v>22149204</v>
          </cell>
          <cell r="I368" t="str">
            <v>Nguyễn Quang Vinh 22149201
Nguyễn Duy Thắng 20119286
Nguyễn Thị Thu Thảo 22160036</v>
          </cell>
          <cell r="J368" t="str">
            <v>Trần Thụy Ái Phương</v>
          </cell>
          <cell r="K368" t="str">
            <v>Khoa Kinh tế</v>
          </cell>
          <cell r="L368" t="str">
            <v>phuongtta@hcmute.edu.vn</v>
          </cell>
          <cell r="M368" t="str">
            <v>1 báo cáo tổng hợp</v>
          </cell>
          <cell r="N368">
            <v>5000000</v>
          </cell>
          <cell r="O368" t="str">
            <v>Năm triệu đồng</v>
          </cell>
          <cell r="P368" t="str">
            <v>22149204@student.hcmute.edu.vn</v>
          </cell>
          <cell r="Q368" t="str">
            <v>0377201416
0949167157</v>
          </cell>
        </row>
        <row r="369">
          <cell r="B369" t="str">
            <v>SV2026-390</v>
          </cell>
          <cell r="C369" t="str">
            <v>X</v>
          </cell>
          <cell r="D369" t="str">
            <v>Những yếu tố tác động đến hành vi làm UGC Creator của nhà sáng tạo nội dung số thế hệ Gen Z tại Việt Nam</v>
          </cell>
          <cell r="E369" t="str">
            <v>Phạm Nguyễn Huyền Duyên 23136021</v>
          </cell>
          <cell r="F369" t="str">
            <v xml:space="preserve">Phạm Nguyễn Huyền Duyên </v>
          </cell>
          <cell r="G369" t="str">
            <v>Kinh tế</v>
          </cell>
          <cell r="H369" t="str">
            <v>23136021</v>
          </cell>
          <cell r="I369" t="str">
            <v>Nguyễn Thu Hằng 23136028</v>
          </cell>
          <cell r="J369" t="str">
            <v xml:space="preserve">Trương Diệu Linh </v>
          </cell>
          <cell r="K369" t="str">
            <v>Khoa Kinh tế</v>
          </cell>
          <cell r="L369" t="str">
            <v>linhtd@hcmute.edu.vn</v>
          </cell>
          <cell r="M369" t="str">
            <v>1 báo cáo tổng hợp
1 bài báo trong danh mục HDGSNN được tính 0,5 điểm</v>
          </cell>
          <cell r="N369">
            <v>15000000</v>
          </cell>
          <cell r="O369" t="str">
            <v>Mười lăm triệu đồng</v>
          </cell>
          <cell r="P369" t="str">
            <v> 23136021@student.hcmute.edu.vn</v>
          </cell>
          <cell r="Q369" t="str">
            <v>0984686817</v>
          </cell>
        </row>
        <row r="370">
          <cell r="B370" t="str">
            <v>SV2026-391</v>
          </cell>
          <cell r="C370" t="str">
            <v>X</v>
          </cell>
          <cell r="D370" t="str">
            <v>Các nhân tố ảnh hưởng đến hành vi tài chính của sinh viên</v>
          </cell>
          <cell r="E370" t="str">
            <v>Lê Quỳnh Phương 23124114</v>
          </cell>
          <cell r="F370" t="str">
            <v xml:space="preserve">Lê Quỳnh Phương </v>
          </cell>
          <cell r="G370" t="str">
            <v>Kinh tế</v>
          </cell>
          <cell r="H370" t="str">
            <v>23124114</v>
          </cell>
          <cell r="I370" t="str">
            <v xml:space="preserve">Nguyễn Lê Ngọc Hân 23124076
Châu Kim Ngân 23124101
Nguyễn Thị Diễm Quỳnh 23124123
Đỗ Thanh Trúc 23124147 </v>
          </cell>
          <cell r="J370" t="str">
            <v>Tô Trần Lam Giang</v>
          </cell>
          <cell r="K370" t="str">
            <v>Khoa Kinh tế</v>
          </cell>
          <cell r="L370" t="str">
            <v>lamgiangkkt@hcmute.edu.vn</v>
          </cell>
          <cell r="M370" t="str">
            <v>1 bài báo cáo tổng kết phân tích</v>
          </cell>
          <cell r="N370">
            <v>5000000</v>
          </cell>
          <cell r="O370" t="str">
            <v>Năm triệu đồng</v>
          </cell>
          <cell r="P370" t="str">
            <v xml:space="preserve"> lequynhphuong836592@gmail.com</v>
          </cell>
          <cell r="Q370" t="str">
            <v>0798611570</v>
          </cell>
        </row>
        <row r="371">
          <cell r="B371" t="str">
            <v>SV2026-392</v>
          </cell>
          <cell r="C371" t="str">
            <v>X</v>
          </cell>
          <cell r="D371" t="str">
            <v xml:space="preserve"> Ảnh hưởng của Trò chơi hóa (Gamification) đến ý định mua hàng trực tuyến đối với Sinh viên sử dụng Ứng dụng Shopee tại TP. Hồ Chí Minh</v>
          </cell>
          <cell r="E371" t="str">
            <v>Nguyễn Thị Kiều Nhi 24126168</v>
          </cell>
          <cell r="F371" t="str">
            <v xml:space="preserve">Nguyễn Thị Kiều Nhi </v>
          </cell>
          <cell r="G371" t="str">
            <v>Kinh tế</v>
          </cell>
          <cell r="H371" t="str">
            <v>24126168</v>
          </cell>
          <cell r="I371" t="str">
            <v>Sái Ngọc Nhi 24126169
Trần Vũ Tú Oanh 24126177</v>
          </cell>
          <cell r="J371" t="str">
            <v>Nguyễn Khắc Hiếu</v>
          </cell>
          <cell r="K371" t="str">
            <v>Khoa Kinh tế</v>
          </cell>
          <cell r="L371" t="str">
            <v>hieunk@hcmute.edu.vn</v>
          </cell>
          <cell r="M371" t="str">
            <v>1 báo cáo tổng hợp
1 bài báo trong danh mục HDGSNN được tính 0,5 điểm</v>
          </cell>
          <cell r="N371">
            <v>15000000</v>
          </cell>
          <cell r="O371" t="str">
            <v>Mười lăm triệu đồng</v>
          </cell>
          <cell r="P371" t="str">
            <v>kieunhi29122006@gmail.com</v>
          </cell>
          <cell r="Q371" t="str">
            <v>0964938421</v>
          </cell>
        </row>
        <row r="372">
          <cell r="B372" t="str">
            <v>SV2026-393</v>
          </cell>
          <cell r="C372" t="str">
            <v>X</v>
          </cell>
          <cell r="D372" t="str">
            <v>Nghiên cứu ảnh hưởng của đặc điểm Hội đông quản trị đến hành vi tránh thuế: Nghiên cứu trường hợp các công ty niêm yết ở Việt Nam.</v>
          </cell>
          <cell r="E372" t="str">
            <v>Nguyễn Kim Ngân 23125015</v>
          </cell>
          <cell r="F372" t="str">
            <v xml:space="preserve">Nguyễn Kim Ngân </v>
          </cell>
          <cell r="G372" t="str">
            <v>Kinh tế</v>
          </cell>
          <cell r="H372" t="str">
            <v>23125015</v>
          </cell>
          <cell r="I372" t="str">
            <v>Nguyễn Phạm Diệu Chi 23125005
Trần Ngọc Hà 23125009</v>
          </cell>
          <cell r="J372" t="str">
            <v>Cao Thị Nhân Anh</v>
          </cell>
          <cell r="K372" t="str">
            <v>Khoa Kinh tế</v>
          </cell>
          <cell r="L372" t="str">
            <v>anhctn@hcmute.edu.vn</v>
          </cell>
          <cell r="M372" t="str">
            <v>1 báo cáo phân tích</v>
          </cell>
          <cell r="N372">
            <v>5000000</v>
          </cell>
          <cell r="O372" t="str">
            <v>Năm triệu đồng</v>
          </cell>
          <cell r="P372" t="str">
            <v>23125015@student.hcmute.edu.vn</v>
          </cell>
          <cell r="Q372" t="str">
            <v>0354103335</v>
          </cell>
        </row>
        <row r="373">
          <cell r="B373" t="str">
            <v>SV2026-394</v>
          </cell>
          <cell r="C373" t="str">
            <v>X</v>
          </cell>
          <cell r="D373" t="str">
            <v>Nghiên Cứu Sự Kết Hợp Phân Tích Cảm Xúc Và Dự Đoán Hành Vi Rời Bỏ Của Khách Hàng Bằng Mô Hình Máy Học Machine Learning Với Nghiên Cứu Thực Nghiệm Trên Dữ Liệu Của Các Sàn Thương Mại Điện Tử Việt Nam.</v>
          </cell>
          <cell r="E373" t="str">
            <v>Dương Thái Quyên 24126188</v>
          </cell>
          <cell r="F373" t="str">
            <v xml:space="preserve">Dương Thái Quyên </v>
          </cell>
          <cell r="G373" t="str">
            <v>Kinh tế</v>
          </cell>
          <cell r="H373" t="str">
            <v>24126188</v>
          </cell>
          <cell r="I373" t="str">
            <v>Vũ Thị Hồng Thương 24126235
Trần Thái Sinh 24126192
Trần Hoàng Nhật Thanh 24126203
Nguyễn Minh Khoa 24126104</v>
          </cell>
          <cell r="J373" t="str">
            <v>Trần Kim Toại</v>
          </cell>
          <cell r="K373" t="str">
            <v>Khoa Kinh tế</v>
          </cell>
          <cell r="L373" t="str">
            <v>toaitk@hcmute.edu.vn</v>
          </cell>
          <cell r="M373" t="str">
            <v>Mô hình máy học tích hợp; Báo cáo nghiên cứu khoa học; Giao diện thử nghiệm (prototype), Chương trình máy tính</v>
          </cell>
          <cell r="N373">
            <v>5000000</v>
          </cell>
          <cell r="O373" t="str">
            <v>Năm triệu đồng</v>
          </cell>
          <cell r="P373" t="str">
            <v>24126188@student.hcmute.edu.vn</v>
          </cell>
          <cell r="Q373" t="str">
            <v>0349305257</v>
          </cell>
        </row>
        <row r="374">
          <cell r="B374" t="str">
            <v>SV2026-395</v>
          </cell>
          <cell r="C374" t="str">
            <v>X</v>
          </cell>
          <cell r="D374" t="str">
            <v>Các yếu tố ảnh hưởng đến ý định tham gia các hoạt động tình nguyện của sinh viên</v>
          </cell>
          <cell r="E374" t="str">
            <v>Trần Đình Năm 23136062</v>
          </cell>
          <cell r="F374" t="str">
            <v xml:space="preserve">Trần Đình Năm </v>
          </cell>
          <cell r="G374" t="str">
            <v>Kinh tế</v>
          </cell>
          <cell r="H374" t="str">
            <v>23136062</v>
          </cell>
          <cell r="I374" t="str">
            <v>Thái Thị Thanh Thưởng 23136113
Nguyễn Mai Trúc 24126261
Nguyễn Lê Ái Trúc22125073</v>
          </cell>
          <cell r="J374" t="str">
            <v>Nguyễn Phan Như Ngọc</v>
          </cell>
          <cell r="K374" t="str">
            <v>Khoa Kinh tế</v>
          </cell>
          <cell r="L374" t="str">
            <v>ngocnpn@hcmute.edu.vn</v>
          </cell>
          <cell r="M374" t="str">
            <v>1 báo cáo tổng hợp
1 bài báo trong danh mục HDGSNN được tính 0,5 điểm</v>
          </cell>
          <cell r="N374">
            <v>15000000</v>
          </cell>
          <cell r="O374" t="str">
            <v>Mười lăm triệu đồng</v>
          </cell>
          <cell r="P374" t="str">
            <v> 23136062@student.hcmute.edu.vn</v>
          </cell>
          <cell r="Q374" t="str">
            <v>0824399719</v>
          </cell>
        </row>
        <row r="375">
          <cell r="B375" t="str">
            <v>SV2026-396</v>
          </cell>
          <cell r="C375" t="str">
            <v>X</v>
          </cell>
          <cell r="D375" t="str">
            <v>Đánh giá mức độ ảnh hưởng của bao bì đến hành vi sống xanh của sinh viên trường Đại học Công nghệ Kỹ thuật TP.HCM</v>
          </cell>
          <cell r="E375" t="str">
            <v>Trần Ngọc Anh 24124094</v>
          </cell>
          <cell r="F375" t="str">
            <v xml:space="preserve">Trần Ngọc Anh </v>
          </cell>
          <cell r="G375" t="str">
            <v>Kinh tế</v>
          </cell>
          <cell r="H375" t="str">
            <v>24124094</v>
          </cell>
          <cell r="I375" t="str">
            <v>Phan Đăng Bảo 23128091
Huỳnh Bảo Hân 24124121</v>
          </cell>
          <cell r="J375" t="str">
            <v>Phan Văn Hồng Thắng</v>
          </cell>
          <cell r="K375" t="str">
            <v>Khoa Kinh tế</v>
          </cell>
          <cell r="L375" t="str">
            <v>thangpvh@hcmute.edu.vn</v>
          </cell>
          <cell r="M375" t="str">
            <v>1 báo cáo tổng hợp
1 bài báo trong danh mục HDGSNN được tính 0,5 điểm</v>
          </cell>
          <cell r="N375">
            <v>15000000</v>
          </cell>
          <cell r="O375" t="str">
            <v>Mười lăm triệu đồng</v>
          </cell>
          <cell r="P375" t="str">
            <v xml:space="preserve"> 24124094@student.hcmute.edu.vn</v>
          </cell>
          <cell r="Q375" t="str">
            <v>0932516392</v>
          </cell>
        </row>
        <row r="376">
          <cell r="B376" t="str">
            <v>SV2026-397</v>
          </cell>
          <cell r="C376" t="str">
            <v>X</v>
          </cell>
          <cell r="D376" t="str">
            <v>Đánh giá ảnh hưởng của hệ thống chat bot AI đối  với khả năng tự học của sinh viên đại học Công nghệ Kỹ thuật TP.HCM</v>
          </cell>
          <cell r="E376" t="str">
            <v>Đoàn Trần Thiên Phúc 24124172</v>
          </cell>
          <cell r="F376" t="str">
            <v xml:space="preserve">Đoàn Trần Thiên Phúc </v>
          </cell>
          <cell r="G376" t="str">
            <v>Kinh tế</v>
          </cell>
          <cell r="H376" t="str">
            <v>24124172</v>
          </cell>
          <cell r="I376" t="str">
            <v>Trần Ngọc Anh 24124094
Trương Thị Ngọc Trinh 22131153
Nguyễn Minh Hoàng 24124128</v>
          </cell>
          <cell r="J376" t="str">
            <v xml:space="preserve">Nguyễn Danh Hà Thái </v>
          </cell>
          <cell r="K376" t="str">
            <v>Khoa Kinh tế</v>
          </cell>
          <cell r="L376" t="str">
            <v>thaindh@hcmute.edu.vn</v>
          </cell>
          <cell r="M376" t="str">
            <v>1 báo cáo tổng hợp
1 bài báo trong danh mục HDGSNN được tính 0,5 điểm</v>
          </cell>
          <cell r="N376">
            <v>15000000</v>
          </cell>
          <cell r="O376" t="str">
            <v>Mười lăm triệu đồng</v>
          </cell>
          <cell r="P376" t="str">
            <v>24124172@student.hcmute.edu.vn</v>
          </cell>
          <cell r="Q376" t="str">
            <v>0939164796</v>
          </cell>
        </row>
        <row r="377">
          <cell r="B377" t="str">
            <v>SV2026-398</v>
          </cell>
          <cell r="C377" t="str">
            <v>X</v>
          </cell>
          <cell r="D377" t="str">
            <v>Các yếu tố tác động đến ý định mua mỹ phẩm xanh của sinh viên tại TP. Hồ Chí Minh</v>
          </cell>
          <cell r="E377" t="str">
            <v>Nguyễn Võ Minh Anh 24126008</v>
          </cell>
          <cell r="F377" t="str">
            <v xml:space="preserve">Nguyễn Võ Minh Anh </v>
          </cell>
          <cell r="G377" t="str">
            <v>Kinh tế</v>
          </cell>
          <cell r="H377" t="str">
            <v>24126008</v>
          </cell>
          <cell r="I377" t="str">
            <v>Nguyễn Thị Mỹ Kiều 24126108
Lê Phương Anh 24126002
Nguyễn Trọng Khôi 24126106
Phạm Đình Trọng 24126255</v>
          </cell>
          <cell r="J377" t="str">
            <v>Nguyễn Phan Như Ngọc</v>
          </cell>
          <cell r="K377" t="str">
            <v>Khoa Kinh tế</v>
          </cell>
          <cell r="L377" t="str">
            <v>ngocnpn@hcmute.edu.vn</v>
          </cell>
          <cell r="M377" t="str">
            <v>1 báo cáo tổng hợp</v>
          </cell>
          <cell r="N377">
            <v>5000000</v>
          </cell>
          <cell r="O377" t="str">
            <v>Năm triệu đồng</v>
          </cell>
          <cell r="P377" t="str">
            <v>24126008@student.hcmute.edu.vn</v>
          </cell>
          <cell r="Q377" t="str">
            <v>0925645347</v>
          </cell>
        </row>
        <row r="378">
          <cell r="B378" t="str">
            <v>SV2026-399</v>
          </cell>
          <cell r="C378" t="str">
            <v>X</v>
          </cell>
          <cell r="D378" t="str">
            <v>Nghiên cứu các yếu tố ảnh hưởng đến ý định sử dụng hệ thống tàu điện ngầm Metro của học sinh và sinh viên tại Thành phố Hồ Chí Minh</v>
          </cell>
          <cell r="E378" t="str">
            <v>Lê Thị Thu Hà 23124073</v>
          </cell>
          <cell r="F378" t="str">
            <v xml:space="preserve">Lê Thị Thu Hà </v>
          </cell>
          <cell r="G378" t="str">
            <v>Kinh tế</v>
          </cell>
          <cell r="H378" t="str">
            <v>23124073</v>
          </cell>
          <cell r="I378" t="str">
            <v>Nguyễn Hoàng Phương Vi 23124158
Cao Phương Vy 23124161
Phan Hồng My 23124096
Trần Nguyễn Nhật Uyên 22124902</v>
          </cell>
          <cell r="J378" t="str">
            <v>Tô Trần Lam Giang</v>
          </cell>
          <cell r="K378" t="str">
            <v>Khoa Kinh tế</v>
          </cell>
          <cell r="L378" t="str">
            <v>lamgiangkkt@hcmute.edu.vn</v>
          </cell>
          <cell r="M378" t="str">
            <v>1 báo cáo tổng hợp
1 bài báo trong danh mục HDGSNN được tính 0,5 điểm</v>
          </cell>
          <cell r="N378">
            <v>15000000</v>
          </cell>
          <cell r="O378" t="str">
            <v>Mười lăm triệu đồng</v>
          </cell>
          <cell r="P378" t="str">
            <v xml:space="preserve">23124073@student.hcmute.edu.vn  </v>
          </cell>
          <cell r="Q378" t="str">
            <v>0968544360</v>
          </cell>
        </row>
        <row r="379">
          <cell r="B379" t="str">
            <v>SV2026-400</v>
          </cell>
          <cell r="C379" t="str">
            <v>X</v>
          </cell>
          <cell r="D379" t="str">
            <v>Tác Động Của Chatbot AI Trong Thương Mại Điện Tử Đến Sự Hài Lòng Của Người Tiêu Dùng Tại Thành Phố Hồ Chí Minh</v>
          </cell>
          <cell r="E379" t="str">
            <v>Trương Ngọc An Thanh 23136095</v>
          </cell>
          <cell r="F379" t="str">
            <v xml:space="preserve">Trương Ngọc An Thanh </v>
          </cell>
          <cell r="G379" t="str">
            <v>Kinh tế</v>
          </cell>
          <cell r="H379" t="str">
            <v>23136095</v>
          </cell>
          <cell r="I379">
            <v>0</v>
          </cell>
          <cell r="J379" t="str">
            <v>Hồ Thị Hồng Xuyên</v>
          </cell>
          <cell r="K379" t="str">
            <v>Khoa Kinh tế</v>
          </cell>
          <cell r="L379" t="str">
            <v>xuyenhth@hcmute.edu.vn</v>
          </cell>
          <cell r="M379" t="str">
            <v>1 báo cáo tổng hợp
1 bài báo trong danh mục HDGSNN được tính 0,5 điểm</v>
          </cell>
          <cell r="N379">
            <v>15000000</v>
          </cell>
          <cell r="O379" t="str">
            <v>Mười lăm triệu đồng</v>
          </cell>
          <cell r="P379" t="str">
            <v>23136095@student.hcmute.edu.vn</v>
          </cell>
          <cell r="Q379">
            <v>866913391</v>
          </cell>
        </row>
        <row r="380">
          <cell r="B380" t="str">
            <v>SV2026-401</v>
          </cell>
          <cell r="C380"/>
          <cell r="D380" t="str">
            <v>Các yếu tố ảnh hưởng đến hành vi mua hàng xanh của người tiêu dùng trên địa bàn Thành phố Hồ Chí Minh</v>
          </cell>
          <cell r="E380" t="str">
            <v>Phạm Thị Bảo Trân 23126044</v>
          </cell>
          <cell r="F380" t="str">
            <v xml:space="preserve">Phạm Thị Bảo Trân </v>
          </cell>
          <cell r="G380" t="str">
            <v>Kinh tế</v>
          </cell>
          <cell r="H380" t="str">
            <v>23126044</v>
          </cell>
          <cell r="I380" t="str">
            <v xml:space="preserve">Nguyễn Thị Kiều Chinh 23126007
Tạ Ngọc Thuý Vy 23126057
Phạm Thanh Lâm 21161143 </v>
          </cell>
          <cell r="J380" t="str">
            <v>Trương Thị Hòa</v>
          </cell>
          <cell r="K380" t="str">
            <v>Khoa Kinh tế</v>
          </cell>
          <cell r="L380" t="str">
            <v>hoatt@hcmute.edu.vn</v>
          </cell>
          <cell r="M380" t="str">
            <v>1 báo cáo tổng hợp</v>
          </cell>
          <cell r="N380">
            <v>5000000</v>
          </cell>
          <cell r="O380" t="str">
            <v>Năm triệu đồng</v>
          </cell>
          <cell r="P380" t="str">
            <v>23126044@student.hcmute.edu.vn</v>
          </cell>
          <cell r="Q380" t="str">
            <v>0943087829</v>
          </cell>
        </row>
        <row r="381">
          <cell r="B381" t="str">
            <v>SV2026-402</v>
          </cell>
          <cell r="C381" t="str">
            <v>X</v>
          </cell>
          <cell r="D381" t="str">
            <v>Các đặc điểm của AI Streamer ảnh hưởng đến ý định mua hàng trong Live commerce</v>
          </cell>
          <cell r="E381" t="str">
            <v>Lê Thị Hải Nhi 24126164</v>
          </cell>
          <cell r="F381" t="str">
            <v xml:space="preserve">Lê Thị Hải Nhi </v>
          </cell>
          <cell r="G381" t="str">
            <v>Kinh tế</v>
          </cell>
          <cell r="H381" t="str">
            <v>24126164</v>
          </cell>
          <cell r="I381" t="str">
            <v>Trần Thị Na 23126141
Đỗ Quốc Khánh 24126099
Đỗ Hữu Nghĩa 24126149
Vũ Trọng Huy 24126090</v>
          </cell>
          <cell r="J381" t="str">
            <v>Nguyễn Danh Hà Thái</v>
          </cell>
          <cell r="K381" t="str">
            <v>Khoa Kinh tế</v>
          </cell>
          <cell r="L381" t="str">
            <v>thaindh@hcmute.edu.vn</v>
          </cell>
          <cell r="M381" t="str">
            <v xml:space="preserve">1 bài báo đăng tạp chí trong danh mục của Hội đồng giáo sư nhà nước có điểm từ 0,5-1,0
1 báo cáo phân tích tổng hợp </v>
          </cell>
          <cell r="N381">
            <v>15000000</v>
          </cell>
          <cell r="O381" t="str">
            <v>Mười lăm triệu đồng</v>
          </cell>
          <cell r="P381" t="str">
            <v>24126164@student.hcmute.edu.vn</v>
          </cell>
          <cell r="Q381" t="str">
            <v>0393486815</v>
          </cell>
        </row>
        <row r="382">
          <cell r="B382" t="str">
            <v>SV2026-403</v>
          </cell>
          <cell r="C382" t="str">
            <v>X</v>
          </cell>
          <cell r="D382" t="str">
            <v>Các nhân tố ảnh hưởng đến ý định mua hàng tại các cửa hàng ảo: Nghiên cứu thực nghiệm tại Việt Nam</v>
          </cell>
          <cell r="E382" t="str">
            <v>Nguyễn Ngọc Phương Dung 24126035</v>
          </cell>
          <cell r="F382" t="str">
            <v xml:space="preserve">Nguyễn Ngọc Phương Dung </v>
          </cell>
          <cell r="G382" t="str">
            <v>Kinh tế</v>
          </cell>
          <cell r="H382" t="str">
            <v>24126035</v>
          </cell>
          <cell r="I382" t="str">
            <v>Trần Quang Đại 24126040
Nguyễn Viết Nam 24126142
Lê Uyên Nhã 22124015</v>
          </cell>
          <cell r="J382" t="str">
            <v>Nguyễn Danh Hà Thái</v>
          </cell>
          <cell r="K382" t="str">
            <v>Khoa Kinh tế</v>
          </cell>
          <cell r="L382" t="str">
            <v>thaindh@hcmute.edu.vn</v>
          </cell>
          <cell r="M382" t="str">
            <v>1 báo cáo tổng hợp
1 bài báo trong danh mục HDGSNN được tính 0,5-1 điểm</v>
          </cell>
          <cell r="N382">
            <v>15000000</v>
          </cell>
          <cell r="O382" t="str">
            <v>Mười lăm triệu đồng</v>
          </cell>
          <cell r="P382" t="str">
            <v>24126035@student.hcmute.edu.vn</v>
          </cell>
          <cell r="Q382" t="str">
            <v>0901356678</v>
          </cell>
        </row>
        <row r="383">
          <cell r="B383" t="str">
            <v>SV2026-404</v>
          </cell>
          <cell r="C383" t="str">
            <v>X</v>
          </cell>
          <cell r="D383" t="str">
            <v>Nghiên cứu,mô phỏng tín hiệu giao tiếp can bus cho hệ thống thông tin trên ô tô bằng phần mềm LABVIEW phục vụ dạy học.</v>
          </cell>
          <cell r="E383" t="str">
            <v>Huỳnh Nhật Huy 22145153</v>
          </cell>
          <cell r="F383" t="str">
            <v xml:space="preserve">Huỳnh Nhật Huy </v>
          </cell>
          <cell r="G383" t="str">
            <v>Giao thông và Năng lượng</v>
          </cell>
          <cell r="H383" t="str">
            <v>22145153</v>
          </cell>
          <cell r="I383" t="str">
            <v>Cao Thế Duyệt 22145117
Phạm Trần Đăng Khoa 22145177</v>
          </cell>
          <cell r="J383" t="str">
            <v>Trần Hữu Quy</v>
          </cell>
          <cell r="K383" t="str">
            <v>Khoa Giao thông và Năng lượng</v>
          </cell>
          <cell r="L383" t="str">
            <v>quyth@hcmute.edu.vn</v>
          </cell>
          <cell r="M383" t="str">
            <v>01 Báo cáo tổng kết 
01 Mô hình giao tiếp giữa Labview và hệ thống thông tin trên xe Kia Morning 2016</v>
          </cell>
          <cell r="N383">
            <v>5000000</v>
          </cell>
          <cell r="O383" t="str">
            <v>Năm triệu đồng</v>
          </cell>
          <cell r="P383" t="str">
            <v>22145153@student.hcmute.edu.vn</v>
          </cell>
          <cell r="Q383" t="str">
            <v>0378754382</v>
          </cell>
        </row>
        <row r="384">
          <cell r="B384" t="str">
            <v>SV2026-405</v>
          </cell>
          <cell r="C384" t="str">
            <v>X</v>
          </cell>
          <cell r="D384" t="str">
            <v>Nghiên cứu, chế tạo thiết bị thu thập và quản lí dữ liệu thông số trên ô tô thông qua giao tiếp Can Bus</v>
          </cell>
          <cell r="E384" t="str">
            <v>Nguyễn Đăng Tùng 22145284</v>
          </cell>
          <cell r="F384" t="str">
            <v xml:space="preserve">Nguyễn Đăng Tùng </v>
          </cell>
          <cell r="G384" t="str">
            <v>Giao thông và Năng lượng</v>
          </cell>
          <cell r="H384" t="str">
            <v>22145284</v>
          </cell>
          <cell r="I384" t="str">
            <v>Lê Đình Tài 22145232
Trần Huy Tài 22145236
Trần Mạnh Tài 22145237
Trần Phát Tài 22145238</v>
          </cell>
          <cell r="J384" t="str">
            <v>Trần Hữu Quy</v>
          </cell>
          <cell r="K384" t="str">
            <v>Khoa Giao thông và Năng lượng</v>
          </cell>
          <cell r="L384" t="str">
            <v>quyth@hcmute.edu.vn</v>
          </cell>
          <cell r="M384" t="str">
            <v xml:space="preserve">01 Báo cáo tổng kết 
01 Thiết bị giao tiếp CAN Bus với vi điều khiển và web quản lí dự liệu
</v>
          </cell>
          <cell r="N384">
            <v>5000000</v>
          </cell>
          <cell r="O384" t="str">
            <v>Năm triệu đồng</v>
          </cell>
          <cell r="P384" t="str">
            <v>22145284@student.hcmute.edu.vn</v>
          </cell>
          <cell r="Q384" t="str">
            <v>0859130172</v>
          </cell>
        </row>
        <row r="385">
          <cell r="B385" t="str">
            <v>SV2026-406</v>
          </cell>
          <cell r="C385" t="str">
            <v>X</v>
          </cell>
          <cell r="D385" t="str">
            <v>Thiết kế và chế tạo thiết bị cảnh báo buồn ngủ cho tài</v>
          </cell>
          <cell r="E385" t="str">
            <v>Nguyễn Phan Duy Vĩnh 23145240</v>
          </cell>
          <cell r="F385" t="str">
            <v xml:space="preserve">Nguyễn Phan Duy Vĩnh </v>
          </cell>
          <cell r="G385" t="str">
            <v>Giao thông và Năng lượng</v>
          </cell>
          <cell r="H385" t="str">
            <v>23145240</v>
          </cell>
          <cell r="I385" t="str">
            <v>Cao Nguyễn Phúc 22145215
Nguyễn Thế Kiệt 22145184
Phạm Quán Quân 22145226
Lê Trọng Nghĩa 23145159</v>
          </cell>
          <cell r="J385" t="str">
            <v>Trần Hữu Quy</v>
          </cell>
          <cell r="K385" t="str">
            <v>Khoa Giao thông và Năng lượng</v>
          </cell>
          <cell r="L385" t="str">
            <v>quyth@hcmute.edu.vn</v>
          </cell>
          <cell r="M385" t="str">
            <v>01 Báo cáo tổng kết
01 Thiết bị cảnh báo buồn ngủ cho tài xế (không có hợp đồng chuyển giao công nghệ)</v>
          </cell>
          <cell r="N385">
            <v>10000000</v>
          </cell>
          <cell r="O385" t="str">
            <v>Mười triệu đồng</v>
          </cell>
          <cell r="P385" t="str">
            <v>23145240@student.hcmute.edu.vn</v>
          </cell>
          <cell r="Q385" t="str">
            <v>0378074887</v>
          </cell>
        </row>
        <row r="386">
          <cell r="B386" t="str">
            <v>SV2026-408</v>
          </cell>
          <cell r="C386" t="str">
            <v>X</v>
          </cell>
          <cell r="D386" t="str">
            <v>Nghiên cứu, thiết kế hệ thống dự đoán góc lật ô tô theo thời gian thực sử dụng mạng nơ-ron nhân tạo trên nền tảng hệ thống nhúng.</v>
          </cell>
          <cell r="E386" t="str">
            <v>Nguyễn Đức Phát 23145167</v>
          </cell>
          <cell r="F386" t="str">
            <v xml:space="preserve">Nguyễn Đức Phát </v>
          </cell>
          <cell r="G386" t="str">
            <v>Giao thông và Năng lượng</v>
          </cell>
          <cell r="H386" t="str">
            <v>23145167</v>
          </cell>
          <cell r="I386">
            <v>0</v>
          </cell>
          <cell r="J386" t="str">
            <v>Nguyễn Thành Tuyên</v>
          </cell>
          <cell r="K386" t="str">
            <v>Khoa Giao thông và Năng lượng</v>
          </cell>
          <cell r="L386" t="str">
            <v>tuyennt@hcmute.edu.vn</v>
          </cell>
          <cell r="M386" t="str">
            <v>01 Báo cáo tổng kết
01 Thiết bị dự đoán góc lật ô tô theo thời gian thực (không có hợp đồng chuyển giao công nghệ)</v>
          </cell>
          <cell r="N386">
            <v>10000000</v>
          </cell>
          <cell r="O386" t="str">
            <v>Mười triệu đồng</v>
          </cell>
          <cell r="P386" t="str">
            <v>23145167@student.hcmute.edu.vn</v>
          </cell>
          <cell r="Q386" t="str">
            <v>0812244876</v>
          </cell>
        </row>
        <row r="387">
          <cell r="B387" t="str">
            <v>SV2026-409</v>
          </cell>
          <cell r="C387" t="str">
            <v>X</v>
          </cell>
          <cell r="D387" t="str">
            <v>Thiết kế và chế tạo mô hình xe tự hành thông qua việc xử lý hình ảnh thông minh bằng thị giác máy tính.</v>
          </cell>
          <cell r="E387" t="str">
            <v>Trần Đông Hồ 23145104</v>
          </cell>
          <cell r="F387" t="str">
            <v xml:space="preserve">Trần Đông Hồ </v>
          </cell>
          <cell r="G387" t="str">
            <v>Giao thông và Năng lượng</v>
          </cell>
          <cell r="H387" t="str">
            <v>23145104</v>
          </cell>
          <cell r="I387" t="str">
            <v>Phạm Văn Hồng 23145105
Ngô Minh Quân 23145182
Nguyễn Thanh Tín 23145215
Đỗ Xuân Trà 23145219</v>
          </cell>
          <cell r="J387" t="str">
            <v>Văn Ánh Dương</v>
          </cell>
          <cell r="K387" t="str">
            <v>Khoa Giao thông và Năng lượng</v>
          </cell>
          <cell r="L387" t="str">
            <v>duongva@hcmute.edu.vn</v>
          </cell>
          <cell r="M387" t="str">
            <v xml:space="preserve">01 Báo cáo tổng kết
01 mô hình xe tự hành bằng xử lý ảnh (không có hợp đồng chuyển giao công nghệ) </v>
          </cell>
          <cell r="N387">
            <v>10000000</v>
          </cell>
          <cell r="O387" t="str">
            <v>Mười triệu đồng</v>
          </cell>
          <cell r="P387" t="str">
            <v>23145104@student.hcmute.edu.vn</v>
          </cell>
          <cell r="Q387" t="str">
            <v>0387181474</v>
          </cell>
        </row>
        <row r="388">
          <cell r="B388" t="str">
            <v>SV2026-410</v>
          </cell>
          <cell r="C388" t="str">
            <v>X</v>
          </cell>
          <cell r="D388" t="str">
            <v>Nghiên cứu tác động của chất lỏng đến tính bền của xi téc và tính ổn định vận hành của ô tô chữa cháy nhãn hiệu FM8JN7A-R/VINHTHINHXCC1</v>
          </cell>
          <cell r="E388" t="str">
            <v>Nguyễn Trọng Sơn 22145231</v>
          </cell>
          <cell r="F388" t="str">
            <v xml:space="preserve">Nguyễn Trọng Sơn </v>
          </cell>
          <cell r="G388" t="str">
            <v>Giao thông và Năng lượng</v>
          </cell>
          <cell r="H388" t="str">
            <v>22145231</v>
          </cell>
          <cell r="I388" t="str">
            <v>Nguyễn Phan Thu Hiền 22145137</v>
          </cell>
          <cell r="J388" t="str">
            <v>Văn Ánh Dương</v>
          </cell>
          <cell r="K388" t="str">
            <v>Khoa Giao thông và Năng lượng</v>
          </cell>
          <cell r="L388" t="str">
            <v>duongva@hcmute.edu.vn</v>
          </cell>
          <cell r="M388" t="str">
            <v>01 Báo cáo tổng kết
01 Bài báo khoa học đăng trên tạp chí trong nước trong danh mục của HĐ GSNN tính từ 0,5 điểm trở lên</v>
          </cell>
          <cell r="N388">
            <v>15000000</v>
          </cell>
          <cell r="O388" t="str">
            <v>Mười lăm triệu đồng</v>
          </cell>
          <cell r="P388" t="str">
            <v>22145137@student.hcmute.edu.vn</v>
          </cell>
          <cell r="Q388" t="str">
            <v>0867044578</v>
          </cell>
        </row>
        <row r="389">
          <cell r="B389" t="str">
            <v>SV2026-412</v>
          </cell>
          <cell r="C389" t="str">
            <v>X</v>
          </cell>
          <cell r="D389" t="str">
            <v>Thiết kế và lập trình mạch điều khiển máy bơm lốp tự động cho xe máy, ô tô.</v>
          </cell>
          <cell r="E389" t="str">
            <v>Huỳnh Trí Hiếu 23145095</v>
          </cell>
          <cell r="F389" t="str">
            <v xml:space="preserve">Huỳnh Trí Hiếu </v>
          </cell>
          <cell r="G389" t="str">
            <v>Giao thông và Năng lượng</v>
          </cell>
          <cell r="H389" t="str">
            <v>23145095</v>
          </cell>
          <cell r="I389" t="str">
            <v>Phan Minh Hoàng 23145102
Danh Tăng Gia Huy 23145106
Trịnh Minh Hoan 23145099
Ma Nhật Thăng 23145199</v>
          </cell>
          <cell r="J389" t="str">
            <v>Văn Ánh Dương</v>
          </cell>
          <cell r="K389" t="str">
            <v>Khoa Giao thông và Năng lượng</v>
          </cell>
          <cell r="L389" t="str">
            <v>duongva@hcmute.edu.vn</v>
          </cell>
          <cell r="M389" t="str">
            <v xml:space="preserve">01 Báo cáo tổng kết
01 Mô hình bơm lốp tự động tích hợp điều khiển qua App (không có hợp đồng chuyển giao công nghệ) </v>
          </cell>
          <cell r="N389">
            <v>10000000</v>
          </cell>
          <cell r="O389" t="str">
            <v>Mười triệu đồng</v>
          </cell>
          <cell r="P389" t="str">
            <v>23145095@student.hcmute.edu.vn</v>
          </cell>
          <cell r="Q389" t="str">
            <v>0398882561</v>
          </cell>
        </row>
        <row r="390">
          <cell r="B390" t="str">
            <v>SV2026-413</v>
          </cell>
          <cell r="C390" t="str">
            <v>X</v>
          </cell>
          <cell r="D390" t="str">
            <v>Nghiên cứu lý thuyết và thực nghiệm bộ trao đổi nhiệt ghép tầng R134a /CO2 với công suất là 6kW</v>
          </cell>
          <cell r="E390" t="str">
            <v>Lê Quang Thọ 23147076</v>
          </cell>
          <cell r="F390" t="str">
            <v xml:space="preserve">Lê Quang Thọ </v>
          </cell>
          <cell r="G390" t="str">
            <v>Giao thông và Năng lượng</v>
          </cell>
          <cell r="H390" t="str">
            <v>23147076</v>
          </cell>
          <cell r="I390" t="str">
            <v>Nguyễn Quốc Trung 23147083</v>
          </cell>
          <cell r="J390" t="str">
            <v>Đặng Thành Trung</v>
          </cell>
          <cell r="K390" t="str">
            <v>Khoa Giao thông và Năng lượng</v>
          </cell>
          <cell r="L390" t="str">
            <v>trungdang@hcmute.edu.vn</v>
          </cell>
          <cell r="M390" t="str">
            <v>01 Báo cáo tổng kết
01 Kết quả so sánh và đánh giá sự sai lệch giữa mô hình lý thuyết và kết quả thực nghiệm. Xây dựng được mô hình lý thuyết của bộ trao đổi nhiệt của hệ thống lạnh ghép tầng. Xác định được các đặc tính vận hành thực tế như nhiệt độ, vận tốc, áp suất, hiệu suất trao đổi nhiệt và công suất truyền nhiệt của thiết bị ở công suất 6kW</v>
          </cell>
          <cell r="N390">
            <v>5000000</v>
          </cell>
          <cell r="O390" t="str">
            <v>Năm triệu đồng</v>
          </cell>
          <cell r="P390" t="str">
            <v>23147076@student.hcmute.edu.vn</v>
          </cell>
          <cell r="Q390" t="str">
            <v>0909775152</v>
          </cell>
        </row>
        <row r="391">
          <cell r="B391" t="str">
            <v>SV2026-414</v>
          </cell>
          <cell r="C391" t="str">
            <v>X</v>
          </cell>
          <cell r="D391" t="str">
            <v>Tính toán lý thuyết và thực nghiệm dàn lạnh CO2 trong hệ thống lạnh ghép tầng R134a có năng suất lạnh 5kW.</v>
          </cell>
          <cell r="E391" t="str">
            <v>Nguyễn Thị Lan Anh 23147008</v>
          </cell>
          <cell r="F391" t="str">
            <v xml:space="preserve">Nguyễn Thị Lan Anh </v>
          </cell>
          <cell r="G391" t="str">
            <v>Giao thông và Năng lượng</v>
          </cell>
          <cell r="H391" t="str">
            <v>23147008</v>
          </cell>
          <cell r="I391" t="str">
            <v>Trần Thị Quỳnh 23147068</v>
          </cell>
          <cell r="J391" t="str">
            <v>Đặng Thành Trung</v>
          </cell>
          <cell r="K391" t="str">
            <v>Khoa Giao thông và Năng lượng</v>
          </cell>
          <cell r="L391" t="str">
            <v>trungdang@hcmute.edu.vn</v>
          </cell>
          <cell r="M391" t="str">
            <v xml:space="preserve">01 Báo cáo tổng kết
- Tài liệu mô tả phần tính toán và sơ đồ nguyên lý của hệ thống lạnh ghép tầng CO2/R134a.
- Mô hình thực nghiệm
- Kết quả thực nghiệm
</v>
          </cell>
          <cell r="N391">
            <v>5000000</v>
          </cell>
          <cell r="O391" t="str">
            <v>Năm triệu đồng</v>
          </cell>
          <cell r="P391" t="str">
            <v>23147008@student.hcmute.edu.vn</v>
          </cell>
          <cell r="Q391" t="str">
            <v>0355375958</v>
          </cell>
        </row>
        <row r="392">
          <cell r="B392" t="str">
            <v>SV2026-415</v>
          </cell>
          <cell r="C392"/>
          <cell r="D392" t="str">
            <v>Thiết kế hệ thống IoT giám sát năng lượng mặt trời và gió</v>
          </cell>
          <cell r="E392" t="str">
            <v>Nguyễn Khắc Duy 22154010</v>
          </cell>
          <cell r="F392" t="str">
            <v xml:space="preserve">Nguyễn Khắc Duy </v>
          </cell>
          <cell r="G392" t="str">
            <v>Giao thông và Năng lượng</v>
          </cell>
          <cell r="H392" t="str">
            <v>22154010</v>
          </cell>
          <cell r="I392" t="str">
            <v>Danh Vũ Thị Ngọc Hân 22154013
Trần Quang Minh 22154033
Trần Anh Khoa 23154048</v>
          </cell>
          <cell r="J392" t="str">
            <v>Nguyễn Văn Trung</v>
          </cell>
          <cell r="K392" t="str">
            <v>Khoa Giao thông và Năng lượng</v>
          </cell>
          <cell r="L392" t="str">
            <v>trungnv@hcmute.edu.vn</v>
          </cell>
          <cell r="M392" t="str">
            <v>01 Báo cáo tổng kết
01 Bài báo khoa học đăng trên tạp chí trong nước trong danh mục của HĐ GSNN tính từ 0,5 điểm trở lên; hoặc bài báo đăng trên tạp chí quốc tế có chỉ số xuất bản ISSN; hoặc sản phẩm mô hình, thiết bị có hợp đồng chuyển giao công nghệ phục vụ cộng đồng.</v>
          </cell>
          <cell r="N392">
            <v>15000000</v>
          </cell>
          <cell r="O392" t="str">
            <v>Mười lăm triệu đồng</v>
          </cell>
          <cell r="P392" t="str">
            <v>22154010@student.hcmute.edu.vn</v>
          </cell>
          <cell r="Q392" t="str">
            <v>0787953151</v>
          </cell>
        </row>
        <row r="393">
          <cell r="B393" t="str">
            <v>SV2026-416</v>
          </cell>
          <cell r="C393" t="str">
            <v>X</v>
          </cell>
          <cell r="D393" t="str">
            <v>Thiết kế và xây dựng mô hình thực hành PLC ứng dụng trong Năng lượng Tái tạo.</v>
          </cell>
          <cell r="E393" t="str">
            <v>Trần Anh Khoa 23154048</v>
          </cell>
          <cell r="F393" t="str">
            <v xml:space="preserve">Trần Anh Khoa </v>
          </cell>
          <cell r="G393" t="str">
            <v>Giao thông và Năng lượng</v>
          </cell>
          <cell r="H393" t="str">
            <v>23154048</v>
          </cell>
          <cell r="I393" t="str">
            <v>Nguyễn Bá Khanh 23154046
Nguyễn Trung Nghĩa 23154060
Huỳnh Lê Ngọc Hân 23154033</v>
          </cell>
          <cell r="J393" t="str">
            <v>Nguyễn Văn Trung</v>
          </cell>
          <cell r="K393" t="str">
            <v>Khoa Giao thông và Năng lượng</v>
          </cell>
          <cell r="L393" t="str">
            <v>trungnv@hcmute.edu.vn</v>
          </cell>
          <cell r="M393" t="str">
            <v>Bài báo khoa học đăng trên tạp chí trong nước trong danh mục của HĐ GSNN tính từ 0,5 điểm trở lên; hoặc bài báo đăng trên tạp chí quốc tế có chỉ số xuất bản ISSN; hoặc sản phẩm mô hình, thiết bị có hợp đồng chuyển giao công nghệ phục vụ cộng đồng.</v>
          </cell>
          <cell r="N393">
            <v>15000000</v>
          </cell>
          <cell r="O393" t="str">
            <v>Mười lăm triệu đồng</v>
          </cell>
          <cell r="P393" t="str">
            <v>23154048@student.hcmute.edu.vn</v>
          </cell>
          <cell r="Q393" t="str">
            <v>0949350621</v>
          </cell>
        </row>
        <row r="394">
          <cell r="B394" t="str">
            <v>SV2026-417</v>
          </cell>
          <cell r="C394" t="str">
            <v>X</v>
          </cell>
          <cell r="D394" t="str">
            <v>Thiết kế và xây dựng mô hình hệ thống giám sát và cảnh báo pin trên nền tảng hệ thống nhúng sử dụng CAN Bus</v>
          </cell>
          <cell r="E394" t="str">
            <v>Phạm Minh Đức 23145084</v>
          </cell>
          <cell r="F394" t="str">
            <v xml:space="preserve">Phạm Minh Đức </v>
          </cell>
          <cell r="G394" t="str">
            <v>Giao thông và Năng lượng</v>
          </cell>
          <cell r="H394" t="str">
            <v>23145084</v>
          </cell>
          <cell r="I394" t="str">
            <v>Lê Thành Phát 23145165</v>
          </cell>
          <cell r="J394" t="str">
            <v>Lê Thanh Phúc</v>
          </cell>
          <cell r="K394" t="str">
            <v>Khoa Giao thông và Năng lượng</v>
          </cell>
          <cell r="L394" t="str">
            <v>phuclt@hcmute.edu.vn</v>
          </cell>
          <cell r="M394" t="str">
            <v>01 Báo cáo tổng kết
01 Mô hình hệ thống giám sát và cảnh báo pin xe điện qua CAN Bus</v>
          </cell>
          <cell r="N394">
            <v>10000000</v>
          </cell>
          <cell r="O394" t="str">
            <v>Mười triệu đồng</v>
          </cell>
          <cell r="P394" t="str">
            <v>23145084@student.hcmute.edu.vn</v>
          </cell>
          <cell r="Q394" t="str">
            <v>0792460903</v>
          </cell>
        </row>
        <row r="395">
          <cell r="B395" t="str">
            <v>SV2026-418</v>
          </cell>
          <cell r="C395" t="str">
            <v>X</v>
          </cell>
          <cell r="D395" t="str">
            <v>Sổ tay Kiến thức Vật lý – Toán học cho Sinh viên Năng lượng Tái tạo</v>
          </cell>
          <cell r="E395" t="str">
            <v>Nguyễn Thụy Hồng Phúc 23154078</v>
          </cell>
          <cell r="F395" t="str">
            <v xml:space="preserve">Nguyễn Thụy Hồng Phúc </v>
          </cell>
          <cell r="G395" t="str">
            <v>Giao thông và Năng lượng</v>
          </cell>
          <cell r="H395" t="str">
            <v>23154078</v>
          </cell>
          <cell r="I395">
            <v>0</v>
          </cell>
          <cell r="J395" t="str">
            <v>Huỳnh Thị Minh Thư</v>
          </cell>
          <cell r="K395" t="str">
            <v>Khoa Giao thông và Năng lượng</v>
          </cell>
          <cell r="L395" t="str">
            <v>thuhtm@hcmute.edu.vn</v>
          </cell>
          <cell r="M395" t="str">
            <v>01 Báo cáo tổng kết
01 cuốn Sổ tay kiến thức</v>
          </cell>
          <cell r="N395">
            <v>5000000</v>
          </cell>
          <cell r="O395" t="str">
            <v>Năm triệu đồng</v>
          </cell>
          <cell r="P395" t="str">
            <v>23154078@student.hcmute.edu.vn</v>
          </cell>
          <cell r="Q395" t="str">
            <v>0918498116</v>
          </cell>
        </row>
        <row r="396">
          <cell r="B396" t="str">
            <v>SV2026-419</v>
          </cell>
          <cell r="C396" t="str">
            <v>X</v>
          </cell>
          <cell r="D396" t="str">
            <v>Cải thiện hiệu suất của turbine Savonius tích hợp cánh dẫn đa hướng (ODGV) bằng phương pháp Taguchi kết hợp mô phỏng CFD cho ứng dụng đô thị.</v>
          </cell>
          <cell r="E396" t="str">
            <v>Huỳnh Đức Hoàng 24154039</v>
          </cell>
          <cell r="F396" t="str">
            <v xml:space="preserve">Huỳnh Đức Hoàng </v>
          </cell>
          <cell r="G396" t="str">
            <v>Giao thông và Năng lượng</v>
          </cell>
          <cell r="H396" t="str">
            <v>24154039</v>
          </cell>
          <cell r="I396" t="str">
            <v>Đoàn Minh Hiếu 24154037
Đào Tân Sơn 24154107
Lê Văn Thành 24154113</v>
          </cell>
          <cell r="J396" t="str">
            <v>Đặng Hùng Sơn</v>
          </cell>
          <cell r="K396" t="str">
            <v>Khoa Giao thông và Năng lượng</v>
          </cell>
          <cell r="L396" t="str">
            <v xml:space="preserve">sondh@ hcmute.edu.vn </v>
          </cell>
          <cell r="M396" t="str">
            <v>01 báo cáo tổng kết
01 Bài báo khoa học đăng trên tạp chí trong nước trong danh mục của HĐ GSNN tính từ 0,5 điểm trở lên; hoặc bài báo đăng trên tạp chí quốc tế có chỉ số xuất bản ISSN</v>
          </cell>
          <cell r="N396">
            <v>15000000</v>
          </cell>
          <cell r="O396" t="str">
            <v>Mười lăm triệu đồng</v>
          </cell>
          <cell r="P396" t="str">
            <v>24154039@student.hcmute.edu.vn</v>
          </cell>
          <cell r="Q396" t="str">
            <v>0815088797</v>
          </cell>
        </row>
        <row r="397">
          <cell r="B397" t="str">
            <v>SV2026-420</v>
          </cell>
          <cell r="C397" t="str">
            <v>X</v>
          </cell>
          <cell r="D397" t="str">
            <v>Cải thiện hiệu suất của tuabin Savonius hai tầng sử dụng biên dạng cánh Fibonaci bằng phương pháp Taguchi kết hợp mô phỏng CFD cho ứng dụng đô thị</v>
          </cell>
          <cell r="E397" t="str">
            <v>Đoàn Minh Hiếu 24154037</v>
          </cell>
          <cell r="F397" t="str">
            <v xml:space="preserve">Đoàn Minh Hiếu </v>
          </cell>
          <cell r="G397" t="str">
            <v>Giao thông và Năng lượng</v>
          </cell>
          <cell r="H397" t="str">
            <v>24154037</v>
          </cell>
          <cell r="I397" t="str">
            <v>Huỳnh Đức Hoàng 24154039
Lê Văn Thành 24154113
Đào Tân Sơn 24154107</v>
          </cell>
          <cell r="J397" t="str">
            <v>Đặng Hùng Sơn</v>
          </cell>
          <cell r="K397" t="str">
            <v>Khoa Giao thông và Năng lượng</v>
          </cell>
          <cell r="L397" t="str">
            <v xml:space="preserve">sondh@ hcmute.edu.vn </v>
          </cell>
          <cell r="M397" t="str">
            <v>01 Báo cáo tổng kết
01 bài báo đăng trên hội thảo quốc tế có chỉ số xuất bản ISBN/ISSN</v>
          </cell>
          <cell r="N397">
            <v>10000000</v>
          </cell>
          <cell r="O397" t="str">
            <v>Mười triệu đồng</v>
          </cell>
          <cell r="P397" t="str">
            <v>24154037@student.hcmute.edu.vn</v>
          </cell>
          <cell r="Q397" t="str">
            <v>0888668478</v>
          </cell>
        </row>
        <row r="398">
          <cell r="B398" t="str">
            <v>SV2026-422</v>
          </cell>
          <cell r="C398" t="str">
            <v>X</v>
          </cell>
          <cell r="D398" t="str">
            <v>Nghiên cứu, xây dựng bộ điều khiển và xử lý ảnh của xe mô hình</v>
          </cell>
          <cell r="E398" t="str">
            <v>Hoàng Đình Trường Vũ-23145465</v>
          </cell>
          <cell r="F398" t="str">
            <v>Hoàng Đình Trường Vũ-</v>
          </cell>
          <cell r="G398" t="str">
            <v>Giao thông và Năng lượng</v>
          </cell>
          <cell r="H398" t="str">
            <v>23145465</v>
          </cell>
          <cell r="I398" t="str">
            <v>Lê Anh Văn 23145457
Nguyễn Văn Trưởng 23145449
Trần Quang Trung 23145444</v>
          </cell>
          <cell r="J398" t="str">
            <v>Dương Nguyễn Hắc Lân</v>
          </cell>
          <cell r="K398" t="str">
            <v>Khoa Giao thông và Năng lượng</v>
          </cell>
          <cell r="L398" t="str">
            <v>landnh@hcmute.edu.vn</v>
          </cell>
          <cell r="M398" t="str">
            <v>01 Báo cáo tổng kết
01 mô hình xe có khả năng tự di chuyền (không có hợp đồng chuyển giao công nghệ)</v>
          </cell>
          <cell r="N398">
            <v>10000000</v>
          </cell>
          <cell r="O398" t="str">
            <v>Mười triệu đồng</v>
          </cell>
          <cell r="P398" t="str">
            <v>23145465@student.hcmute.edu.vn</v>
          </cell>
          <cell r="Q398" t="str">
            <v>0968836582</v>
          </cell>
        </row>
        <row r="399">
          <cell r="B399" t="str">
            <v>SV2026-423</v>
          </cell>
          <cell r="C399" t="str">
            <v>X</v>
          </cell>
          <cell r="D399" t="str">
            <v>Nghiên cứu, mô phỏng và chế tạo mô hình hệ thống đồng hồ hiển thị thông tin xe Toyota</v>
          </cell>
          <cell r="E399" t="str">
            <v>Lê Ngọc Huy 24145259</v>
          </cell>
          <cell r="F399" t="str">
            <v xml:space="preserve">Lê Ngọc Huy </v>
          </cell>
          <cell r="G399" t="str">
            <v>Giao thông và Năng lượng</v>
          </cell>
          <cell r="H399" t="str">
            <v>24145259</v>
          </cell>
          <cell r="I399" t="str">
            <v>Phạm Nguyễn Quang Huy 24145265
Võ Minh Kha 24145277
Hứa Gia Phú 24145344
Phạm Minh Phúc 24145350</v>
          </cell>
          <cell r="J399" t="str">
            <v>Nguyễn Quang Trãi</v>
          </cell>
          <cell r="K399" t="str">
            <v>Khoa Giao thông và Năng lượng</v>
          </cell>
          <cell r="L399" t="str">
            <v>trainq@hcmute.edu.vn</v>
          </cell>
          <cell r="M399" t="str">
            <v>01 báo cáo tổng kết
01 kết quả thực nghiệm kèm tài liệu và hướng dẫn sử dụng</v>
          </cell>
          <cell r="N399">
            <v>5000000</v>
          </cell>
          <cell r="O399" t="str">
            <v>Năm triệu đồng</v>
          </cell>
          <cell r="P399" t="str">
            <v>24145259@student.hcmute.edu.vn</v>
          </cell>
          <cell r="Q399" t="str">
            <v>0359536066</v>
          </cell>
        </row>
        <row r="400">
          <cell r="B400" t="str">
            <v>SV2026-424</v>
          </cell>
          <cell r="C400" t="str">
            <v>X</v>
          </cell>
          <cell r="D400" t="str">
            <v>Ứng dụng xử lý ảnh trong hỗ trợ báo hiệu nhắc nhở phía sau có phương tiện đang tới trong khi người dùng mở cửa xe ô tô</v>
          </cell>
          <cell r="E400" t="str">
            <v>Trần Anh Tuấn 22145506</v>
          </cell>
          <cell r="F400" t="str">
            <v xml:space="preserve">Trần Anh Tuấn </v>
          </cell>
          <cell r="G400" t="str">
            <v>Giao thông và Năng lượng</v>
          </cell>
          <cell r="H400" t="str">
            <v>22145506</v>
          </cell>
          <cell r="I400" t="str">
            <v>Nguyễn Phúc Hưng 22145381</v>
          </cell>
          <cell r="J400" t="str">
            <v>Nguyễn Quang Trãi</v>
          </cell>
          <cell r="K400" t="str">
            <v>Khoa Giao thông và Năng lượng</v>
          </cell>
          <cell r="L400" t="str">
            <v>trainq@hcmute.edu.vn</v>
          </cell>
          <cell r="M400" t="str">
            <v>01 báo cáo tổng kết
01 kết quả thực nghiệm kèm tài liệu và hướng dẫn sử dụng</v>
          </cell>
          <cell r="N400">
            <v>5000000</v>
          </cell>
          <cell r="O400" t="str">
            <v>Năm triệu đồng</v>
          </cell>
          <cell r="P400" t="str">
            <v>22145506@student.hcmute.edu.vn</v>
          </cell>
          <cell r="Q400" t="str">
            <v>0387218673</v>
          </cell>
        </row>
        <row r="401">
          <cell r="B401" t="str">
            <v>SV2026-425</v>
          </cell>
          <cell r="C401" t="str">
            <v>X</v>
          </cell>
          <cell r="D401" t="str">
            <v>Phân tích dao động của dầm nanocomposite lai gia cường đồng thời bằng ống nano carbon và tấm graphene ứng dụng trong kết cấu khung sàn ô tô</v>
          </cell>
          <cell r="E401" t="str">
            <v>Nguyễn Hoài Linh 22145407</v>
          </cell>
          <cell r="F401" t="str">
            <v xml:space="preserve">Nguyễn Hoài Linh </v>
          </cell>
          <cell r="G401" t="str">
            <v>Giao thông và Năng lượng</v>
          </cell>
          <cell r="H401" t="str">
            <v>22145407</v>
          </cell>
          <cell r="I401">
            <v>0</v>
          </cell>
          <cell r="J401" t="str">
            <v>Phạm Tấn Hùng</v>
          </cell>
          <cell r="K401" t="str">
            <v>Khoa Xây dựng</v>
          </cell>
          <cell r="L401" t="str">
            <v>hungpt@hcmute.edu.vn</v>
          </cell>
          <cell r="M401" t="str">
            <v>01 Báo cáo tổng kết
01 Bài báo khoa học đăng trên tạp chí trong nước trong danh mục của HĐ GSNN tính từ 0,5 điểm trở lên; hoặc bài báo đăng trên tạp chí quốc tế có chỉ số xuất bản ISSN</v>
          </cell>
          <cell r="N401">
            <v>15000000</v>
          </cell>
          <cell r="O401" t="str">
            <v>Mười lăm triệu đồng</v>
          </cell>
          <cell r="P401" t="str">
            <v>22145407@student.hcmute.edu.vn</v>
          </cell>
          <cell r="Q401" t="str">
            <v>0363980825</v>
          </cell>
        </row>
        <row r="402">
          <cell r="B402" t="str">
            <v>SV2026-426</v>
          </cell>
          <cell r="C402"/>
          <cell r="D402" t="str">
            <v>Nghiên cứu thiết kế cải tiến phương pháp điều khiển nhiệt độ điều hòa ô tô ứng dụng trợ lý ảo giọng nói trên Toyota Vios 2007.</v>
          </cell>
          <cell r="E402" t="str">
            <v>Hà Hoàng Vũ 23145241</v>
          </cell>
          <cell r="F402" t="str">
            <v xml:space="preserve">Hà Hoàng Vũ </v>
          </cell>
          <cell r="G402" t="str">
            <v>Giao thông và Năng lượng</v>
          </cell>
          <cell r="H402" t="str">
            <v>23145241</v>
          </cell>
          <cell r="I402" t="str">
            <v>Nguyễn Hữu Lộc 23145353
Nguyễn Anh Bảo 23145049
Huỳnh Phước Đô 23145081
Hồ Nguyễn Tấn Vinh 23145239</v>
          </cell>
          <cell r="J402" t="str">
            <v>Nguyễn Thành Tuyên</v>
          </cell>
          <cell r="K402" t="str">
            <v>Khoa Giao thông và Năng lượng</v>
          </cell>
          <cell r="L402" t="str">
            <v>tuyennt@hcmute.edu.vn</v>
          </cell>
          <cell r="M402" t="str">
            <v xml:space="preserve">01 báo cáo tổng kết.
01 Module trợ lí ảo điều hòa ô tô bản thử nghiệm hoạt động được trên xe ô tô </v>
          </cell>
          <cell r="N402">
            <v>5000000</v>
          </cell>
          <cell r="O402" t="str">
            <v>Năm triệu đồng</v>
          </cell>
          <cell r="P402" t="str">
            <v>23145241@student.hcmute.edu.vn</v>
          </cell>
          <cell r="Q402" t="str">
            <v>0846336584</v>
          </cell>
        </row>
        <row r="403">
          <cell r="B403" t="str">
            <v>SV2026-427</v>
          </cell>
          <cell r="C403" t="str">
            <v>X</v>
          </cell>
          <cell r="D403" t="str">
            <v>Thiết kế, chế tạo mô hình xe tự hành cỡ nhỏ</v>
          </cell>
          <cell r="E403" t="str">
            <v>Trần Võ Thanh Hào 22145132</v>
          </cell>
          <cell r="F403" t="str">
            <v xml:space="preserve">Trần Võ Thanh Hào </v>
          </cell>
          <cell r="G403" t="str">
            <v>Giao thông và Năng lượng</v>
          </cell>
          <cell r="H403" t="str">
            <v>22145132</v>
          </cell>
          <cell r="I403" t="str">
            <v>Phạm Minh Hải 23145013
Nguyễn Đức Gia Huy 23145017
Lê Quang Vinh 23145042
Cao Văn Vinh 23145461</v>
          </cell>
          <cell r="J403" t="str">
            <v>Nguyễn Trung Hiếu</v>
          </cell>
          <cell r="K403" t="str">
            <v>Khoa Giao thông và Năng lượng</v>
          </cell>
          <cell r="L403" t="str">
            <v xml:space="preserve">hieuntr@ hcmute.edu.vn </v>
          </cell>
          <cell r="M403" t="str">
            <v>01 báo cáo tổng kết
01 mô hình xe tự hành cỡ nhỏ (không có hợp đồng chuyển giao công nghệ)</v>
          </cell>
          <cell r="N403">
            <v>10000000</v>
          </cell>
          <cell r="O403" t="str">
            <v>Mười triệu đồng</v>
          </cell>
          <cell r="P403" t="str">
            <v>22145132@student.hcmute.edu.vn</v>
          </cell>
          <cell r="Q403" t="str">
            <v>0333655343</v>
          </cell>
        </row>
        <row r="404">
          <cell r="B404" t="str">
            <v>SV2026-428</v>
          </cell>
          <cell r="C404" t="str">
            <v>X</v>
          </cell>
          <cell r="D404" t="str">
            <v>Thiết kế, chế tạo mô hình pin và hệ thống quản lý pin trên xe máy điện</v>
          </cell>
          <cell r="E404" t="str">
            <v>Ngô Quang Huy 22145155</v>
          </cell>
          <cell r="F404" t="str">
            <v xml:space="preserve">Ngô Quang Huy </v>
          </cell>
          <cell r="G404" t="str">
            <v>Giao thông và Năng lượng</v>
          </cell>
          <cell r="H404" t="str">
            <v>22145155</v>
          </cell>
          <cell r="I404" t="str">
            <v>Đỗ Thành Đạt 23145011
Nguyễn Thái Hưng 25151219
Nguyễn Phúc Hậu 23145015
Nguyễn Minh Thông 23145036</v>
          </cell>
          <cell r="J404" t="str">
            <v>Nguyễn Trung Hiếu</v>
          </cell>
          <cell r="K404" t="str">
            <v>Khoa Giao thông và Năng lượng</v>
          </cell>
          <cell r="L404" t="str">
            <v xml:space="preserve">hieuntr@ hcmute.edu.vn </v>
          </cell>
          <cell r="M404" t="str">
            <v>01 báo cáo tổng kết
01 mô hình mô hình pin và hệ thống quản lý pin trên xe máy điện (không có hợp đồng chuyển giao công nghệ)</v>
          </cell>
          <cell r="N404">
            <v>10000000</v>
          </cell>
          <cell r="O404" t="str">
            <v>Mười triệu đồng</v>
          </cell>
          <cell r="P404" t="str">
            <v>22145155@student.hcmute.edu.vn</v>
          </cell>
          <cell r="Q404" t="str">
            <v>0931092407</v>
          </cell>
        </row>
        <row r="405">
          <cell r="B405" t="str">
            <v>SV2026-429</v>
          </cell>
          <cell r="C405" t="str">
            <v>X</v>
          </cell>
          <cell r="D405" t="str">
            <v>Đánh giá độ cứng của khuôn composite nền silicone ứng dụng trong tạo mẫu sáp trong công nghệ đúc mẫu chảy</v>
          </cell>
          <cell r="E405" t="str">
            <v>Hoàng Đại Nghĩa 23143072</v>
          </cell>
          <cell r="F405" t="str">
            <v xml:space="preserve">Hoàng Đại Nghĩa </v>
          </cell>
          <cell r="G405" t="str">
            <v>Đào tạo tiên tiến</v>
          </cell>
          <cell r="H405" t="str">
            <v>23143072</v>
          </cell>
          <cell r="I405" t="str">
            <v>Trần Hữu Khanh 23143061
Đinh Nguyễn Phúc Thiện 23143081
Đinh Nguyên Khoa 23143062
Phùng Anh Tuấn 23143087</v>
          </cell>
          <cell r="J405" t="str">
            <v>Nguyễn Văn Thức</v>
          </cell>
          <cell r="K405" t="str">
            <v>Khoa CKM</v>
          </cell>
          <cell r="L405" t="str">
            <v xml:space="preserve">nvthuc@hcmute.edu.vn
</v>
          </cell>
          <cell r="M405" t="str">
            <v>01 Báo cáo tổng kết</v>
          </cell>
          <cell r="N405">
            <v>5000000</v>
          </cell>
          <cell r="O405" t="str">
            <v>Năm triệu đồng</v>
          </cell>
          <cell r="P405" t="str">
            <v>23143072@student.hcmute.edu.vn</v>
          </cell>
          <cell r="Q405">
            <v>374551080</v>
          </cell>
        </row>
        <row r="406">
          <cell r="B406" t="str">
            <v>SV2026-430</v>
          </cell>
          <cell r="C406" t="str">
            <v>X</v>
          </cell>
          <cell r="D406" t="str">
            <v>Thiết kế bộ điều khiển cho mô hình tàu thủy</v>
          </cell>
          <cell r="E406" t="str">
            <v>Lê Thanh Trí Đại 19151051</v>
          </cell>
          <cell r="F406" t="str">
            <v xml:space="preserve">Lê Thanh Trí Đại </v>
          </cell>
          <cell r="G406" t="str">
            <v>Đào tạo tiên tiến</v>
          </cell>
          <cell r="H406" t="str">
            <v>19151051</v>
          </cell>
          <cell r="I406" t="str">
            <v>Lê Nguyễn Đức Dương 23142102
Khổng Phúc Hải 23143122
Phan Tấn Huy 23143139
Dương Văn An 23151044</v>
          </cell>
          <cell r="J406" t="str">
            <v>Nguyễn Minh Tâm</v>
          </cell>
          <cell r="K406" t="str">
            <v>Khoa Điện - Điện tử</v>
          </cell>
          <cell r="L406" t="str">
            <v>tamnm@hcmute.edu.vn</v>
          </cell>
          <cell r="M406" t="str">
            <v>01 Chương trình nhúng thực nghiệm
02 Bài báo khoa học (viết bằng tiếng Anh) đăng trên tạp chí quốc tế có chỉ số xuất bản ISSN (bài báo thứ 1 dự kiến viết về mô phỏng/ so sánh các giải thuật cho điều khiển tàu biển nói chung; bài báo thứ 2 vừa mô phỏng chính xác, vừa thực nghiệm chính xác một giải thuật tối ưu cho 1 mô hình tàu biển do nhóm tự phát triển) 
01 Báo cáo tổng kết</v>
          </cell>
          <cell r="N406">
            <v>25000000</v>
          </cell>
          <cell r="O406" t="str">
            <v>Hai mươi lăm triệu đồng</v>
          </cell>
          <cell r="P406" t="str">
            <v>19151051@student.hcmute.edu.vn</v>
          </cell>
          <cell r="Q406">
            <v>903714295</v>
          </cell>
        </row>
        <row r="407">
          <cell r="B407" t="str">
            <v>SV2026-431</v>
          </cell>
          <cell r="C407" t="str">
            <v>X</v>
          </cell>
          <cell r="D407" t="str">
            <v>Thiết kế bộ điều thích nghi tự chỉnh (STR) cho hệ động cơ điện một chiều</v>
          </cell>
          <cell r="E407" t="str">
            <v>Vũ Đình Minh 22142028</v>
          </cell>
          <cell r="F407" t="str">
            <v xml:space="preserve">Vũ Đình Minh </v>
          </cell>
          <cell r="G407" t="str">
            <v>Đào tạo tiên tiến</v>
          </cell>
          <cell r="H407" t="str">
            <v>22142028</v>
          </cell>
          <cell r="I407" t="str">
            <v xml:space="preserve">Huỳnh Nam Hiếu 23143124
Nguyễn Quang Thiện 23161196
Lê Hoàng 23143131
Lê Hoàng Linh 20151391
</v>
          </cell>
          <cell r="J407" t="str">
            <v>Lê Thị Hồng Lam</v>
          </cell>
          <cell r="K407" t="str">
            <v>Khoa Điện - Điện tử</v>
          </cell>
          <cell r="L407" t="str">
            <v>lamlth@hcmute.edu.vn</v>
          </cell>
          <cell r="M407" t="str">
            <v>02 Bài báo khoa học trên tạp chí quốc tế viết bằng tiếng Anh, có chỉ số ISSN (1 bài báo dự kiến trình bày giải thuật thích nghi STR cho hệ thống - mô phỏng và thực nghiệm; 1 bài báo phát triển ứng dụng điều khiển trên 1 đối tượng nâng cao, phát triển trên cơ sở động cơ DC này)
01 Chương trình mô phỏng
01 Chương trình nhúng thực nghiệm
01 Báo cáo tổng kết</v>
          </cell>
          <cell r="N407">
            <v>25000000</v>
          </cell>
          <cell r="O407" t="str">
            <v>Hai mươi lăm triệu đồng</v>
          </cell>
          <cell r="P407" t="str">
            <v>22142028@student.hcmute.edu.vn</v>
          </cell>
          <cell r="Q407">
            <v>985542004</v>
          </cell>
        </row>
        <row r="408">
          <cell r="B408" t="str">
            <v>SV2026-432</v>
          </cell>
          <cell r="C408" t="str">
            <v>X</v>
          </cell>
          <cell r="D408" t="str">
            <v>Thiết kế và vận hành điều khiển máy gắp kiểm tra trọng lượng và kích thước bánh răng</v>
          </cell>
          <cell r="E408" t="str">
            <v>Nguyễn Trần Thanh Thủy 21151433</v>
          </cell>
          <cell r="F408" t="str">
            <v xml:space="preserve">Nguyễn Trần Thanh Thủy </v>
          </cell>
          <cell r="G408" t="str">
            <v>Đào tạo tiên tiến</v>
          </cell>
          <cell r="H408" t="str">
            <v>21151433</v>
          </cell>
          <cell r="I408" t="str">
            <v>Từ Nguyễn Phùng Hưng 21151418
Phùng Quốc Hoàng 23142121
Lê Hoàng Bảo 23151050
Nguyễn Tuấn Phong 23151156</v>
          </cell>
          <cell r="J408" t="str">
            <v>Nguyễn Tử Đức</v>
          </cell>
          <cell r="K408" t="str">
            <v>Khoa Điện - Điện tử</v>
          </cell>
          <cell r="L408" t="str">
            <v>ducnt@hcmute.edu.vn</v>
          </cell>
          <cell r="M408" t="str">
            <v>01 Chương trình nhúng thực nghiệm
01 Bài báo được đăng trên tạp chí quốc tế (viết bằng tiếng Anh) có chỉ số xuất bản ISSN
01 Báo cáo tổng kết</v>
          </cell>
          <cell r="N408">
            <v>15000000</v>
          </cell>
          <cell r="O408" t="str">
            <v>Mười lăm triệu đồng</v>
          </cell>
          <cell r="P408" t="str">
            <v>21151433@student.hcmute.edu.vn</v>
          </cell>
          <cell r="Q408">
            <v>896911526</v>
          </cell>
        </row>
        <row r="409">
          <cell r="B409" t="str">
            <v>SV2026-433</v>
          </cell>
          <cell r="C409" t="str">
            <v>X</v>
          </cell>
          <cell r="D409" t="str">
            <v>Áp dụng giải thuật di truyền trong tối ưu hóa điều khiển PID cho cánh tay robot 3 bậc</v>
          </cell>
          <cell r="E409" t="str">
            <v>Huỳnh Phong Nam 22151030</v>
          </cell>
          <cell r="F409" t="str">
            <v xml:space="preserve">Huỳnh Phong Nam </v>
          </cell>
          <cell r="G409" t="str">
            <v>Đào tạo tiên tiến</v>
          </cell>
          <cell r="H409" t="str">
            <v>22151030</v>
          </cell>
          <cell r="I409" t="str">
            <v xml:space="preserve">Lý Đăng Khoa 23144100
Nguyễn Quang Thiện 23161196
Nguyễn Cao Thiên Tường 23151204
Nguyễn Tuấn An 20151252
</v>
          </cell>
          <cell r="J409" t="str">
            <v>Nguyễn Phong Lưu</v>
          </cell>
          <cell r="K409" t="str">
            <v>Khoa Điện - Điện tử</v>
          </cell>
          <cell r="L409" t="str">
            <v>luunp@hcmute.edu.vn</v>
          </cell>
          <cell r="M409" t="str">
            <v>02 Bài báo trên tạp chí quốc tế (viết bằng tiếng Anh) có chỉ số xuất bản ISSN (1 bài báo trình bày về mô phỏng và thực nghiệm điều khiển PID cho cánh tay ba bậc dạng chuẩn; 1 bài báo dự kiến trình bày về sự phát triển nâng cấp của PID cho cánh tay hệ cao hơn ba bậc hoăc hệ ba bậc nhưng áp dụng cho 1 ứng dụng cụ thể trên thực nghiệm)
01 Chương trình mô phỏng PID
01 Chương trình tối ưu hóa dùng giải thuật GA
01 Báo cáo tổng kết</v>
          </cell>
          <cell r="N409">
            <v>25000000</v>
          </cell>
          <cell r="O409" t="str">
            <v>Hai mươi lăm triệu đồng</v>
          </cell>
          <cell r="P409" t="str">
            <v>22151030@student.hcmute.edu.vn</v>
          </cell>
          <cell r="Q409">
            <v>586247358</v>
          </cell>
        </row>
        <row r="410">
          <cell r="B410" t="str">
            <v>SV2026-434</v>
          </cell>
          <cell r="C410" t="str">
            <v>X</v>
          </cell>
          <cell r="D410" t="str">
            <v>Mô phỏng điều khiển lai Fuzzy-LQR cho hệ con lắc ngược hai bậc trên xe</v>
          </cell>
          <cell r="E410" t="str">
            <v>Nguyễn Lê Thảo Nguyên 22151031</v>
          </cell>
          <cell r="F410" t="str">
            <v xml:space="preserve">Nguyễn Lê Thảo Nguyên </v>
          </cell>
          <cell r="G410" t="str">
            <v>Đào tạo tiên tiến</v>
          </cell>
          <cell r="H410" t="str">
            <v>22151031</v>
          </cell>
          <cell r="I410" t="str">
            <v xml:space="preserve">Phạm Trương Phương Nam	 22151119
Bùi Nguyễn Hải Đăng 	23151078
Đỗ Đình Đức	 23151081
Nguyễn Hoàng Bảo Long 	22145190
</v>
          </cell>
          <cell r="J410" t="str">
            <v>Nguyễn Đình Phú</v>
          </cell>
          <cell r="K410" t="str">
            <v>Khoa Điện - Điện tử</v>
          </cell>
          <cell r="L410" t="str">
            <v>phund@hcmute.edu.vn</v>
          </cell>
          <cell r="M410" t="str">
            <v>02 Bài báo khoa học được chấp nhận đăng trên tạp chí quốc tế (viết bằng tiếng Anh) có chỉ số ISSN (1 bài báo hướng đến việc điều khiển mô phỏng thành công giải thuật LQR-fuzzy cho hệ thống, 1 bài báo hướng đến việc áp dụng nâng cấp giải thuật LQR-fuzzy cho một hệ thống nâng cấp bậc cao hơn so với con lắc ngược trên xe hai bậc)
01 Chương trình mô phỏng
01 Báo cáo tổng kết</v>
          </cell>
          <cell r="N410">
            <v>25000000</v>
          </cell>
          <cell r="O410" t="str">
            <v>Hai mươi lăm triệu đồng</v>
          </cell>
          <cell r="P410" t="str">
            <v>22151031@student.hcmute.edu.vn</v>
          </cell>
          <cell r="Q410">
            <v>797778682</v>
          </cell>
        </row>
        <row r="411">
          <cell r="B411" t="str">
            <v>SV2026-435</v>
          </cell>
          <cell r="C411" t="str">
            <v>X</v>
          </cell>
          <cell r="D411" t="str">
            <v>Điều khiển nhúng mờ cho hệ bóng thanh trên nền tảng Arduino</v>
          </cell>
          <cell r="E411" t="str">
            <v>Lê Ngọc Long 22151027</v>
          </cell>
          <cell r="F411" t="str">
            <v xml:space="preserve">Lê Ngọc Long </v>
          </cell>
          <cell r="G411" t="str">
            <v>Đào tạo tiên tiến</v>
          </cell>
          <cell r="H411" t="str">
            <v>22151027</v>
          </cell>
          <cell r="I411" t="str">
            <v xml:space="preserve">Lê Tuấn Kiệt 22151242
Nguyễn Lê Anh Tuấn 22151323
Trần Quốc Khánh 23151124
Võ Huy Hoàng 23151096
</v>
          </cell>
          <cell r="J411" t="str">
            <v>Trần Đức Lợi</v>
          </cell>
          <cell r="K411" t="str">
            <v>Khoa Điện - Điện tử</v>
          </cell>
          <cell r="L411" t="str">
            <v>loitd@hcmute.edu.vn</v>
          </cell>
          <cell r="M411" t="str">
            <v>02 Bài báo trên tạp chí quốc tế khác (viết bằng tiếng Anh) có chỉ số xuất bản ISSN (trong đó, 1 bài báo hướng đến việc mô phỏng/ thực nghiệm giải thuật thành công trên hệ ball and beam, 1 bài báo hướng đến việc so sánh, nâng cấp giải thuật- trên thực nghiệm, so sánh hoạt động của ball and beam và 1 hệ bậc cao hơn là ball on plate- phát triển từ ball and beam)
01 Chương trình mô phỏng
01 Chương trình thực nghiệm
01 Báo cáo tổng kết</v>
          </cell>
          <cell r="N411">
            <v>25000000</v>
          </cell>
          <cell r="O411" t="str">
            <v>Hai mươi lăm triệu đồng</v>
          </cell>
          <cell r="P411" t="str">
            <v>22151027@student.hcmute.edu.vn</v>
          </cell>
          <cell r="Q411">
            <v>384830461</v>
          </cell>
        </row>
        <row r="412">
          <cell r="B412" t="str">
            <v>SV2026-436</v>
          </cell>
          <cell r="C412" t="str">
            <v>X</v>
          </cell>
          <cell r="D412" t="str">
            <v>Robot tự động đi theo người dùng để vận chuyển ba lô cho học sinh</v>
          </cell>
          <cell r="E412" t="str">
            <v>Huỳnh Chí Nguyên 22151032</v>
          </cell>
          <cell r="F412" t="str">
            <v xml:space="preserve">Huỳnh Chí Nguyên </v>
          </cell>
          <cell r="G412" t="str">
            <v>Đào tạo tiên tiến</v>
          </cell>
          <cell r="H412" t="str">
            <v>22151032</v>
          </cell>
          <cell r="I412" t="str">
            <v>Nguyễn Trần Thành 22151039   
Lê Khổng Bảo Minh 22151255 
Nguyễn Đức Thành 22142043</v>
          </cell>
          <cell r="J412" t="str">
            <v>Trần Vi Đô</v>
          </cell>
          <cell r="K412" t="str">
            <v>Khoa Điện - Điện tử</v>
          </cell>
          <cell r="L412" t="str">
            <v>dotv@hcmute.edu.vn</v>
          </cell>
          <cell r="M412" t="str">
            <v>01 Mô hình robot tự động đi theo người dùng để vận chuyển ba lô cho học sinh 
01 Báo cáo nghiên cứu</v>
          </cell>
          <cell r="N412">
            <v>10000000</v>
          </cell>
          <cell r="O412" t="str">
            <v>Mười triệu đồng</v>
          </cell>
          <cell r="P412" t="str">
            <v>22151032@student.hcmute.edu.vn</v>
          </cell>
          <cell r="Q412" t="str">
            <v>0705487496</v>
          </cell>
        </row>
        <row r="413">
          <cell r="B413" t="str">
            <v>SV2026-437</v>
          </cell>
          <cell r="C413" t="str">
            <v>X</v>
          </cell>
          <cell r="D413" t="str">
            <v>Thiết kế Mạng Retinex( MRA-Net) đa nhiệm cho nhận thức vững chắc của xe tự hành trong điều kiện ánh sáng thấp</v>
          </cell>
          <cell r="E413" t="str">
            <v>Phạm Chí Phát 20119191</v>
          </cell>
          <cell r="F413" t="str">
            <v xml:space="preserve">Phạm Chí Phát </v>
          </cell>
          <cell r="G413" t="str">
            <v>Đào tạo tiên tiến</v>
          </cell>
          <cell r="H413" t="str">
            <v>20119191</v>
          </cell>
          <cell r="I413" t="str">
            <v xml:space="preserve">Phạm Hồ Đăng Khoa 23151131
Nguyễn Gia Phú 23151157
Nguyễn Quang Thiện 23161196
Hà Nguyễn Quốc Dũng 23151066
</v>
          </cell>
          <cell r="J413" t="str">
            <v>Nguyễn Tử Đức</v>
          </cell>
          <cell r="K413" t="str">
            <v>Khoa Điện - Điện tử</v>
          </cell>
          <cell r="L413" t="str">
            <v>ducnt@hcmute.edu.vn</v>
          </cell>
          <cell r="M413" t="str">
            <v>02 Bài báo (được viết bằng tiếng Anh) được đăng trên tạp chí quốc tế có chỉ số xuất bản ISSN (1 bài áp dụng giải thuật thành công cho đối tượng robot chuẩn trong phòng thí nghiệm, 1 bài dự kiến nâng cấp áp dụng trên 1 ứng dụng thực tế, phát triển từ bài báo thứ 1)
02 Chương trình mô phỏng
01 Chương trình điều khiển nhúng thực nghiệm
01 Báo cáo tổng kết</v>
          </cell>
          <cell r="N413">
            <v>25000000</v>
          </cell>
          <cell r="O413" t="str">
            <v>Hai mươi lăm triệu đồng</v>
          </cell>
          <cell r="P413" t="str">
            <v xml:space="preserve">20119191@student.hcmute.edu.vn </v>
          </cell>
          <cell r="Q413">
            <v>898425031</v>
          </cell>
        </row>
        <row r="414">
          <cell r="B414" t="str">
            <v>SV2026-438</v>
          </cell>
          <cell r="C414" t="str">
            <v>X</v>
          </cell>
          <cell r="D414" t="str">
            <v>Nghiên cứu quy trình sản xuất sữa chua uống hạt điều (Anacardium occidentale)</v>
          </cell>
          <cell r="E414" t="str">
            <v>Nguyễn Ngọc Phương Thảo 23116033</v>
          </cell>
          <cell r="F414" t="str">
            <v xml:space="preserve">Nguyễn Ngọc Phương Thảo </v>
          </cell>
          <cell r="G414" t="str">
            <v>Đào tạo tiên tiến</v>
          </cell>
          <cell r="H414" t="str">
            <v>23116033</v>
          </cell>
          <cell r="I414" t="str">
            <v>Nguyễn Thị Uyên Nhi 23116022
Nguyễn Trần Khánh Uyên 23116041
Vũ Hoàng Duy Bảo 23116004</v>
          </cell>
          <cell r="J414" t="str">
            <v>Phạm Thị Hoàn</v>
          </cell>
          <cell r="K414" t="str">
            <v>Khoa CNHH&amp;TP</v>
          </cell>
          <cell r="L414" t="str">
            <v>hoanpt@hcmute.edu.vn</v>
          </cell>
          <cell r="M414" t="str">
            <v>01 Báo cáo phân tích</v>
          </cell>
          <cell r="N414">
            <v>5000000</v>
          </cell>
          <cell r="O414" t="str">
            <v>Năm triệu đồng</v>
          </cell>
          <cell r="P414" t="str">
            <v>23116033@student.hcmute.edu.vn</v>
          </cell>
          <cell r="Q414">
            <v>382020171</v>
          </cell>
        </row>
        <row r="415">
          <cell r="B415" t="str">
            <v>SV2026-439</v>
          </cell>
          <cell r="C415" t="str">
            <v>X</v>
          </cell>
          <cell r="D415" t="str">
            <v xml:space="preserve">Điều hướng robot giao hàng tự động sử dụng đa cảm biến và thuật toán học tăng cường </v>
          </cell>
          <cell r="E415" t="str">
            <v>Lê Minh Tân 23119033</v>
          </cell>
          <cell r="F415" t="str">
            <v xml:space="preserve">Lê Minh Tân </v>
          </cell>
          <cell r="G415" t="str">
            <v>Đào tạo tiên tiến</v>
          </cell>
          <cell r="H415" t="str">
            <v>23119033</v>
          </cell>
          <cell r="I415" t="str">
            <v xml:space="preserve">Huỳnh Lê Thành Nhân 24119068
Trịnh Trần Quốc Bảo 24119016
Nguyễn Đăng Trí Nguyên 231151148
</v>
          </cell>
          <cell r="J415" t="str">
            <v xml:space="preserve"> Lê Mỹ Hà</v>
          </cell>
          <cell r="K415" t="str">
            <v>Khoa Điện - Điện tử</v>
          </cell>
          <cell r="L415" t="str">
            <v xml:space="preserve">  halm@hcmute.edu.vn</v>
          </cell>
          <cell r="M415" t="str">
            <v>01 Chương trình máy tính
01 Bài báo khoa học đăng toàn văn trong kỷ yếu hội nghị, hội thảo có chỉ số ISSN/ISBN
01 Báo cáo tổng kết</v>
          </cell>
          <cell r="N415">
            <v>10000000</v>
          </cell>
          <cell r="O415" t="str">
            <v>Mười triệu đồng</v>
          </cell>
          <cell r="P415" t="str">
            <v>23119033@student.hcmute.edu.vn</v>
          </cell>
          <cell r="Q415">
            <v>797153514</v>
          </cell>
        </row>
        <row r="416">
          <cell r="B416" t="str">
            <v>SV2026-440</v>
          </cell>
          <cell r="C416" t="str">
            <v>X</v>
          </cell>
          <cell r="D416" t="str">
            <v>Khảo sát điều khiển tuyến tính và phi tuyến cho hệ bóng và thanh trục lệch.</v>
          </cell>
          <cell r="E416" t="str">
            <v>Trần Hưng Tuấn Anh 22151006</v>
          </cell>
          <cell r="F416" t="str">
            <v xml:space="preserve">Trần Hưng Tuấn Anh </v>
          </cell>
          <cell r="G416" t="str">
            <v>Đào tạo tiên tiến</v>
          </cell>
          <cell r="H416" t="str">
            <v>22151006</v>
          </cell>
          <cell r="I416" t="str">
            <v xml:space="preserve">Nguyễn Quang Thiện 23161196
Lê Hoàng Linh 20151391
Nguyễn Viết Hoàn 22151085
Võ Nhật Minh 23151143
</v>
          </cell>
          <cell r="J416" t="str">
            <v>Lê Thị Hồng Lam</v>
          </cell>
          <cell r="K416" t="str">
            <v>Khoa Điện - Điện tử</v>
          </cell>
          <cell r="L416" t="str">
            <v>lamlth@hcmute.edu.vn</v>
          </cell>
          <cell r="M416" t="str">
            <v>02 Bài báo (viết bằng tiếng anh) trên tạp chí quốc tế có chỉ số xuất bản ISSN (1 bài báo đề cập về sự so sánh giải thuật phi tuyến và tuyến tính trên mô phỏng trên mô hình ball and beam nói chung, 1 bài báo sẽ hướng đến việc xây dựng mô hình thực nghiệm và khảo sát trên đối tượng thực)
01 Chương trình mô phỏng
01 Chương trình nhúng thực nghiệm
01 Báo cáo tổng kết</v>
          </cell>
          <cell r="N416">
            <v>25000000</v>
          </cell>
          <cell r="O416" t="str">
            <v>Hai mươi lăm triệu đồng</v>
          </cell>
          <cell r="P416" t="str">
            <v xml:space="preserve">22151006@student.hcmute.edu.vn </v>
          </cell>
          <cell r="Q416">
            <v>986142799</v>
          </cell>
        </row>
        <row r="417">
          <cell r="B417" t="str">
            <v>SV2026-441</v>
          </cell>
          <cell r="C417" t="str">
            <v>X</v>
          </cell>
          <cell r="D417" t="str">
            <v>Nghiên cứu chế tạo ống nhiệt có cánh để gia nhiệt cho không khí</v>
          </cell>
          <cell r="E417" t="str">
            <v>Lê Hoàng Long 22147013</v>
          </cell>
          <cell r="F417" t="str">
            <v xml:space="preserve">Lê Hoàng Long </v>
          </cell>
          <cell r="G417" t="str">
            <v>Đào tạo tiên tiến</v>
          </cell>
          <cell r="H417" t="str">
            <v>22147013</v>
          </cell>
          <cell r="I417" t="str">
            <v>Nguyễn Hoàng Lâm 22147011
Bùi Quang Lộc 22147015
Bùi Ngọc Minh Quân 22147018
Phan Vũ Huy Cường 22147003</v>
          </cell>
          <cell r="J417" t="str">
            <v>Nguyễn Lê Hồng Sơn</v>
          </cell>
          <cell r="K417" t="str">
            <v>Khoa Giao thông và Năng lượng</v>
          </cell>
          <cell r="L417" t="str">
            <v>sonnlh@hcmute.edu.vn</v>
          </cell>
          <cell r="M417" t="str">
            <v>01 Báo cáo tống kết.
01 Mô hình thực nghiệm ống nhiệt có cánh</v>
          </cell>
          <cell r="N417">
            <v>10000000</v>
          </cell>
          <cell r="O417" t="str">
            <v>Mười triệu đồng</v>
          </cell>
          <cell r="P417" t="str">
            <v>22147013@student.hcmute.edu.vn</v>
          </cell>
          <cell r="Q417">
            <v>989051269</v>
          </cell>
        </row>
        <row r="418">
          <cell r="B418" t="str">
            <v>SV2026-442</v>
          </cell>
          <cell r="C418" t="str">
            <v>X</v>
          </cell>
          <cell r="D418" t="str">
            <v xml:space="preserve">Nghiên cứu chế tạo máy sấy chân không để sấy vật liệu ở giải nhiệt độ thấp </v>
          </cell>
          <cell r="E418" t="str">
            <v>Trần Văn Quốc 22147019</v>
          </cell>
          <cell r="F418" t="str">
            <v xml:space="preserve">Trần Văn Quốc </v>
          </cell>
          <cell r="G418" t="str">
            <v>Đào tạo tiên tiến</v>
          </cell>
          <cell r="H418" t="str">
            <v>22147019</v>
          </cell>
          <cell r="I418" t="str">
            <v>Trương Nguyễn Quốc Hưng 22147008
Trần Ngọc Thịnh 22147024
Nguyễn Quốc An 22147002
Tăng Minh Tựu 22147031</v>
          </cell>
          <cell r="J418" t="str">
            <v>Nguyễn Lê Hồng Sơn</v>
          </cell>
          <cell r="K418" t="str">
            <v>Khoa Giao thông và Năng lượng</v>
          </cell>
          <cell r="L418" t="str">
            <v>sonnlh@hcmute.edu.vn</v>
          </cell>
          <cell r="M418" t="str">
            <v>01 Báo cáo tổng kết
Mô hình, thiết bị ko có CGCN (mô hình tực nghiệm máy sấy chân không</v>
          </cell>
          <cell r="N418">
            <v>10000000</v>
          </cell>
          <cell r="O418" t="str">
            <v>Mười triệu đồng</v>
          </cell>
          <cell r="P418" t="str">
            <v>22147019@student.hcmute.edu.vn</v>
          </cell>
          <cell r="Q418">
            <v>396595906</v>
          </cell>
        </row>
        <row r="419">
          <cell r="B419" t="str">
            <v>SV2026-443</v>
          </cell>
          <cell r="C419" t="str">
            <v>X</v>
          </cell>
          <cell r="D419" t="str">
            <v>Hệ thống tự động hóa tạo sinh khóa học trực tuyến và học tập cùng giảng viên A.I với mô hình 3D</v>
          </cell>
          <cell r="E419" t="str">
            <v>Đỗ Đức Anh 22110008</v>
          </cell>
          <cell r="F419" t="str">
            <v xml:space="preserve">Đỗ Đức Anh </v>
          </cell>
          <cell r="G419" t="str">
            <v>Đào tạo tiên tiến</v>
          </cell>
          <cell r="H419" t="str">
            <v>22110008</v>
          </cell>
          <cell r="I419" t="str">
            <v>Lưu Trọng Dũng 22119054</v>
          </cell>
          <cell r="J419" t="str">
            <v>Trương Thị Ngọc Phượng</v>
          </cell>
          <cell r="K419" t="str">
            <v>Khoa CNTT</v>
          </cell>
          <cell r="L419" t="str">
            <v>phuongttn@hcmute.edu.vn</v>
          </cell>
          <cell r="M419" t="str">
            <v>01 Trang web
01 Báo cáo tổng kết
01 Bài báo đăng trên hội thảo quốc tế có chỉ số xuất bản ISBN/ISSN</v>
          </cell>
          <cell r="N419">
            <v>10000000</v>
          </cell>
          <cell r="O419" t="str">
            <v>Mười triệu đồng</v>
          </cell>
          <cell r="P419" t="str">
            <v>22110008@student.hcmute.edu.vn</v>
          </cell>
          <cell r="Q419">
            <v>353199400</v>
          </cell>
        </row>
        <row r="420">
          <cell r="B420" t="str">
            <v>SV2026-444</v>
          </cell>
          <cell r="C420" t="str">
            <v>X</v>
          </cell>
          <cell r="D420" t="str">
            <v>Route Optimization through Real-time Traffic Density and Water Level Estimation Using Traffic Cameras</v>
          </cell>
          <cell r="E420" t="str">
            <v>Nguyễn Châu Tấn Cường 23146007</v>
          </cell>
          <cell r="F420" t="str">
            <v xml:space="preserve">Nguyễn Châu Tấn Cường </v>
          </cell>
          <cell r="G420" t="str">
            <v>Đào tạo tiên tiến</v>
          </cell>
          <cell r="H420" t="str">
            <v>23146007</v>
          </cell>
          <cell r="I420" t="str">
            <v>Đoàn Nguyễn Anh Khoa 23134030</v>
          </cell>
          <cell r="J420" t="str">
            <v>Trần Vũ Hoàng</v>
          </cell>
          <cell r="K420" t="str">
            <v>Khoa Điện - Điện tử</v>
          </cell>
          <cell r="L420" t="str">
            <v>hoangtv@hcmute.edu.vn</v>
          </cell>
          <cell r="M420" t="str">
            <v>01 Chương trình máy tính
01 Bài báo khoa học đăng toàn văn trong kỷ yếu hội nghị, hội thảo có chỉ số ISSN/ISBN
01 Báo cáo tổng kết</v>
          </cell>
          <cell r="N420">
            <v>10000000</v>
          </cell>
          <cell r="O420" t="str">
            <v>Mười triệu đồng</v>
          </cell>
          <cell r="P420" t="str">
            <v>23146007@student.hcmute.edu.vn</v>
          </cell>
          <cell r="Q420">
            <v>865911147</v>
          </cell>
        </row>
        <row r="421">
          <cell r="B421" t="str">
            <v>SV2026-445</v>
          </cell>
          <cell r="C421" t="str">
            <v>X</v>
          </cell>
          <cell r="D421" t="str">
            <v>Nghiên cứu ảnh hưởng của rung động tần số thấp ứng dụng cơ cấu đàn hồi trong gia công tiện thép SUS 304</v>
          </cell>
          <cell r="E421" t="str">
            <v>Trần Vương Khang 22144019</v>
          </cell>
          <cell r="F421" t="str">
            <v xml:space="preserve">Trần Vương Khang </v>
          </cell>
          <cell r="G421" t="str">
            <v>Đào tạo tiên tiến</v>
          </cell>
          <cell r="H421" t="str">
            <v>22144019</v>
          </cell>
          <cell r="I421" t="str">
            <v>Phan Nguyễn Đăng Khoa 22144021
Nguyễn Anh Tuấn 22144041
Nguyễn Minh Đức 22143102
Nguyễn Văn Nhật 21144344</v>
          </cell>
          <cell r="J421" t="str">
            <v>Đăng Quang Khoa</v>
          </cell>
          <cell r="K421" t="str">
            <v>Khoa đào tạo tiên tiến</v>
          </cell>
          <cell r="L421" t="str">
            <v>khoadq@hcmute.edu.vn</v>
          </cell>
          <cell r="M421" t="str">
            <v>01 Mô hình thực nghiệm (cụm đồ gá cho gia công tiện rung động tần số theo phương dọc trục)
- 01 tập bản vẽ lắp và chi tiết mô hình thực nghiệm
- 01 Báo cáo tổng kết đề tài</v>
          </cell>
          <cell r="N421">
            <v>10000000</v>
          </cell>
          <cell r="O421" t="str">
            <v>Mười triệu đồng</v>
          </cell>
          <cell r="P421" t="str">
            <v>22144019@student.hcmute.edu.vn</v>
          </cell>
          <cell r="Q421">
            <v>904669318</v>
          </cell>
        </row>
        <row r="422">
          <cell r="B422" t="str">
            <v>SV2026-446</v>
          </cell>
          <cell r="C422" t="str">
            <v>X</v>
          </cell>
          <cell r="D422" t="str">
            <v>Ứng dụng xe tự hành mini phục vụ giám sát và di chuyển trong khu vực đường hầm thiếu ánh sáng</v>
          </cell>
          <cell r="E422" t="str">
            <v>Đỗ Minh Huy 22145026</v>
          </cell>
          <cell r="F422" t="str">
            <v xml:space="preserve">Đỗ Minh Huy </v>
          </cell>
          <cell r="G422" t="str">
            <v>Đào tạo tiên tiến</v>
          </cell>
          <cell r="H422" t="str">
            <v>22145026</v>
          </cell>
          <cell r="I422" t="str">
            <v>Lê Quang Thắng 22145066
Nguyễn Minh Hào 22145022
Nguyễn Minh Khoa 22145038
Lý Tráng Khoa  23145023</v>
          </cell>
          <cell r="J422" t="str">
            <v>Nguyễn Thành Tuyên</v>
          </cell>
          <cell r="K422" t="str">
            <v>Khoa Giao thông và Năng lượng</v>
          </cell>
          <cell r="L422" t="str">
            <v>tuyennt@hcmute.edu.vn</v>
          </cell>
          <cell r="M422" t="str">
            <v>01 Mô hình thực nghiệm 01 Báo nghiên cứu khoa học 01 Báo tổng kết</v>
          </cell>
          <cell r="N422">
            <v>10000000</v>
          </cell>
          <cell r="O422" t="str">
            <v>Mười triệu đồng</v>
          </cell>
          <cell r="P422" t="str">
            <v>22145026@student.hcmute.edu.vn</v>
          </cell>
          <cell r="Q422">
            <v>337054978</v>
          </cell>
        </row>
        <row r="423">
          <cell r="B423" t="str">
            <v>SV2026-447</v>
          </cell>
          <cell r="C423" t="str">
            <v>X</v>
          </cell>
          <cell r="D423" t="str">
            <v>Xe tự hành giám sát khuôn viên trường tại một khu vực nhất định bằng trí tuệ nhân tạo</v>
          </cell>
          <cell r="E423" t="str">
            <v>Lê Tự Thiện An 24119005</v>
          </cell>
          <cell r="F423" t="str">
            <v xml:space="preserve">Lê Tự Thiện An </v>
          </cell>
          <cell r="G423" t="str">
            <v>Đào tạo tiên tiến</v>
          </cell>
          <cell r="H423" t="str">
            <v>24119005</v>
          </cell>
          <cell r="I423" t="str">
            <v>Lê Ngọc Hoàn 24119038
Lê Công Quốc Anh 24119009
Nguyễn Quốc Thịnh 24119090</v>
          </cell>
          <cell r="J423" t="str">
            <v>Phạm Huỳnh Thế</v>
          </cell>
          <cell r="K423" t="str">
            <v>Khoa Điện - Điện tử</v>
          </cell>
          <cell r="L423" t="str">
            <v>theph@hcmute.edu.vn</v>
          </cell>
          <cell r="M423" t="str">
            <v>01 Chương trình máy tính xe tự hành giám sát khuôn viên trường bằng trí tuệ nhân tạo
01 Báo cáo tổng kết</v>
          </cell>
          <cell r="N423">
            <v>5000000</v>
          </cell>
          <cell r="O423" t="str">
            <v>Năm triệu đồng</v>
          </cell>
          <cell r="P423" t="str">
            <v>24119005@student.hcmute.edu.vn</v>
          </cell>
          <cell r="Q423">
            <v>905049417</v>
          </cell>
        </row>
        <row r="424">
          <cell r="B424" t="str">
            <v>SV2026-448</v>
          </cell>
          <cell r="C424" t="str">
            <v>X</v>
          </cell>
          <cell r="D424" t="str">
            <v>Phân tích các yếu tố quyết dịnh lòng trung thành của khách hàng trong thị trường trò chơi trực tuyến tại Việt Nam</v>
          </cell>
          <cell r="E424" t="str">
            <v>Phạm Trần Thanh Vân 23124042</v>
          </cell>
          <cell r="F424" t="str">
            <v xml:space="preserve">Phạm Trần Thanh Vân </v>
          </cell>
          <cell r="G424" t="str">
            <v>Đào tạo tiên tiến</v>
          </cell>
          <cell r="H424" t="str">
            <v>23124042</v>
          </cell>
          <cell r="I424" t="str">
            <v>Trần Duy Phong 23124030
Trần Quang Bảo 23124004
Nguyễn Hữu Ngọc 23124024
Trần Ngọc Hoàng Nhân 20161344</v>
          </cell>
          <cell r="J424" t="str">
            <v>Trương Thị Hòa</v>
          </cell>
          <cell r="K424" t="str">
            <v>Khoa Kinh tế</v>
          </cell>
          <cell r="L424" t="str">
            <v>hoatrt@hcmute.edu.vn</v>
          </cell>
          <cell r="M424" t="str">
            <v>01 Báo cáo phân tích</v>
          </cell>
          <cell r="N424">
            <v>5000000</v>
          </cell>
          <cell r="O424" t="str">
            <v>Năm triệu đồng</v>
          </cell>
          <cell r="P424" t="str">
            <v>23124042@student.hcmute.edu.vn</v>
          </cell>
          <cell r="Q424">
            <v>795669169</v>
          </cell>
        </row>
        <row r="425">
          <cell r="B425" t="str">
            <v>SV2026-449</v>
          </cell>
          <cell r="C425" t="str">
            <v>X</v>
          </cell>
          <cell r="D425" t="str">
            <v>Nghiên cứu, mô phỏng và thi công mô hình giảng dạy hệ thống chiếu sáng tự động điều khiển bằng BCM.</v>
          </cell>
          <cell r="E425" t="str">
            <v>Trần Hoàng Thi 23145035</v>
          </cell>
          <cell r="F425" t="str">
            <v xml:space="preserve">Trần Hoàng Thi </v>
          </cell>
          <cell r="G425" t="str">
            <v>Đào tạo tiên tiến</v>
          </cell>
          <cell r="H425" t="str">
            <v>23145035</v>
          </cell>
          <cell r="I425" t="str">
            <v xml:space="preserve">Trương Đông Khang 22145031
Nguyễn Tấn Nhật 22145053
Vũ Hải Nam 22145048
Phạm Huy Tiến 22145077                                  </v>
          </cell>
          <cell r="J425" t="str">
            <v>Nguyễn Quang Trãi</v>
          </cell>
          <cell r="K425" t="str">
            <v>Khoa Giao thông và Năng lượng</v>
          </cell>
          <cell r="L425" t="str">
            <v xml:space="preserve">trainq@hcmute.edu.vn </v>
          </cell>
          <cell r="M425" t="str">
            <v>01 Mô hình thực nghiệm
01 Tài liệu, video hướng dẫn sử dụng và thực hành
01 Báo cáo tổng kết</v>
          </cell>
          <cell r="N425">
            <v>5000000</v>
          </cell>
          <cell r="O425" t="str">
            <v>Năm triệu đồng</v>
          </cell>
          <cell r="P425" t="str">
            <v>23145035@student.hcmute.edu.vn</v>
          </cell>
          <cell r="Q425">
            <v>924282803</v>
          </cell>
        </row>
        <row r="426">
          <cell r="B426" t="str">
            <v>SV2026-450</v>
          </cell>
          <cell r="C426" t="str">
            <v>X</v>
          </cell>
          <cell r="D426" t="str">
            <v>Phân tích đánh giá hiệu suất giải nhiệt của hệ thống làm mát pin bằng không khí cưỡng bức trên xe Toyota Prius 2010</v>
          </cell>
          <cell r="E426" t="str">
            <v>Trương Tấn Sang 22145060</v>
          </cell>
          <cell r="F426" t="str">
            <v xml:space="preserve">Trương Tấn Sang </v>
          </cell>
          <cell r="G426" t="str">
            <v>Đào tạo tiên tiến</v>
          </cell>
          <cell r="H426" t="str">
            <v>22145060</v>
          </cell>
          <cell r="I426" t="str">
            <v>Phạm Quốc Bảo 22145010
Trần Quốc Thiện 22145070</v>
          </cell>
          <cell r="J426" t="str">
            <v>Vũ Đình Huấn</v>
          </cell>
          <cell r="K426" t="str">
            <v>Khoa Giao thông và Năng lượng</v>
          </cell>
          <cell r="L426" t="str">
            <v>Huanvd@hcmute.edu.vn</v>
          </cell>
          <cell r="M426" t="str">
            <v>1 báo cáo tổng kết</v>
          </cell>
          <cell r="N426">
            <v>5000000</v>
          </cell>
          <cell r="O426" t="str">
            <v>Năm triệu đồng</v>
          </cell>
          <cell r="P426" t="str">
            <v>22145060@student.hcmute.edu.vn</v>
          </cell>
          <cell r="Q426">
            <v>939285520</v>
          </cell>
        </row>
        <row r="427">
          <cell r="B427" t="str">
            <v>SV2026-451</v>
          </cell>
          <cell r="C427" t="str">
            <v>X</v>
          </cell>
          <cell r="D427" t="str">
            <v>Phân loại hình ảnh tế bào bạch cầu sử dụng mô hình học sâu.</v>
          </cell>
          <cell r="E427" t="str">
            <v>Lê Hữu Trực 23110068</v>
          </cell>
          <cell r="F427" t="str">
            <v xml:space="preserve">Lê Hữu Trực </v>
          </cell>
          <cell r="G427" t="str">
            <v>Đào tạo tiên tiến</v>
          </cell>
          <cell r="H427" t="str">
            <v>23110068</v>
          </cell>
          <cell r="I427" t="str">
            <v>Chung Trường Vũ 23110072
Trần Quốc Huy 23110026
Hoàng Đức Tuấn 23110069
Trác Văn Ngọc Phúc 23110057</v>
          </cell>
          <cell r="J427" t="str">
            <v>Lê Văn Vinh</v>
          </cell>
          <cell r="K427" t="str">
            <v>Khoa CNTT</v>
          </cell>
          <cell r="L427" t="str">
            <v>vinhlv@hcmute.edu.vn</v>
          </cell>
          <cell r="M427" t="str">
            <v>01 Bài báo cáo tổng kết
01 Mã nguồn chương trình phát hiện đối tượng trong ảnh tế bào
01 Chương trình máy tính</v>
          </cell>
          <cell r="N427">
            <v>5000000</v>
          </cell>
          <cell r="O427" t="str">
            <v>Năm triệu đồng</v>
          </cell>
          <cell r="P427" t="str">
            <v>23110068@student.hcmute.edu.vn</v>
          </cell>
          <cell r="Q427">
            <v>358584147</v>
          </cell>
        </row>
        <row r="428">
          <cell r="B428" t="str">
            <v>SV2026-453</v>
          </cell>
          <cell r="C428" t="str">
            <v>X</v>
          </cell>
          <cell r="D428" t="str">
            <v>Ứng dụng mô hình đa phương thức cho hệ thống gợi ý sản phẩm</v>
          </cell>
          <cell r="E428" t="str">
            <v>Bùi Quang Huy 23110022</v>
          </cell>
          <cell r="F428" t="str">
            <v xml:space="preserve">Bùi Quang Huy </v>
          </cell>
          <cell r="G428" t="str">
            <v>Đào tạo tiên tiến</v>
          </cell>
          <cell r="H428" t="str">
            <v>23110022</v>
          </cell>
          <cell r="I428" t="str">
            <v>Võ Trúc Hồ 23110021
Viên Ngọc Bảo 23110003</v>
          </cell>
          <cell r="J428" t="str">
            <v>Lê Văn Vinh</v>
          </cell>
          <cell r="K428" t="str">
            <v>Khoa CNTT</v>
          </cell>
          <cell r="L428" t="str">
            <v>vinhlv@hcmute.edu.vn</v>
          </cell>
          <cell r="M428" t="str">
            <v>01 Bài báo cáo tổng kết
01 Chương trình máy tính</v>
          </cell>
          <cell r="N428">
            <v>5000000</v>
          </cell>
          <cell r="O428" t="str">
            <v>Năm triệu đồng</v>
          </cell>
          <cell r="P428" t="str">
            <v>23110022@student.hcmute.edu.vn</v>
          </cell>
          <cell r="Q428">
            <v>935995671</v>
          </cell>
        </row>
        <row r="429">
          <cell r="B429" t="str">
            <v>SV2026-454</v>
          </cell>
          <cell r="C429"/>
          <cell r="D429" t="str">
            <v>Nghiên cứu ứng dụng drone gắn camera tầm nhiệt để phát hiện tụ sứ cách điện hư hỏng trên đường dây truyền tải</v>
          </cell>
          <cell r="E429" t="str">
            <v>Nguyễn Thành Tài 23151029</v>
          </cell>
          <cell r="F429" t="str">
            <v xml:space="preserve">Nguyễn Thành Tài </v>
          </cell>
          <cell r="G429" t="str">
            <v>Đào tạo tiên tiến</v>
          </cell>
          <cell r="H429" t="str">
            <v>23151029</v>
          </cell>
          <cell r="I429" t="str">
            <v>Võ Đăng Khoa 23151015
Huỳnh Ngọc Minh Thông 23151033
Nguyễn Thế Duy 23151008</v>
          </cell>
          <cell r="J429" t="str">
            <v>Trương Đình Nhơn</v>
          </cell>
          <cell r="K429" t="str">
            <v>Khoa đào tạo tiên tiến</v>
          </cell>
          <cell r="L429" t="str">
            <v>nhontd@hcmute.edu.vn</v>
          </cell>
          <cell r="M429" t="str">
            <v>01 Mô hình thực nghiệm
01 Thuật toán, chương trình
01 Báo cáo tổng kết</v>
          </cell>
          <cell r="N429">
            <v>10000000</v>
          </cell>
          <cell r="O429" t="str">
            <v>Mười triệu đồng</v>
          </cell>
          <cell r="P429" t="str">
            <v>23151029@student.hcmute.edu.vn</v>
          </cell>
          <cell r="Q429">
            <v>366563398</v>
          </cell>
        </row>
        <row r="430">
          <cell r="B430" t="str">
            <v>SV2026-455</v>
          </cell>
          <cell r="C430" t="str">
            <v>X</v>
          </cell>
          <cell r="D430" t="str">
            <v>Nghiên cứu các kĩ thuật học sâu cho bài toán phân đoạn hình ảnh hướng đến ứng dụng phân đoạn hình ảnh y khoa</v>
          </cell>
          <cell r="E430" t="str">
            <v>Thái Ngọc Tâm Như 24110117</v>
          </cell>
          <cell r="F430" t="str">
            <v xml:space="preserve">Thái Ngọc Tâm Như </v>
          </cell>
          <cell r="G430" t="str">
            <v>Đào tạo tiên tiến</v>
          </cell>
          <cell r="H430" t="str">
            <v>24110117</v>
          </cell>
          <cell r="I430" t="str">
            <v>Lê Ngọc Hải 24110089
Trần Gia Kiệt 24110103
Lê Huy Phát 24110118
Dương Duy Vinh 24110148</v>
          </cell>
          <cell r="J430" t="str">
            <v>Hoàng Văn Dũng</v>
          </cell>
          <cell r="K430" t="str">
            <v>Khoa CNTT</v>
          </cell>
          <cell r="L430" t="str">
            <v>dunghv@hcmute.edu.vn</v>
          </cell>
          <cell r="M430" t="str">
            <v>01 Bài báo khoa học đăng trên hội thảo quốc tế có chỉ số xuất bản ISBN/ISSN
01 Báo cáo tổng kết</v>
          </cell>
          <cell r="N430">
            <v>10000000</v>
          </cell>
          <cell r="O430" t="str">
            <v>Mười triệu đồng</v>
          </cell>
          <cell r="P430" t="str">
            <v>24110117@student.hcmute.edu.vn</v>
          </cell>
          <cell r="Q430">
            <v>564431260</v>
          </cell>
        </row>
        <row r="431">
          <cell r="B431" t="str">
            <v>SV2026-456</v>
          </cell>
          <cell r="C431" t="str">
            <v>X</v>
          </cell>
          <cell r="D431" t="str">
            <v>Nghiên cứu khám phá tiềm năng ứng dụng công nghệ thông tin và truyền thông (ICT) trong lĩnh vực logistics</v>
          </cell>
          <cell r="E431" t="str">
            <v>Đỗ Yến Lam 21124018</v>
          </cell>
          <cell r="F431" t="str">
            <v xml:space="preserve">Đỗ Yến Lam </v>
          </cell>
          <cell r="G431" t="str">
            <v>Đào tạo tiên tiến</v>
          </cell>
          <cell r="H431" t="str">
            <v>21124018</v>
          </cell>
          <cell r="I431">
            <v>0</v>
          </cell>
          <cell r="J431" t="str">
            <v>Nguyễn Phan Anh Huy</v>
          </cell>
          <cell r="K431" t="str">
            <v>Khoa đào tạo tiên tiến</v>
          </cell>
          <cell r="L431" t="str">
            <v>huynpa@hcmute.edu.vn</v>
          </cell>
          <cell r="M431" t="str">
            <v xml:space="preserve">01 Báo cáo khoa học </v>
          </cell>
          <cell r="N431">
            <v>5000000</v>
          </cell>
          <cell r="O431" t="str">
            <v>Năm triệu đồng</v>
          </cell>
          <cell r="P431" t="str">
            <v>21124018@student.hcmute.edu.vn</v>
          </cell>
          <cell r="Q431">
            <v>822481407</v>
          </cell>
        </row>
        <row r="432">
          <cell r="B432" t="str">
            <v>SV2026-457</v>
          </cell>
          <cell r="C432" t="str">
            <v>X</v>
          </cell>
          <cell r="D432" t="str">
            <v>Nghiên cứu, thiết kế, thi công mô hình động cơ ô tô điện phục vụ giảng dạy</v>
          </cell>
          <cell r="E432" t="str">
            <v>Phan Khánh Chương 23145005</v>
          </cell>
          <cell r="F432" t="str">
            <v xml:space="preserve">Phan Khánh Chương </v>
          </cell>
          <cell r="G432" t="str">
            <v>Đào tạo tiên tiến</v>
          </cell>
          <cell r="H432" t="str">
            <v>23145005</v>
          </cell>
          <cell r="I432" t="str">
            <v>Đặng Anh Duy 22145016
Phạm Tuấn Kiệt 22145041
Phạm Trần Đăng  Khoa 22145039
Châu Thành Thông 22145072</v>
          </cell>
          <cell r="J432" t="str">
            <v>Nguyễn Quang Trãi</v>
          </cell>
          <cell r="K432" t="str">
            <v>Khoa Giao thông và Năng lượng</v>
          </cell>
          <cell r="L432" t="str">
            <v>trainq@hcmute.edu.vn</v>
          </cell>
          <cell r="M432" t="str">
            <v>01 Mô hình thực nghiệm 01 Tài liệu, video hướng dẫn sử dụng và thực hành
01 Báo cáo tổng kết</v>
          </cell>
          <cell r="N432">
            <v>5000000</v>
          </cell>
          <cell r="O432" t="str">
            <v>Năm triệu đồng</v>
          </cell>
          <cell r="P432" t="str">
            <v>23145005@student.hcmute.edu.vn</v>
          </cell>
          <cell r="Q432">
            <v>369617340</v>
          </cell>
        </row>
        <row r="433">
          <cell r="B433" t="str">
            <v>SV2026-458</v>
          </cell>
          <cell r="C433"/>
          <cell r="D433" t="str">
            <v>Hệ thống giám sát an toàn công trình xây dựng thông minh sử dụng AI đa tác nhân</v>
          </cell>
          <cell r="E433" t="str">
            <v>Lê Vũ Khang 23110029</v>
          </cell>
          <cell r="F433" t="str">
            <v xml:space="preserve">Lê Vũ Khang </v>
          </cell>
          <cell r="G433" t="str">
            <v>Đào tạo tiên tiến</v>
          </cell>
          <cell r="H433" t="str">
            <v>23110029</v>
          </cell>
          <cell r="I433" t="str">
            <v>Tô Phát Đạt 23110015
Võ Hữu Lộc 23110039
Trương Đình Khoa 23110034</v>
          </cell>
          <cell r="J433" t="str">
            <v>Nguyễn Đăng Quang</v>
          </cell>
          <cell r="K433" t="str">
            <v>Khoa đào tạo tiên tiến</v>
          </cell>
          <cell r="L433" t="str">
            <v>quangnd@hcmute.edu.vn</v>
          </cell>
          <cell r="M433" t="str">
            <v>01 Bài báo khoa học đăng trên hội thảo quốc tế có chỉ số xuất bản ISBN/ISSN
01 Chương trình mô phỏng
01 Báo cáo tổng kết</v>
          </cell>
          <cell r="N433">
            <v>10000000</v>
          </cell>
          <cell r="O433" t="str">
            <v>Mười triệu đồng</v>
          </cell>
          <cell r="P433" t="str">
            <v>23110029@student.hcmute.edu.vn</v>
          </cell>
          <cell r="Q433">
            <v>869601942</v>
          </cell>
        </row>
        <row r="434">
          <cell r="B434" t="str">
            <v>SV2026-460</v>
          </cell>
          <cell r="C434" t="str">
            <v>X</v>
          </cell>
          <cell r="D434" t="str">
            <v xml:space="preserve">Ứng dụng camera để phân tích các chuyển động trong việc luyện tập thể dục thể thao </v>
          </cell>
          <cell r="E434" t="str">
            <v>Nguyễn Tuấn Anh 23119002</v>
          </cell>
          <cell r="F434" t="str">
            <v xml:space="preserve">Nguyễn Tuấn Anh </v>
          </cell>
          <cell r="G434" t="str">
            <v>Đào tạo tiên tiến</v>
          </cell>
          <cell r="H434" t="str">
            <v>23119002</v>
          </cell>
          <cell r="I434" t="str">
            <v>Nguyễn Trịnh Khánh Linh 23119016
Nguyễn Công Minh 23119021
Võ Hoài Nam 23119024
Nguyễn Tiến Khang 23119010</v>
          </cell>
          <cell r="J434" t="str">
            <v>Vũ Chí Cường</v>
          </cell>
          <cell r="K434" t="str">
            <v>Khoa Điện - Điện tử</v>
          </cell>
          <cell r="L434" t="str">
            <v>cuongvc@hcmute.edu.vn</v>
          </cell>
          <cell r="M434" t="str">
            <v>01 Bài báo khoa học đăng trên hội thảo quốc tế có chỉ số xuất bản ISBN/ISSN
01 Chương trình nhúng thực nghiệm 
01 Báo cáo tổng kết</v>
          </cell>
          <cell r="N434">
            <v>10000000</v>
          </cell>
          <cell r="O434" t="str">
            <v>Mười triệu đồng</v>
          </cell>
          <cell r="P434" t="str">
            <v>23119002@student.hcmute.edu.vn</v>
          </cell>
          <cell r="Q434">
            <v>862955914</v>
          </cell>
        </row>
        <row r="435">
          <cell r="B435" t="str">
            <v>SV2026-461</v>
          </cell>
          <cell r="C435" t="str">
            <v>X</v>
          </cell>
          <cell r="D435" t="str">
            <v>Giải pháp chẩn đoán, cảnh báo và điều khiển cho hệ thống năng lượng mặt trời</v>
          </cell>
          <cell r="E435" t="str">
            <v>Bùi Lễ Quang Vinh 23151042</v>
          </cell>
          <cell r="F435" t="str">
            <v xml:space="preserve">Bùi Lễ Quang Vinh </v>
          </cell>
          <cell r="G435" t="str">
            <v>Đào tạo tiên tiến</v>
          </cell>
          <cell r="H435" t="str">
            <v>23151042</v>
          </cell>
          <cell r="I435" t="str">
            <v>Lê Văn Nhật Thông 23151034
Nguyễn Hoàng Công Tấn 23161077
Phạm Bùi Thanh Sang 25151104</v>
          </cell>
          <cell r="J435" t="str">
            <v>Tạ Văn Phương</v>
          </cell>
          <cell r="K435" t="str">
            <v>Khoa đào tạo tiên tiến</v>
          </cell>
          <cell r="L435" t="str">
            <v>phuongtv@hcmute.edu.vn</v>
          </cell>
          <cell r="M435" t="str">
            <v>01 Chương trình nhúng thực nghiệm 
01 Báo cáo tổng kết</v>
          </cell>
          <cell r="N435">
            <v>5000000</v>
          </cell>
          <cell r="O435" t="str">
            <v>Năm triệu đồng</v>
          </cell>
          <cell r="P435" t="str">
            <v>23151042@student.hcmute.edu.vn</v>
          </cell>
          <cell r="Q435">
            <v>784981720</v>
          </cell>
        </row>
        <row r="436">
          <cell r="B436" t="str">
            <v>SV2026-462</v>
          </cell>
          <cell r="C436" t="str">
            <v>X</v>
          </cell>
          <cell r="D436" t="str">
            <v>Nền tảng Bản sao số cho hệ thống Phân loại Đối tượng bằng Robot dựa trên Thị giác máy tính.</v>
          </cell>
          <cell r="E436" t="str">
            <v>Hoàng Ngọc An 22151003</v>
          </cell>
          <cell r="F436" t="str">
            <v xml:space="preserve">Hoàng Ngọc An </v>
          </cell>
          <cell r="G436" t="str">
            <v>Đào tạo tiên tiến</v>
          </cell>
          <cell r="H436" t="str">
            <v>22151003</v>
          </cell>
          <cell r="I436" t="str">
            <v xml:space="preserve">Hà Trường An 22151002
Lê Nguyễn Hiếu Ân 22151007
Trương Quốc Bảo 22151008
Đoàn Tấn Phát 22151035             </v>
          </cell>
          <cell r="J436" t="str">
            <v xml:space="preserve"> Trần Đức Thiện</v>
          </cell>
          <cell r="K436" t="str">
            <v>Khoa Điện - Điện tử</v>
          </cell>
          <cell r="L436" t="str">
            <v>thientd@hcmute.edu.vn</v>
          </cell>
          <cell r="M436" t="str">
            <v>01 Bài báo khoa học đăng trên hội thảo quốc tế có chỉ số xuất bản ISBN/ISSN
01 Báo cáo tổng kết theo đúng quy định, hình thức trình bày của nhà trường</v>
          </cell>
          <cell r="N436">
            <v>10000000</v>
          </cell>
          <cell r="O436" t="str">
            <v>Mười triệu đồng</v>
          </cell>
          <cell r="P436" t="str">
            <v>22151003@student.hcmute.edu.vn</v>
          </cell>
          <cell r="Q436">
            <v>965777836</v>
          </cell>
        </row>
        <row r="437">
          <cell r="B437" t="str">
            <v>SV2026-463</v>
          </cell>
          <cell r="C437" t="str">
            <v>X</v>
          </cell>
          <cell r="D437" t="str">
            <v>Nghiên cứu ảnh hưởng của xỉ lò cao đến cường độ chịu nén của bê tông rỗng</v>
          </cell>
          <cell r="E437" t="str">
            <v>Đỗ Đình Phong 23149029</v>
          </cell>
          <cell r="F437" t="str">
            <v xml:space="preserve">Đỗ Đình Phong </v>
          </cell>
          <cell r="G437" t="str">
            <v>Đào tạo tiên tiến</v>
          </cell>
          <cell r="H437" t="str">
            <v>23149029</v>
          </cell>
          <cell r="I437" t="str">
            <v>Lê Đức Nam 23149026
Nguyễn Văn Thành 23149035
Đỗ Lê Đăng Khoa 23149017
Trần Hoàng Bảo Khanh 23149016</v>
          </cell>
          <cell r="J437" t="str">
            <v>Trần Thanh Tài</v>
          </cell>
          <cell r="K437" t="str">
            <v>Khoa Xây dựng</v>
          </cell>
          <cell r="L437" t="str">
            <v>taitt@hcmute.edu.vn</v>
          </cell>
          <cell r="M437" t="str">
            <v>01 Báo cáo tổng kết</v>
          </cell>
          <cell r="N437">
            <v>5000000</v>
          </cell>
          <cell r="O437" t="str">
            <v>Năm triệu đồng</v>
          </cell>
          <cell r="P437" t="str">
            <v>23149029@student.hcmute.edu.vn</v>
          </cell>
          <cell r="Q437">
            <v>329200560</v>
          </cell>
        </row>
        <row r="438">
          <cell r="B438" t="str">
            <v>SV2026-464</v>
          </cell>
          <cell r="C438" t="str">
            <v>X</v>
          </cell>
          <cell r="D438" t="str">
            <v>Nghiên cứu quá trình đúc hai kim loại(Al/Cu)</v>
          </cell>
          <cell r="E438" t="str">
            <v>Trần Gia Lâm 23144021</v>
          </cell>
          <cell r="F438" t="str">
            <v xml:space="preserve">Trần Gia Lâm </v>
          </cell>
          <cell r="G438" t="str">
            <v>Đào tạo tiên tiến</v>
          </cell>
          <cell r="H438" t="str">
            <v>23144021</v>
          </cell>
          <cell r="I438" t="str">
            <v>Trần Thanh Nhân 23144030
Trần Bảo Quân 23144032</v>
          </cell>
          <cell r="J438" t="str">
            <v>Nguyễn Thanh Tân</v>
          </cell>
          <cell r="K438" t="str">
            <v>Khoa CKM</v>
          </cell>
          <cell r="L438" t="str">
            <v>tannt@hcmute.edu.vn</v>
          </cell>
          <cell r="M438" t="str">
            <v>01 Bài báo cáo thực tế
01 Bản vẻ khuôn đúc
01 Kết quả mô phỏng
01 mô hình thực nghiệm</v>
          </cell>
          <cell r="N438">
            <v>5000000</v>
          </cell>
          <cell r="O438" t="str">
            <v>Năm triệu đồng</v>
          </cell>
          <cell r="P438" t="str">
            <v>23144021@student.hcmute.edu.vn</v>
          </cell>
          <cell r="Q438">
            <v>353577807</v>
          </cell>
        </row>
        <row r="439">
          <cell r="B439" t="str">
            <v>SV2026-465</v>
          </cell>
          <cell r="C439"/>
          <cell r="D439" t="str">
            <v xml:space="preserve">Thực nghiệm, đánh giá độ bền kéo và tổ chức tế vi của mối hàn GMAW dưới sự hỗ trợ rung động tần số thấp
</v>
          </cell>
          <cell r="E439" t="str">
            <v>Ngô Thanh Tuấn 24143158</v>
          </cell>
          <cell r="F439" t="str">
            <v xml:space="preserve">Ngô Thanh Tuấn </v>
          </cell>
          <cell r="G439" t="str">
            <v>Đào tạo tiên tiến</v>
          </cell>
          <cell r="H439" t="str">
            <v>24143158</v>
          </cell>
          <cell r="I439" t="str">
            <v xml:space="preserve"> Nguyễn Kim Long 24143111
 Nguyễn Đình Nam 24143120
 Võ Tường Nguyên 24143122
 Nguyễn Dương Minh 24143119</v>
          </cell>
          <cell r="J439" t="str">
            <v>Trần Ngọc Thiện</v>
          </cell>
          <cell r="K439" t="str">
            <v>Khoa CKM</v>
          </cell>
          <cell r="L439" t="str">
            <v>thientn@hcmute.edu.vn</v>
          </cell>
          <cell r="M439" t="str">
            <v>01 Báo cáo tổng kết
01 bảng thông số thí nghiệm
01 bộ kết quả độ bền kéo</v>
          </cell>
          <cell r="N439">
            <v>5000000</v>
          </cell>
          <cell r="O439" t="str">
            <v>Năm triệu đồng</v>
          </cell>
          <cell r="P439" t="str">
            <v xml:space="preserve">24143158@student.hcmute.edu.vn </v>
          </cell>
          <cell r="Q439">
            <v>937802867</v>
          </cell>
        </row>
        <row r="440">
          <cell r="B440" t="str">
            <v>SV2026-466</v>
          </cell>
          <cell r="C440" t="str">
            <v>X</v>
          </cell>
          <cell r="D440" t="str">
            <v>Khảo sát hàm lượng tinh bột kháng trong sản phẩm bánh mì khi thay thế một phần bột mì bằng tinh bột chuối xanh</v>
          </cell>
          <cell r="E440" t="str">
            <v>Lê Minh Nhật 22116019</v>
          </cell>
          <cell r="F440" t="str">
            <v xml:space="preserve">Lê Minh Nhật </v>
          </cell>
          <cell r="G440" t="str">
            <v>Đào tạo tiên tiến</v>
          </cell>
          <cell r="H440" t="str">
            <v>22116019</v>
          </cell>
          <cell r="I440" t="str">
            <v>Nguyễn Huy Bảo 22116003
Lê Tiến Nam 22116017
Đào Ngọc Bảo Trân 22128078
Trần Thanh Trúc 22116023</v>
          </cell>
          <cell r="J440" t="str">
            <v>Nguyễn Minh Hải</v>
          </cell>
          <cell r="K440" t="str">
            <v>Khoa CNHH&amp;TP</v>
          </cell>
          <cell r="L440" t="str">
            <v>hainm@hcmute.edu.vn</v>
          </cell>
          <cell r="M440" t="str">
            <v>01 Báo cáo tổng kết
02 Bánh mì từ tinh bột chuối xanh</v>
          </cell>
          <cell r="N440">
            <v>5000000</v>
          </cell>
          <cell r="O440" t="str">
            <v>Năm triệu đồng</v>
          </cell>
          <cell r="P440" t="str">
            <v>22116019@student.hcmute.edu.vn</v>
          </cell>
          <cell r="Q440">
            <v>906760501</v>
          </cell>
        </row>
        <row r="441">
          <cell r="B441" t="str">
            <v>SV2026-467</v>
          </cell>
          <cell r="C441" t="str">
            <v>X</v>
          </cell>
          <cell r="D441" t="str">
            <v>Đánh giá quá trình đúc thỏi hợp kim nhôm kẽm thông qua mô phỏng</v>
          </cell>
          <cell r="E441" t="str">
            <v>Trần Đình Huy 23144015</v>
          </cell>
          <cell r="F441" t="str">
            <v xml:space="preserve">Trần Đình Huy </v>
          </cell>
          <cell r="G441" t="str">
            <v>Đào tạo tiên tiến</v>
          </cell>
          <cell r="H441" t="str">
            <v>23144015</v>
          </cell>
          <cell r="I441" t="str">
            <v>Nguyễn Thanh Học 23144014
Nguyễn Vũ Hòa 23144013</v>
          </cell>
          <cell r="J441" t="str">
            <v>Nguyễn Thanh Tân</v>
          </cell>
          <cell r="K441" t="str">
            <v>Khoa CKM</v>
          </cell>
          <cell r="L441" t="str">
            <v>tannt@hcmute.edu.vn</v>
          </cell>
          <cell r="M441" t="str">
            <v>01 Báo cáo tổng kết</v>
          </cell>
          <cell r="N441">
            <v>5000000</v>
          </cell>
          <cell r="O441" t="str">
            <v>Năm triệu đồng</v>
          </cell>
          <cell r="P441" t="str">
            <v>23144015@student.hcmute.edu.vn</v>
          </cell>
          <cell r="Q441">
            <v>784326069</v>
          </cell>
        </row>
        <row r="442">
          <cell r="B442" t="str">
            <v>SV2026-468</v>
          </cell>
          <cell r="C442" t="str">
            <v>X</v>
          </cell>
          <cell r="D442" t="str">
            <v>Phát triển hệ thống nhận dạng ngôn ngữ ký hiệu dựa trên học sâu đa luồng</v>
          </cell>
          <cell r="E442" t="str">
            <v>Trần Gia Kiệt 24110103</v>
          </cell>
          <cell r="F442" t="str">
            <v xml:space="preserve">Trần Gia Kiệt </v>
          </cell>
          <cell r="G442" t="str">
            <v>Đào tạo tiên tiến</v>
          </cell>
          <cell r="H442" t="str">
            <v>24110103</v>
          </cell>
          <cell r="I442">
            <v>0</v>
          </cell>
          <cell r="J442" t="str">
            <v>Trần Quang Khải</v>
          </cell>
          <cell r="K442" t="str">
            <v>Khoa CNTT</v>
          </cell>
          <cell r="L442" t="str">
            <v>khaitq@hcmute.edu.vn</v>
          </cell>
          <cell r="M442" t="str">
            <v>01 Bài báo cáo tổng kết 
01 Chương trình máy tính</v>
          </cell>
          <cell r="N442">
            <v>5000000</v>
          </cell>
          <cell r="O442" t="str">
            <v>Năm triệu đồng</v>
          </cell>
          <cell r="P442" t="str">
            <v>24110103@student.hcmute.edu.vn</v>
          </cell>
          <cell r="Q442" t="str">
            <v>0839398247</v>
          </cell>
        </row>
        <row r="443">
          <cell r="B443" t="str">
            <v>SV2026-469</v>
          </cell>
          <cell r="C443" t="str">
            <v>X</v>
          </cell>
          <cell r="D443" t="str">
            <v>Thiết kế mạch bandgap hiệu năng cao dùng công nghệ 65nm</v>
          </cell>
          <cell r="E443" t="str">
            <v>Lê Nhật Tân 23119034</v>
          </cell>
          <cell r="F443" t="str">
            <v xml:space="preserve">Lê Nhật Tân </v>
          </cell>
          <cell r="G443" t="str">
            <v>Đào tạo tiên tiến</v>
          </cell>
          <cell r="H443" t="str">
            <v>23119034</v>
          </cell>
          <cell r="I443" t="str">
            <v>Phạm Duy Linh 23119017</v>
          </cell>
          <cell r="J443" t="str">
            <v>Võ Minh Huân</v>
          </cell>
          <cell r="K443" t="str">
            <v>Khoa Điện - Điện tử</v>
          </cell>
          <cell r="L443" t="str">
            <v>huanvm@hcmute.edu.vn</v>
          </cell>
          <cell r="M443" t="str">
            <v>01 Bài báo cáo tổng kết
01 Bài báo khoa học đăng trên tạp chí trong nước trong danh mục của HĐ GSNN tính từ 0,5 điểm trở lên; hoặc bài báo đăng trên tạp chí quốc tế có chỉ số xuất bản ISSN</v>
          </cell>
          <cell r="N443">
            <v>15000000</v>
          </cell>
          <cell r="O443" t="str">
            <v>Mười lăm triệu đồng</v>
          </cell>
          <cell r="P443" t="str">
            <v>23119034@student.hcmute.edu.vn</v>
          </cell>
          <cell r="Q443">
            <v>908775021</v>
          </cell>
        </row>
        <row r="444">
          <cell r="B444" t="str">
            <v>SV2026-470</v>
          </cell>
          <cell r="C444" t="str">
            <v>X</v>
          </cell>
          <cell r="D444" t="str">
            <v>Nghiên cứu đánh giá độ thấm khí của vật liệu làm khuôn</v>
          </cell>
          <cell r="E444" t="str">
            <v>Lê Đình Mạnh 22144028</v>
          </cell>
          <cell r="F444" t="str">
            <v xml:space="preserve">Lê Đình Mạnh </v>
          </cell>
          <cell r="G444" t="str">
            <v>Đào tạo tiên tiến</v>
          </cell>
          <cell r="H444" t="str">
            <v>22144028</v>
          </cell>
          <cell r="I444" t="str">
            <v>Chu Dương Huy Tài 22144034
Hoàng Chí Cường 22143041</v>
          </cell>
          <cell r="J444" t="str">
            <v>Nguyễn Thanh Tân</v>
          </cell>
          <cell r="K444" t="str">
            <v>Khoa CKM</v>
          </cell>
          <cell r="L444" t="str">
            <v>tannt@hcmute.edu.vn</v>
          </cell>
          <cell r="M444" t="str">
            <v>01 Báo cáo tổng kết
01 biểu đồ phân tích</v>
          </cell>
          <cell r="N444">
            <v>5000000</v>
          </cell>
          <cell r="O444" t="str">
            <v>Năm triệu đồng</v>
          </cell>
          <cell r="P444" t="str">
            <v>22144028@student.hcmute.edu.vn</v>
          </cell>
          <cell r="Q444">
            <v>399141699</v>
          </cell>
        </row>
        <row r="445">
          <cell r="B445" t="str">
            <v>SV2026-471</v>
          </cell>
          <cell r="C445"/>
          <cell r="D445" t="str">
            <v xml:space="preserve">Thiết kế và xây dựng mô hình đồng bộ servo cho thực tập trang bị điện khí nén.
</v>
          </cell>
          <cell r="E445" t="str">
            <v>Võ Đình Bình 23142009</v>
          </cell>
          <cell r="F445" t="str">
            <v xml:space="preserve">Võ Đình Bình </v>
          </cell>
          <cell r="G445" t="str">
            <v>Đào tạo tiên tiến</v>
          </cell>
          <cell r="H445" t="str">
            <v>23142009</v>
          </cell>
          <cell r="I445" t="str">
            <v xml:space="preserve">Trần Trí Bảo 23142008
Nguyễn Văn Đức 23142016
</v>
          </cell>
          <cell r="J445" t="str">
            <v>Phùng Sơn Thanh</v>
          </cell>
          <cell r="K445" t="str">
            <v>Khoa Điện - Điện tử</v>
          </cell>
          <cell r="L445" t="str">
            <v>thanhps@hcmute.edu.vn</v>
          </cell>
          <cell r="M445" t="str">
            <v>01 Báo cáo tổng kết
01 Mô hình thực nghiệm</v>
          </cell>
          <cell r="N445">
            <v>5000000</v>
          </cell>
          <cell r="O445" t="str">
            <v>Năm triệu đồng</v>
          </cell>
          <cell r="P445" t="str">
            <v>23142009@student.hcmute.edu.vn</v>
          </cell>
          <cell r="Q445">
            <v>774544068</v>
          </cell>
        </row>
        <row r="446">
          <cell r="B446" t="str">
            <v>SV2026-472</v>
          </cell>
          <cell r="C446" t="str">
            <v>X</v>
          </cell>
          <cell r="D446" t="str">
            <v>Nghiên cứu áp dung AI trong chẩn đoán tuổi thọ của máy biến áp điện lực</v>
          </cell>
          <cell r="E446" t="str">
            <v>Hồ Hoàng Vỹ 23142076</v>
          </cell>
          <cell r="F446" t="str">
            <v xml:space="preserve">Hồ Hoàng Vỹ </v>
          </cell>
          <cell r="G446" t="str">
            <v>Đào tạo tiên tiến</v>
          </cell>
          <cell r="H446" t="str">
            <v>23142076</v>
          </cell>
          <cell r="I446" t="str">
            <v xml:space="preserve">Nguyễn Chí Linh 23142038
Nguyễn Thanh Hoài Phúc 23142049
Trần Quốc Minh Huy 23142026
</v>
          </cell>
          <cell r="J446" t="str">
            <v>Trương Đình Nhơn</v>
          </cell>
          <cell r="K446" t="str">
            <v>Khoa đào tạo tiên tiến</v>
          </cell>
          <cell r="L446" t="str">
            <v>nhontd@hcmute.edu.vn</v>
          </cell>
          <cell r="M446" t="str">
            <v>01 Báo cáo tổng kết 
01 Phần mềm thực nghiệm dự "Chương trình máy tính mô phỏng chạy trên nền tảng Rapidmine"</v>
          </cell>
          <cell r="N446">
            <v>5000000</v>
          </cell>
          <cell r="O446" t="str">
            <v>Năm triệu đồng</v>
          </cell>
          <cell r="P446" t="str">
            <v>23142076@student.hcmute.edu.vn</v>
          </cell>
          <cell r="Q446">
            <v>939963302</v>
          </cell>
        </row>
        <row r="447">
          <cell r="B447" t="str">
            <v>SV2026-473</v>
          </cell>
          <cell r="C447"/>
          <cell r="D447" t="str">
            <v>Nghiên cứu và phát triển hệ thống đo điện năng và đưa ra cảnh báo khi phát hiện có tải lớn bất thường dựa trên công nghệ IoT</v>
          </cell>
          <cell r="E447" t="str">
            <v>Huỳnh Cao Tiến 20142248</v>
          </cell>
          <cell r="F447" t="str">
            <v xml:space="preserve">Huỳnh Cao Tiến </v>
          </cell>
          <cell r="G447" t="str">
            <v>Đào tạo tiên tiến</v>
          </cell>
          <cell r="H447" t="str">
            <v>20142248</v>
          </cell>
          <cell r="I447" t="str">
            <v>Trần Gia Bảo 20142198
Phạm Phúc Trường 20142005  
Phan Nhật Anh 20142027
Huỳnh Thị Quỳnh Phương 22161067</v>
          </cell>
          <cell r="J447" t="str">
            <v>Nguyễn Thanh Nghĩa</v>
          </cell>
          <cell r="K447" t="str">
            <v>Khoa Điện - Điện tử</v>
          </cell>
          <cell r="L447" t="str">
            <v>nghiant@hcmute.edu.vn</v>
          </cell>
          <cell r="M447" t="str">
            <v>01 Báo cáo tổng kết
01 Mô hình thực nghiệm</v>
          </cell>
          <cell r="N447">
            <v>10000000</v>
          </cell>
          <cell r="O447" t="str">
            <v>Mười triệu đồng</v>
          </cell>
          <cell r="P447" t="str">
            <v>20142248@student.hcmute.edu.vn</v>
          </cell>
          <cell r="Q447">
            <v>384968291</v>
          </cell>
        </row>
        <row r="448">
          <cell r="B448" t="str">
            <v>SV2026-474</v>
          </cell>
          <cell r="C448" t="str">
            <v>X</v>
          </cell>
          <cell r="D448" t="str">
            <v>Máy bay không người lái tự động theo dõi con người bằng trí tuệ nhân tạo</v>
          </cell>
          <cell r="E448" t="str">
            <v>Huỳnh Lê Thành Nhân 24119068</v>
          </cell>
          <cell r="F448" t="str">
            <v xml:space="preserve">Huỳnh Lê Thành Nhân </v>
          </cell>
          <cell r="G448" t="str">
            <v>Đào tạo tiên tiến</v>
          </cell>
          <cell r="H448" t="str">
            <v>24119068</v>
          </cell>
          <cell r="I448" t="str">
            <v>Trịnh Trần Quốc Bảo 24119016</v>
          </cell>
          <cell r="J448" t="str">
            <v>Lê Mỹ Hà</v>
          </cell>
          <cell r="K448" t="str">
            <v>Khoa Điện - Điện tử</v>
          </cell>
          <cell r="L448" t="str">
            <v>halm@hcmute.edu.vn</v>
          </cell>
          <cell r="M448" t="str">
            <v>01 Báo cáo tổng kết 
01 Chương trình máy tính cho máy bay không người lái tự động theo dõi con người</v>
          </cell>
          <cell r="N448">
            <v>5000000</v>
          </cell>
          <cell r="O448" t="str">
            <v>Năm triệu đồng</v>
          </cell>
          <cell r="P448" t="str">
            <v>24119068@student.hcmute.edu.vn</v>
          </cell>
          <cell r="Q448">
            <v>937395656</v>
          </cell>
        </row>
        <row r="449">
          <cell r="B449" t="str">
            <v>SV2026-475</v>
          </cell>
          <cell r="C449" t="str">
            <v>X</v>
          </cell>
          <cell r="D449" t="str">
            <v>Nghiên cứu và phát triển thuật toán tối ưu không gian sắp xếp vật thể sử dụng Robot Delta</v>
          </cell>
          <cell r="E449" t="str">
            <v>Trương Quốc Phú 22151036</v>
          </cell>
          <cell r="F449" t="str">
            <v xml:space="preserve">Trương Quốc Phú </v>
          </cell>
          <cell r="G449" t="str">
            <v>Đào tạo tiên tiến</v>
          </cell>
          <cell r="H449" t="str">
            <v>22151036</v>
          </cell>
          <cell r="I449" t="str">
            <v>Võ Ngọc Huy 22151020</v>
          </cell>
          <cell r="J449" t="str">
            <v>Vũ Văn Phong</v>
          </cell>
          <cell r="K449" t="str">
            <v>Khoa Điện - Điện tử</v>
          </cell>
          <cell r="L449" t="str">
            <v>phongvv@hcmute.edu.vn</v>
          </cell>
          <cell r="M449" t="str">
            <v>01 Mô hình thực nghiệm
01 Thuật toán, chương trình
01 Báo cáo tổng kết</v>
          </cell>
          <cell r="N449">
            <v>10000000</v>
          </cell>
          <cell r="O449" t="str">
            <v>Mười triệu đồng</v>
          </cell>
          <cell r="P449" t="str">
            <v>22151036@student.hcmute.edu.vn</v>
          </cell>
          <cell r="Q449">
            <v>981134506</v>
          </cell>
        </row>
        <row r="450">
          <cell r="B450" t="str">
            <v>SV2026-476</v>
          </cell>
          <cell r="C450" t="str">
            <v>X</v>
          </cell>
          <cell r="D450" t="str">
            <v>AURORA -Robot hướng dẫn bệnh nhân khiếm thị trong bệnh viên bằng giọng nói.</v>
          </cell>
          <cell r="E450" t="str">
            <v>Nguyễn Vũ Trung Hiếu 22151014</v>
          </cell>
          <cell r="F450" t="str">
            <v xml:space="preserve">Nguyễn Vũ Trung Hiếu </v>
          </cell>
          <cell r="G450" t="str">
            <v>Đào tạo tiên tiến</v>
          </cell>
          <cell r="H450" t="str">
            <v>22151014</v>
          </cell>
          <cell r="I450" t="str">
            <v>Dương Minh Hoàng 22151015</v>
          </cell>
          <cell r="J450" t="str">
            <v>Vũ Văn Phong</v>
          </cell>
          <cell r="K450" t="str">
            <v>Khoa Điện - Điện tử</v>
          </cell>
          <cell r="L450" t="str">
            <v>phongvv@hcmute.edu.vn</v>
          </cell>
          <cell r="M450" t="str">
            <v>01 Mô hình thực nghiệm
01 Thuật toán, chương trình
01 Báo cáo tổng kết</v>
          </cell>
          <cell r="N450">
            <v>10000000</v>
          </cell>
          <cell r="O450" t="str">
            <v>Mười triệu đồng</v>
          </cell>
          <cell r="P450" t="str">
            <v>22151014@student.hcmute.edu.vn</v>
          </cell>
          <cell r="Q450">
            <v>706004634</v>
          </cell>
        </row>
        <row r="451">
          <cell r="B451" t="str">
            <v>SV2026-477</v>
          </cell>
          <cell r="C451" t="str">
            <v>X</v>
          </cell>
          <cell r="D451" t="str">
            <v>Áp dụng hệ thống Smart IoT giám sát côn trùng/ động vật gây hại cho kho bãi của doanh nghiệp</v>
          </cell>
          <cell r="E451" t="str">
            <v>Trương Minh Quân 21161262</v>
          </cell>
          <cell r="F451" t="str">
            <v xml:space="preserve">Trương Minh Quân </v>
          </cell>
          <cell r="G451" t="str">
            <v>Đào tạo tiên tiến</v>
          </cell>
          <cell r="H451" t="str">
            <v>21161262</v>
          </cell>
          <cell r="I451" t="str">
            <v>Khương Tiến Đạt 21161239
Nguyễn Duy Ân 21161017
Vũ Quang Khải 21161246
Nguyễn Trọng Nhân 21161255</v>
          </cell>
          <cell r="J451" t="str">
            <v xml:space="preserve">Nguyễn Văn Thái </v>
          </cell>
          <cell r="K451" t="str">
            <v>Khoa Điện - Điện tử</v>
          </cell>
          <cell r="L451" t="str">
            <v>nguyenvanthai@hcmute.edu.vn</v>
          </cell>
          <cell r="M451" t="str">
            <v>01 Mô hình thu nhỏ 
01 Báo cáo tổng kết
01 Ứng dụng theo dõi</v>
          </cell>
          <cell r="N451">
            <v>5000000</v>
          </cell>
          <cell r="O451" t="str">
            <v>Năm triệu đồng</v>
          </cell>
          <cell r="P451" t="str">
            <v>21161262@student.hcmute.edu.vn</v>
          </cell>
          <cell r="Q451">
            <v>908091607</v>
          </cell>
        </row>
        <row r="452">
          <cell r="B452" t="str">
            <v>SV2026-478</v>
          </cell>
          <cell r="C452"/>
          <cell r="D452" t="str">
            <v>Nghiên cứu các chiến lược tối ưu hóa hiệu quả biểu diễn cảnh 3D thời gian thực</v>
          </cell>
          <cell r="E452" t="str">
            <v>Nguyễn Nhật Phát 23110053</v>
          </cell>
          <cell r="F452" t="str">
            <v xml:space="preserve">Nguyễn Nhật Phát </v>
          </cell>
          <cell r="G452" t="str">
            <v>Đào tạo tiên tiến</v>
          </cell>
          <cell r="H452" t="str">
            <v>23110053</v>
          </cell>
          <cell r="I452" t="str">
            <v>Phạm Quốc Hùng 25110223</v>
          </cell>
          <cell r="J452" t="str">
            <v>Hoàng Văn Dũng</v>
          </cell>
          <cell r="K452" t="str">
            <v>Khoa CNTT</v>
          </cell>
          <cell r="L452" t="str">
            <v>dunghv@hcmute.edu.vn</v>
          </cell>
          <cell r="M452" t="str">
            <v>- 01 Bài báo khoa học đăng trên hội thảo quốc tế có chỉ số xuất bản ISBN/ISSN.
- 01 Chương trình máy tính
- 01 Báo cáo tổng kết</v>
          </cell>
          <cell r="N452">
            <v>10000000</v>
          </cell>
          <cell r="O452" t="str">
            <v>Mười triệu đồng</v>
          </cell>
          <cell r="P452" t="str">
            <v>23110053@student.hcmute.edu.vn</v>
          </cell>
          <cell r="Q452" t="str">
            <v>0336243277</v>
          </cell>
        </row>
        <row r="453">
          <cell r="B453" t="str">
            <v>SV2026-479</v>
          </cell>
          <cell r="C453" t="str">
            <v>X</v>
          </cell>
          <cell r="D453" t="str">
            <v>Nghiên cứu một số yếu tố ảnh hưởng đến sự nảy mầm nhằm gia tăng hàm lượng hoạt chất trong hạt diêm mạch (Chenopodium quinoa Willd)</v>
          </cell>
          <cell r="E453" t="str">
            <v>Nguyễn Hồng Tiên 24116080</v>
          </cell>
          <cell r="F453" t="str">
            <v xml:space="preserve">Nguyễn Hồng Tiên </v>
          </cell>
          <cell r="G453" t="str">
            <v>Đào tạo tiên tiến</v>
          </cell>
          <cell r="H453" t="str">
            <v>24116080</v>
          </cell>
          <cell r="I453" t="str">
            <v>Nguyễn Ánh Thiên Nguyệt 24116055
Mai Đại Hải 24116023
Trịnh Tấn Phát 24116061</v>
          </cell>
          <cell r="J453" t="str">
            <v>Hoàng Văn Chuyển</v>
          </cell>
          <cell r="K453" t="str">
            <v>Khoa đào tạo tiên tiến</v>
          </cell>
          <cell r="L453" t="str">
            <v xml:space="preserve">chuyenhv@hcmute.edu.vn </v>
          </cell>
          <cell r="M453" t="str">
            <v>- 01 Bài báo khoa học (Được chấp nhận đăng trên tạp chí trong nước trong danh mục của HĐ GSNN tính từ 0,5 điểm trở lên hoặc tạp chí quốc tế có chỉ số ISSN)
- 01 Báo cáo tổng kết</v>
          </cell>
          <cell r="N453">
            <v>15000000</v>
          </cell>
          <cell r="O453" t="str">
            <v>Mười lăm triệu đồng</v>
          </cell>
          <cell r="P453" t="str">
            <v>24116080@student.hcmute.edu.vn</v>
          </cell>
          <cell r="Q453">
            <v>338850126</v>
          </cell>
        </row>
        <row r="454">
          <cell r="B454" t="str">
            <v>SV2026-480</v>
          </cell>
          <cell r="C454" t="str">
            <v>X</v>
          </cell>
          <cell r="D454" t="str">
            <v>Nghiên cứu ảnh hưởng của một số phương pháp sấy đến chất lượng hạt tiêu thu hoạch tại Bà Rịa, TP Hồ Chí Minh</v>
          </cell>
          <cell r="E454" t="str">
            <v>Đào Hà Vy 24116092</v>
          </cell>
          <cell r="F454" t="str">
            <v xml:space="preserve">Đào Hà Vy </v>
          </cell>
          <cell r="G454" t="str">
            <v>Đào tạo tiên tiến</v>
          </cell>
          <cell r="H454" t="str">
            <v>24116092</v>
          </cell>
          <cell r="I454" t="str">
            <v>Trịnh Hoàng Huy 24116033
Lê Trần Hoàng Vy 24116093
Bùi Hiếu Nghĩa 24116051
Nguyễn Võ Thảo My 24116043</v>
          </cell>
          <cell r="J454" t="str">
            <v>Hoàng Văn Chuyển</v>
          </cell>
          <cell r="K454" t="str">
            <v>Khoa đào tạo tiên tiến</v>
          </cell>
          <cell r="L454" t="str">
            <v xml:space="preserve">chuyenhv@ hcmute.edu.vn </v>
          </cell>
          <cell r="M454" t="str">
            <v>01 Báo cáo tổng kết</v>
          </cell>
          <cell r="N454">
            <v>5000000</v>
          </cell>
          <cell r="O454" t="str">
            <v>Năm triệu đồng</v>
          </cell>
          <cell r="P454" t="str">
            <v>24116092@student.hcmute.edu.vn</v>
          </cell>
          <cell r="Q454">
            <v>937829421</v>
          </cell>
        </row>
        <row r="455">
          <cell r="B455" t="str">
            <v>SV2026-481</v>
          </cell>
          <cell r="C455" t="str">
            <v>X</v>
          </cell>
          <cell r="D455" t="str">
            <v>Thiết kế chế tạo bồn tích trữ lạnh vận hành kết hợp hệ thống điều hòa không khí Water Chiller</v>
          </cell>
          <cell r="E455" t="str">
            <v>Đinh Lê Gia Bảo 23151003</v>
          </cell>
          <cell r="F455" t="str">
            <v xml:space="preserve">Đinh Lê Gia Bảo </v>
          </cell>
          <cell r="G455" t="str">
            <v>Đào tạo tiên tiến</v>
          </cell>
          <cell r="H455" t="str">
            <v>23151003</v>
          </cell>
          <cell r="I455" t="str">
            <v>Nguyễn Đình An 23151001    
Phạm Hữu Quốc 23151026
Phạm Anh Tú 23151041</v>
          </cell>
          <cell r="J455" t="str">
            <v xml:space="preserve">Lê Trọng Nghĩa </v>
          </cell>
          <cell r="K455" t="str">
            <v>Khoa Điện - Điện tử</v>
          </cell>
          <cell r="L455" t="str">
            <v xml:space="preserve"> trongnghiaspkt@hcmute.edu.vn </v>
          </cell>
          <cell r="M455" t="str">
            <v>01 Mô hình thực nghiệm 01 Báo cáo tổng kết</v>
          </cell>
          <cell r="N455">
            <v>10000000</v>
          </cell>
          <cell r="O455" t="str">
            <v>Mười triệu đồng</v>
          </cell>
          <cell r="P455" t="str">
            <v>23151003@student.hcmute.edu.vn</v>
          </cell>
          <cell r="Q455">
            <v>398379072</v>
          </cell>
        </row>
        <row r="456">
          <cell r="B456" t="str">
            <v>SV2026-482</v>
          </cell>
          <cell r="C456" t="str">
            <v>X</v>
          </cell>
          <cell r="D456" t="str">
            <v>Nghiên cứu xây dựng hệ thống nhận dạng biển số xe sử dụng YOLOv10 và kỹ thuật xử lý hình ảnh</v>
          </cell>
          <cell r="E456" t="str">
            <v>Nguyễn Tiến Cường 23110007</v>
          </cell>
          <cell r="F456" t="str">
            <v xml:space="preserve">Nguyễn Tiến Cường </v>
          </cell>
          <cell r="G456" t="str">
            <v>Đào tạo tiên tiến</v>
          </cell>
          <cell r="H456" t="str">
            <v>23110007</v>
          </cell>
          <cell r="I456" t="str">
            <v>Nguyễn Ngọc Gia Nguyễn 23110046
Trịnh Hoàng Khang 23110030
Vũ Hoàng Nam 23110042</v>
          </cell>
          <cell r="J456" t="str">
            <v>Trần Quang Khải</v>
          </cell>
          <cell r="K456" t="str">
            <v>Khoa CNTT</v>
          </cell>
          <cell r="L456" t="str">
            <v>khaitq@hcmute.edu.vn</v>
          </cell>
          <cell r="M456" t="str">
            <v>01 Bài báo cáo tổng kết
01 Mã nguồn chương trình nhân diện phương tiện giao thông
01 Chương trình máy tính</v>
          </cell>
          <cell r="N456">
            <v>5000000</v>
          </cell>
          <cell r="O456" t="str">
            <v>Năm triệu đồng</v>
          </cell>
          <cell r="P456" t="str">
            <v>23110007@student.hcmute.edu.vn</v>
          </cell>
          <cell r="Q456">
            <v>786230344</v>
          </cell>
        </row>
        <row r="457">
          <cell r="B457" t="str">
            <v>SV2026-483</v>
          </cell>
          <cell r="C457" t="str">
            <v>X</v>
          </cell>
          <cell r="D457" t="str">
            <v>Study on the Evaluation of the Effects of TIG Welding Parameters on SUS-304 Stainless Steel in the WAAM Process</v>
          </cell>
          <cell r="E457" t="str">
            <v>Trần Minh Nhật 23146022</v>
          </cell>
          <cell r="F457" t="str">
            <v xml:space="preserve">Trần Minh Nhật </v>
          </cell>
          <cell r="G457" t="str">
            <v>Đào tạo tiên tiến</v>
          </cell>
          <cell r="H457" t="str">
            <v>23146022</v>
          </cell>
          <cell r="I457" t="str">
            <v>Trần Minh Phát 23951028</v>
          </cell>
          <cell r="J457" t="str">
            <v>Hoàng Văn Hướng</v>
          </cell>
          <cell r="K457" t="str">
            <v>Khoa CKM</v>
          </cell>
          <cell r="L457" t="str">
            <v>huonghv@hcmute.edu.vn</v>
          </cell>
          <cell r="M457" t="str">
            <v>01 Bài báo đăng trên tạp chí trong nước thuộc ngành được tính điểm 0.25 trở lên trong danh mục Hội đồng GSNN có chỉ số ISBN/ISSN
01 Báo cáo tổng kết</v>
          </cell>
          <cell r="N457">
            <v>10000000</v>
          </cell>
          <cell r="O457" t="str">
            <v>Mười triệu đồng</v>
          </cell>
          <cell r="P457" t="str">
            <v>23146022@student.hcmute.edu.vn</v>
          </cell>
          <cell r="Q457">
            <v>845514789</v>
          </cell>
        </row>
        <row r="458">
          <cell r="B458" t="str">
            <v>SV2026-484</v>
          </cell>
          <cell r="C458" t="str">
            <v>X</v>
          </cell>
          <cell r="D458" t="str">
            <v>Wibot - Robot tự hành vận chuyển nhu yếu phẩm thiết yếu trong khách sạn.</v>
          </cell>
          <cell r="E458" t="str">
            <v>Ngô Gia Huy 22151017</v>
          </cell>
          <cell r="F458" t="str">
            <v xml:space="preserve">Ngô Gia Huy </v>
          </cell>
          <cell r="G458" t="str">
            <v>Đào tạo tiên tiến</v>
          </cell>
          <cell r="H458" t="str">
            <v>22151017</v>
          </cell>
          <cell r="I458" t="str">
            <v>Lê Đình Đức Vinh 22151045</v>
          </cell>
          <cell r="J458" t="str">
            <v xml:space="preserve"> Vũ Văn Phong</v>
          </cell>
          <cell r="K458" t="str">
            <v>Khoa Điện - Điện tử</v>
          </cell>
          <cell r="L458" t="str">
            <v>phongvv@hcmute.edu.vn</v>
          </cell>
          <cell r="M458" t="str">
            <v>01 Chương trình máy tính
01 Báo cáo nghiên cứu</v>
          </cell>
          <cell r="N458">
            <v>5000000</v>
          </cell>
          <cell r="O458" t="str">
            <v>Năm triệu đồng</v>
          </cell>
          <cell r="P458" t="str">
            <v>22151017@student.hcmute.edu.vn</v>
          </cell>
          <cell r="Q458">
            <v>783689675</v>
          </cell>
        </row>
        <row r="459">
          <cell r="B459" t="str">
            <v>SV2026-485</v>
          </cell>
          <cell r="C459" t="str">
            <v>X</v>
          </cell>
          <cell r="D459" t="str">
            <v>Sử dụng học tăng cường (RL) để nâng cao phương pháp cửa sổ động (DWA) cho việc điều hướng Robot di động trong Mujoco</v>
          </cell>
          <cell r="E459" t="str">
            <v>Trịnh Minh Trí 23146039</v>
          </cell>
          <cell r="F459" t="str">
            <v xml:space="preserve">Trịnh Minh Trí </v>
          </cell>
          <cell r="G459" t="str">
            <v>Đào tạo tiên tiến</v>
          </cell>
          <cell r="H459" t="str">
            <v>23146039</v>
          </cell>
          <cell r="I459" t="str">
            <v>Đỗ Trần Quang Hà 23146010
Thượng Trí Tín 23146038
Nguyễn Quang Trí 23151191
Hứa Minh Nhựt 23151154</v>
          </cell>
          <cell r="J459" t="str">
            <v>Trần Đức Thiện</v>
          </cell>
          <cell r="K459" t="str">
            <v>Khoa Điện - Điện tử</v>
          </cell>
          <cell r="L459" t="str">
            <v>thientd@hcmute.edu.vn</v>
          </cell>
          <cell r="M459" t="str">
            <v>01 Bài báo khoa học đăng trên hội thảo quốc tế có chỉ số xuất bản ISBN/ISSN
01 Chương trình máy tính: chương trình điều khiển hoạt động được
01 Báo cáo tổng kết theo đúng quy định, hình thức trình bày của nhà trường</v>
          </cell>
          <cell r="N459">
            <v>10000000</v>
          </cell>
          <cell r="O459" t="str">
            <v>Mười triệu đồng</v>
          </cell>
          <cell r="P459" t="str">
            <v>23146039@student.hcmute.edu.vn</v>
          </cell>
          <cell r="Q459">
            <v>774296961</v>
          </cell>
        </row>
        <row r="460">
          <cell r="B460" t="str">
            <v>SV2026-486</v>
          </cell>
          <cell r="C460" t="str">
            <v>X</v>
          </cell>
          <cell r="D460" t="str">
            <v>Nghiên cứu và Phát triển hệ thống Robot tự hành dưới nước ứng dụng Trí tuệ Nhân tạo để giám sát và nhận diện lỗi cáp quang.</v>
          </cell>
          <cell r="E460" t="str">
            <v>Nguyễn Hoàng Trung Sơn 23151028</v>
          </cell>
          <cell r="F460" t="str">
            <v xml:space="preserve">Nguyễn Hoàng Trung Sơn </v>
          </cell>
          <cell r="G460" t="str">
            <v>Đào tạo tiên tiến</v>
          </cell>
          <cell r="H460" t="str">
            <v>23151028</v>
          </cell>
          <cell r="I460" t="str">
            <v>Trịnh Duy Bách 23151004
Nguyễn Minh Các 23151005
Lê Hoàng Vũ 23151043</v>
          </cell>
          <cell r="J460" t="str">
            <v>Dương Minh Thiện</v>
          </cell>
          <cell r="K460" t="str">
            <v>Khoa Điện - Điện tử</v>
          </cell>
          <cell r="L460" t="str">
            <v>minhthien@hcmute.edu.vn</v>
          </cell>
          <cell r="M460" t="str">
            <v>01 Bài báo (viết bằng tiếng Anh) đăng toàn văn trong kỷ yếu hội thảo quốc tế có chỉ số ISBN/ISSN
01 Báo cáo tổng kết</v>
          </cell>
          <cell r="N460">
            <v>10000000</v>
          </cell>
          <cell r="O460" t="str">
            <v>Mười triệu đồng</v>
          </cell>
          <cell r="P460" t="str">
            <v>23151028@student.hcmute.edu.vn</v>
          </cell>
          <cell r="Q460">
            <v>868682600</v>
          </cell>
        </row>
        <row r="461">
          <cell r="B461" t="str">
            <v>SV2026-487</v>
          </cell>
          <cell r="C461" t="str">
            <v>X</v>
          </cell>
          <cell r="D461" t="str">
            <v>Robot hỗ trợ vận chuyển và giám sát an toàn cho người cao tuổi</v>
          </cell>
          <cell r="E461" t="str">
            <v>Bùi Đức Tân 23151030</v>
          </cell>
          <cell r="F461" t="str">
            <v xml:space="preserve">Bùi Đức Tân </v>
          </cell>
          <cell r="G461" t="str">
            <v>Đào tạo tiên tiến</v>
          </cell>
          <cell r="H461" t="str">
            <v>23151030</v>
          </cell>
          <cell r="I461" t="str">
            <v>Nguyễn Nhật Trường 23151037
Nguyễn Trần Minh Nhựt 23151021</v>
          </cell>
          <cell r="J461" t="str">
            <v>Trần Mạnh Sơn</v>
          </cell>
          <cell r="K461" t="str">
            <v>Khoa Điện - Điện tử</v>
          </cell>
          <cell r="L461" t="str">
            <v>sontm@hcmute.edu.vn</v>
          </cell>
          <cell r="M461" t="str">
            <v>1 Báo cáo tổng kết
1 Mô hình nghiên cứu</v>
          </cell>
          <cell r="N461">
            <v>5000000</v>
          </cell>
          <cell r="O461" t="str">
            <v>Năm triệu đồng</v>
          </cell>
          <cell r="P461" t="str">
            <v>23151030@student.hcmute.edu.vn</v>
          </cell>
          <cell r="Q461">
            <v>908672227</v>
          </cell>
        </row>
        <row r="462">
          <cell r="B462" t="str">
            <v>SV2026-488</v>
          </cell>
          <cell r="C462" t="str">
            <v>X</v>
          </cell>
          <cell r="D462" t="str">
            <v>Tìm kiếm người thất lạc bằng việc sử dụng mô hình tạo sinh ảnh</v>
          </cell>
          <cell r="E462" t="str">
            <v>Nguyễn Quỳnh Như 23110050</v>
          </cell>
          <cell r="F462" t="str">
            <v xml:space="preserve">Nguyễn Quỳnh Như </v>
          </cell>
          <cell r="G462" t="str">
            <v>Đào tạo tiên tiến</v>
          </cell>
          <cell r="H462" t="str">
            <v>23110050</v>
          </cell>
          <cell r="I462" t="str">
            <v>Nguyễn Tịnh Nhân 23110047
Nguyễn Đức Duy 23110009
Đoàn Đức Duy 23110008</v>
          </cell>
          <cell r="J462" t="str">
            <v>Nguyễn Thanh Tuấn</v>
          </cell>
          <cell r="K462" t="str">
            <v>Khoa CNTT</v>
          </cell>
          <cell r="L462" t="str">
            <v>tuannt@hcmute.edu.vn</v>
          </cell>
          <cell r="M462" t="str">
            <v>1 Báo cáo tổng quan tài liệu
1 Mô hình sinh hình ảnh (AI Model)
1 Web/App tìm kiếm người thất lạc
1 Báo cáo tổng kết</v>
          </cell>
          <cell r="N462">
            <v>5000000</v>
          </cell>
          <cell r="O462" t="str">
            <v>Năm triệu đồng</v>
          </cell>
          <cell r="P462" t="str">
            <v>23110050@student.hcmute.edu.vn</v>
          </cell>
          <cell r="Q462">
            <v>933173745</v>
          </cell>
        </row>
        <row r="463">
          <cell r="B463" t="str">
            <v>SV2026-489</v>
          </cell>
          <cell r="C463" t="str">
            <v>X</v>
          </cell>
          <cell r="D463" t="str">
            <v>Nghiên cứu phát triển sản phẩm dù cầm tay sử dụng cơ cấu đàn hồi</v>
          </cell>
          <cell r="E463" t="str">
            <v>Nguyễn Hoàng Quân 23143078</v>
          </cell>
          <cell r="F463" t="str">
            <v xml:space="preserve">Nguyễn Hoàng Quân </v>
          </cell>
          <cell r="G463" t="str">
            <v>Đào tạo tiên tiến</v>
          </cell>
          <cell r="H463" t="str">
            <v>23143078</v>
          </cell>
          <cell r="I463" t="str">
            <v>Lê Trọng Đức 23143055
Nguyễn Cao Anh Tuấn 23143085
Võ Duy Khiêm 22144020</v>
          </cell>
          <cell r="J463" t="str">
            <v>Phạm Huy 
Tuân</v>
          </cell>
          <cell r="K463" t="str">
            <v>Khoa CKM</v>
          </cell>
          <cell r="L463" t="str">
            <v>phtuan@hcmute.edu.vn</v>
          </cell>
          <cell r="M463" t="str">
            <v>01 Báo cáo tổng kết
01 sản phẩm mô hình, thiết bị (không có hợp đồng chuyển giao công nghệ).</v>
          </cell>
          <cell r="N463">
            <v>10000000</v>
          </cell>
          <cell r="O463" t="str">
            <v>Mười triệu đồng</v>
          </cell>
          <cell r="P463" t="str">
            <v>23143078@student.hcmute.edu.vn</v>
          </cell>
          <cell r="Q463">
            <v>368235283</v>
          </cell>
        </row>
        <row r="464">
          <cell r="B464" t="str">
            <v>SV2026-491</v>
          </cell>
          <cell r="C464"/>
          <cell r="D464" t="str">
            <v xml:space="preserve">Nghiên cứu chế tạo thiết bị thu thập nhiệt độ khuôn
</v>
          </cell>
          <cell r="E464" t="str">
            <v>Đào Duy Phong 22143064</v>
          </cell>
          <cell r="F464" t="str">
            <v xml:space="preserve">Đào Duy Phong </v>
          </cell>
          <cell r="G464" t="str">
            <v>Đào tạo tiên tiến</v>
          </cell>
          <cell r="H464" t="str">
            <v>22143064</v>
          </cell>
          <cell r="I464" t="str">
            <v>Nguyễn Vũ Chí Tâm 22143069
Trần Minh Sơn 22143068
Nguyễn Tấn Hải 22143048</v>
          </cell>
          <cell r="J464" t="str">
            <v>Hoàng Văn Hướng</v>
          </cell>
          <cell r="K464" t="str">
            <v>Khoa CKM</v>
          </cell>
          <cell r="L464" t="str">
            <v>huonghv@
hcmute.edu.vn</v>
          </cell>
          <cell r="M464" t="str">
            <v>01 Báo cáo tổng kết
01 bản vẽ lắp DWG
01 mô hình máy đo nhiệt độ khuôn</v>
          </cell>
          <cell r="N464">
            <v>10000000</v>
          </cell>
          <cell r="O464" t="str">
            <v>Mười triệu đồng</v>
          </cell>
          <cell r="P464" t="str">
            <v>22143064@student.hcmute.edu.vn</v>
          </cell>
          <cell r="Q464">
            <v>339709844</v>
          </cell>
        </row>
        <row r="465">
          <cell r="B465" t="str">
            <v>SV2026-492</v>
          </cell>
          <cell r="C465"/>
          <cell r="D465" t="str">
            <v>Nghiên cứu, thiết kế mô hình phun sơn tự động chi tiết thân vỏ ô tô.</v>
          </cell>
          <cell r="E465" t="str">
            <v>Lê Phương Thành 22145065</v>
          </cell>
          <cell r="F465" t="str">
            <v xml:space="preserve">Lê Phương Thành </v>
          </cell>
          <cell r="G465" t="str">
            <v>Đào tạo tiên tiến</v>
          </cell>
          <cell r="H465" t="str">
            <v>22145065</v>
          </cell>
          <cell r="I465" t="str">
            <v>Vũ Đức Thuận 22145074
Bùi Mạc Anh Quân 22145057</v>
          </cell>
          <cell r="J465" t="str">
            <v>Thái Huy Phát</v>
          </cell>
          <cell r="K465" t="str">
            <v>Khoa Giao thông và Năng lượng</v>
          </cell>
          <cell r="L465" t="str">
            <v xml:space="preserve">phatth@hcmute.edu.vn
</v>
          </cell>
          <cell r="M465" t="str">
            <v>01 Mô hình phun sơn tự động
01 Báo cáo tổng kết</v>
          </cell>
          <cell r="N465">
            <v>10000000</v>
          </cell>
          <cell r="O465" t="str">
            <v>Mười triệu đồng</v>
          </cell>
          <cell r="P465" t="str">
            <v xml:space="preserve">22145065@student.hcmute.edu.vn
</v>
          </cell>
          <cell r="Q465" t="str">
            <v>0936831827</v>
          </cell>
        </row>
        <row r="466">
          <cell r="B466" t="str">
            <v>SV2026-493</v>
          </cell>
          <cell r="C466" t="str">
            <v>X</v>
          </cell>
          <cell r="D466" t="str">
            <v xml:space="preserve">Hệ thống giám sát và cảnh báo sự cố dân dụng sử dụng PLC S7-1200 và giao thức Modbus
</v>
          </cell>
          <cell r="E466" t="str">
            <v>Lê Huy Minh 24151052</v>
          </cell>
          <cell r="F466" t="str">
            <v xml:space="preserve">Lê Huy Minh </v>
          </cell>
          <cell r="G466" t="str">
            <v>Đào tạo tiên tiến</v>
          </cell>
          <cell r="H466" t="str">
            <v>24151052</v>
          </cell>
          <cell r="I466" t="str">
            <v>Phạm Thanh Lâm 24151045
Lương Công Tuấn Anh 24151007
Nguyễn Đình Lê Phú An 24151005
Nguyễn Vũ Minh Thái 24151078</v>
          </cell>
          <cell r="J466" t="str">
            <v xml:space="preserve">Tạ Văn Phương
</v>
          </cell>
          <cell r="K466" t="str">
            <v>Khoa đào tạo tiên tiến</v>
          </cell>
          <cell r="L466" t="str">
            <v xml:space="preserve">phuongtv@.hcmute.edu.vn </v>
          </cell>
          <cell r="M466" t="str">
            <v>01 Mô hình hệ thống giám sát và cảnh báo dân dụng dùng PLC S7-1200</v>
          </cell>
          <cell r="N466">
            <v>10000000</v>
          </cell>
          <cell r="O466" t="str">
            <v>Mười triệu đồng</v>
          </cell>
          <cell r="P466" t="str">
            <v xml:space="preserve">24151052@student.hcmute.edu.vn
</v>
          </cell>
          <cell r="Q466" t="str">
            <v xml:space="preserve">0938701206
</v>
          </cell>
        </row>
        <row r="467">
          <cell r="B467" t="str">
            <v>SV2026-494</v>
          </cell>
          <cell r="C467"/>
          <cell r="D467" t="str">
            <v>Ứng dụng thị giác máy tính trong định vị và dẫn đường cho drone.</v>
          </cell>
          <cell r="E467" t="str">
            <v>Nguyễn Thị Thanh Kiều 20142222</v>
          </cell>
          <cell r="F467" t="str">
            <v xml:space="preserve">Nguyễn Thị Thanh Kiều </v>
          </cell>
          <cell r="G467" t="str">
            <v>Đào tạo tiên tiến</v>
          </cell>
          <cell r="H467" t="str">
            <v>20142222</v>
          </cell>
          <cell r="I467">
            <v>0</v>
          </cell>
          <cell r="J467" t="str">
            <v>Phạm Huỳnh Thế</v>
          </cell>
          <cell r="K467" t="str">
            <v>Khoa Điện - Điện tử</v>
          </cell>
          <cell r="L467" t="str">
            <v>theph@hcmute.edu.vn</v>
          </cell>
          <cell r="M467" t="str">
            <v>1 Báo cáo tổng kết
1 Mô hình nghiên cứu</v>
          </cell>
          <cell r="N467">
            <v>5000000</v>
          </cell>
          <cell r="O467" t="str">
            <v>Năm triệu đồng</v>
          </cell>
          <cell r="P467" t="str">
            <v>20142222@student.hcmute.edu.vn</v>
          </cell>
          <cell r="Q467">
            <v>20142222</v>
          </cell>
        </row>
        <row r="468">
          <cell r="B468" t="str">
            <v>SV2026-495</v>
          </cell>
          <cell r="C468"/>
          <cell r="D468" t="str">
            <v>Nghiên cứu chế tạo thiết bị cảnh báo nguy hiểm cho người lái qua điện thoại.</v>
          </cell>
          <cell r="E468" t="str">
            <v>Trần Tú Anh 22145004</v>
          </cell>
          <cell r="F468" t="str">
            <v xml:space="preserve">Trần Tú Anh </v>
          </cell>
          <cell r="G468" t="str">
            <v>Đào tạo tiên tiến</v>
          </cell>
          <cell r="H468" t="str">
            <v>22145004</v>
          </cell>
          <cell r="I468" t="str">
            <v>Lê Hoàng Huy 22145028
Nguyễn Minh Quang 22145056
Phương Quang Thắng 22145065
Phùng Thanh Tâm 22145062</v>
          </cell>
          <cell r="J468" t="str">
            <v>Ngô Quang Thành</v>
          </cell>
          <cell r="K468" t="str">
            <v>Khoa Đào tạo tiên tiến</v>
          </cell>
          <cell r="L468" t="str">
            <v>tungdt@hcmute.edu.vn</v>
          </cell>
          <cell r="M468" t="str">
            <v>01 Thiết bị máy móc
01 Báo cáo tổng kết</v>
          </cell>
          <cell r="N468">
            <v>10000000</v>
          </cell>
          <cell r="O468" t="str">
            <v>Mười triệu đồng</v>
          </cell>
          <cell r="P468" t="str">
            <v>22145004@student.hcmute.edu.vn</v>
          </cell>
          <cell r="Q468">
            <v>327927937</v>
          </cell>
        </row>
        <row r="469">
          <cell r="B469" t="str">
            <v>SV2026-496</v>
          </cell>
          <cell r="C469" t="str">
            <v>X</v>
          </cell>
          <cell r="D469" t="str">
            <v>Phân tích đặc tính động lực học và quy trình kĩ thuật của hệ thống truyền động trên xe điện Vinfast VF9</v>
          </cell>
          <cell r="E469" t="str">
            <v>Huỳnh Quốc Bảo 22145006</v>
          </cell>
          <cell r="F469" t="str">
            <v xml:space="preserve">Huỳnh Quốc Bảo </v>
          </cell>
          <cell r="G469" t="str">
            <v>Đào tạo tiên tiến</v>
          </cell>
          <cell r="H469" t="str">
            <v>22145006</v>
          </cell>
          <cell r="I469" t="str">
            <v xml:space="preserve">Bùi Nguyên Bá Thiên 22145068
Lê Hoàng Hải Đăng 24145101
Trần Khương Đại 24145098
</v>
          </cell>
          <cell r="J469" t="str">
            <v>Dương Tuấn Tùng</v>
          </cell>
          <cell r="K469" t="str">
            <v>Khoa Đào tạo tiên tiến</v>
          </cell>
          <cell r="L469" t="str">
            <v>tungdt@hcmute.edu.vn
thanhnq@hcmute.edu.vn</v>
          </cell>
          <cell r="M469" t="str">
            <v>01 File mô phỏng
01 Báo cáo tổng kết</v>
          </cell>
          <cell r="N469">
            <v>5000000</v>
          </cell>
          <cell r="O469" t="str">
            <v>Năm triệu đồng</v>
          </cell>
          <cell r="P469" t="str">
            <v>22145006@student.hcmute.edu.vn</v>
          </cell>
          <cell r="Q469">
            <v>937990333</v>
          </cell>
        </row>
        <row r="470">
          <cell r="B470" t="str">
            <v>SV2026-497</v>
          </cell>
          <cell r="C470"/>
          <cell r="D470" t="str">
            <v>Thiết kế chế tạo mô hình hệ thống truyền lực ô tô điện</v>
          </cell>
          <cell r="E470" t="str">
            <v>Đoàn Minh Tuyển 22145084</v>
          </cell>
          <cell r="F470" t="str">
            <v xml:space="preserve">Đoàn Minh Tuyển </v>
          </cell>
          <cell r="G470" t="str">
            <v>Đào tạo tiên tiến</v>
          </cell>
          <cell r="H470" t="str">
            <v>22145084</v>
          </cell>
          <cell r="I470" t="str">
            <v>Trần Đức Chính 22145013</v>
          </cell>
          <cell r="J470" t="str">
            <v>Dương Tuấn Tùng</v>
          </cell>
          <cell r="K470" t="str">
            <v>Khoa Đào tạo tiên tiến</v>
          </cell>
          <cell r="L470" t="str">
            <v>tungdt@hcmute.edu.vn</v>
          </cell>
          <cell r="M470" t="str">
            <v>01 Mô hình thực nghiệm
01 Báo cáo tổng kết</v>
          </cell>
          <cell r="N470">
            <v>10000000</v>
          </cell>
          <cell r="O470" t="str">
            <v>Mười triệu đồng</v>
          </cell>
          <cell r="P470" t="str">
            <v>22145084@student.hcmute.edu.vn</v>
          </cell>
          <cell r="Q470" t="str">
            <v>0396040367</v>
          </cell>
        </row>
        <row r="471">
          <cell r="B471" t="str">
            <v>SV2026-498</v>
          </cell>
          <cell r="C471" t="str">
            <v>X</v>
          </cell>
          <cell r="D471" t="str">
            <v>Thiết kế và nâng cấp máy đóng gói tự động</v>
          </cell>
          <cell r="E471" t="str">
            <v>Ngô Tuấn Anh 23142003</v>
          </cell>
          <cell r="F471" t="str">
            <v xml:space="preserve">Ngô Tuấn Anh </v>
          </cell>
          <cell r="G471" t="str">
            <v>Đào tạo tiên tiến</v>
          </cell>
          <cell r="H471" t="str">
            <v>23142003</v>
          </cell>
          <cell r="I471" t="str">
            <v>Trần Mạnh Tú 23142073
Trần Anh Kiên 25151063</v>
          </cell>
          <cell r="J471" t="str">
            <v>Tạ Văn Phương</v>
          </cell>
          <cell r="K471" t="str">
            <v>Khoa Đào tạo tiên tiến</v>
          </cell>
          <cell r="L471" t="str">
            <v>phuongtv@hcmute.edu.vn</v>
          </cell>
          <cell r="M471" t="str">
            <v>1 Báo cáo tổng kết
1 Mô hình nghiên cứu</v>
          </cell>
          <cell r="N471">
            <v>5000000</v>
          </cell>
          <cell r="O471" t="str">
            <v>Mười triệu đồng</v>
          </cell>
          <cell r="P471" t="str">
            <v>23142003@student.hcmute.edu.vn</v>
          </cell>
          <cell r="Q471">
            <v>356393223</v>
          </cell>
        </row>
        <row r="472">
          <cell r="B472" t="str">
            <v>SV2026-499</v>
          </cell>
          <cell r="C472" t="str">
            <v>X</v>
          </cell>
          <cell r="D472" t="str">
            <v>Thiết kế và chế tạo hệ thống chống rung chủ động - thụ động (hybrid) cho camera trên xe lu tự hành</v>
          </cell>
          <cell r="E472" t="str">
            <v>Hoàng Vũ Hà 22145021</v>
          </cell>
          <cell r="F472" t="str">
            <v xml:space="preserve">Hoàng Vũ Hà </v>
          </cell>
          <cell r="G472" t="str">
            <v>Đào tạo tiên tiến</v>
          </cell>
          <cell r="H472" t="str">
            <v>22145021</v>
          </cell>
          <cell r="I472">
            <v>0</v>
          </cell>
          <cell r="J472" t="str">
            <v>Đỗ Văn Dũng</v>
          </cell>
          <cell r="K472" t="str">
            <v>Khoa Đào tạo tiên tiến</v>
          </cell>
          <cell r="L472" t="str">
            <v>dodzung@hcmute.edu.vn</v>
          </cell>
          <cell r="M472" t="str">
            <v>1 nguyên mẫu hệ thống chống rung (có video minh họa),1 phần mềm điều khiển (mã nguồn mở trên GitHub)
1 báo cáo nghiên cứu chi tiết
1 Bài báo khoa học đăng trên tạp chí Journal of Technical Education Science (JTE) trong danh mục của HĐ GSNN tính từ 0,5 điểm trở lên</v>
          </cell>
          <cell r="N472">
            <v>10000000</v>
          </cell>
          <cell r="O472" t="str">
            <v>Mười triệu đồng</v>
          </cell>
          <cell r="P472" t="str">
            <v>22145021@student.hcmute.edu.vn</v>
          </cell>
          <cell r="Q472">
            <v>775716322</v>
          </cell>
        </row>
        <row r="473">
          <cell r="B473" t="str">
            <v>SV2026-500</v>
          </cell>
          <cell r="C473" t="str">
            <v>X</v>
          </cell>
          <cell r="D473" t="str">
            <v>Nghiên cứu bộ biến đổi DC-DC dựa trên kỹ thuật chuyển cuộn dây</v>
          </cell>
          <cell r="E473" t="str">
            <v>Danh Quang Huy 23KT14211</v>
          </cell>
          <cell r="F473" t="str">
            <v xml:space="preserve">Danh Quang Huy </v>
          </cell>
          <cell r="G473" t="str">
            <v>Đào tạo tiên tiến</v>
          </cell>
          <cell r="H473" t="str">
            <v>23KT14211</v>
          </cell>
          <cell r="I473">
            <v>0</v>
          </cell>
          <cell r="J473" t="str">
            <v>Đỗ Đức Trí</v>
          </cell>
          <cell r="K473" t="str">
            <v>Khoa Điện - Điện tử</v>
          </cell>
          <cell r="L473" t="str">
            <v>tridd@hcmute.edu.vn</v>
          </cell>
          <cell r="M473" t="str">
            <v>1 Bài báo đăng trên tạp chí KHGDKT thuộc ngành được tính điểm 0.5 trong danh mục Hội đồng GSNN</v>
          </cell>
          <cell r="N473">
            <v>15000000</v>
          </cell>
          <cell r="O473" t="str">
            <v>Mười lăm triệu đồng</v>
          </cell>
          <cell r="P473" t="str">
            <v>23KT14211@student.hcmute.edu.vn</v>
          </cell>
          <cell r="Q473">
            <v>325851419</v>
          </cell>
        </row>
        <row r="474">
          <cell r="B474" t="str">
            <v>SV2026-501</v>
          </cell>
          <cell r="C474" t="str">
            <v>X</v>
          </cell>
          <cell r="D474" t="str">
            <v>Nghiên cứu và triển khai mô hình Deep Learning cho ước lượng tư thế người 3D (3D Human Pose Estimation)</v>
          </cell>
          <cell r="E474" t="str">
            <v>Nguyễn Phi Long 23110037</v>
          </cell>
          <cell r="F474" t="str">
            <v xml:space="preserve">Nguyễn Phi Long </v>
          </cell>
          <cell r="G474" t="str">
            <v>Đào tạo tiên tiến</v>
          </cell>
          <cell r="H474" t="str">
            <v>23110037</v>
          </cell>
          <cell r="I474" t="str">
            <v>Nguyễn Thành Triệu 23110066
Nguyễn Đức Thắng 23110062
Võ Tuấn Khanh 23110031</v>
          </cell>
          <cell r="J474" t="str">
            <v>Nguyễn Thanh Tuấn</v>
          </cell>
          <cell r="K474" t="str">
            <v>Khoa CNTT</v>
          </cell>
          <cell r="L474" t="str">
            <v>tuannt@hcmute.edu.vn</v>
          </cell>
          <cell r="M474" t="str">
            <v>1 báo cáo nghiên cứu
1 chương trình máy tính (mã nguồn mở trên Github)</v>
          </cell>
          <cell r="N474">
            <v>5000000</v>
          </cell>
          <cell r="O474" t="str">
            <v>Năm triệu đồng</v>
          </cell>
          <cell r="P474" t="str">
            <v>23110037@student.hcmute.edu.vn</v>
          </cell>
          <cell r="Q474">
            <v>363300905</v>
          </cell>
        </row>
        <row r="475">
          <cell r="B475" t="str">
            <v>SV2026-502</v>
          </cell>
          <cell r="C475" t="str">
            <v>X</v>
          </cell>
          <cell r="D475" t="str">
            <v>Thiết kế và chế tạo mô hình xe nâng cẩu hàng đa dụng dùng cơ cấu thủy lực thu nhỏ</v>
          </cell>
          <cell r="E475" t="str">
            <v>Cao Viết Khoa 24143102</v>
          </cell>
          <cell r="F475" t="str">
            <v xml:space="preserve">Cao Viết Khoa </v>
          </cell>
          <cell r="G475" t="str">
            <v>Đào tạo tiên tiến</v>
          </cell>
          <cell r="H475" t="str">
            <v>24143102</v>
          </cell>
          <cell r="I475" t="str">
            <v>Lương Thế Phước 24143132
Lê Huy Hoàng 24143090
Đặng Phạm Nam An 24143060</v>
          </cell>
          <cell r="J475" t="str">
            <v>Võ Xuân Tiến</v>
          </cell>
          <cell r="K475" t="str">
            <v>Khoa CKM</v>
          </cell>
          <cell r="L475" t="str">
            <v>tienvx@hcmute.edu.vn</v>
          </cell>
          <cell r="M475" t="str">
            <v>Báo cáo tổng kết
Các kết quả mô phỏng, tính toán</v>
          </cell>
          <cell r="N475">
            <v>5000000</v>
          </cell>
          <cell r="O475" t="str">
            <v>Năm triệu đồng</v>
          </cell>
          <cell r="P475" t="str">
            <v>24143102@student.hcmute.edu.vn</v>
          </cell>
          <cell r="Q475">
            <v>976903672</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 thông tin"/>
      <sheetName val="nhập thông tin"/>
      <sheetName val="DM Đề tài SV ký HĐ (thay đổi)"/>
      <sheetName val="IN ky"/>
      <sheetName val="TỔNG ĐT CÁC KHOA"/>
      <sheetName val="Sheet1"/>
    </sheetNames>
    <sheetDataSet>
      <sheetData sheetId="0"/>
      <sheetData sheetId="1"/>
      <sheetData sheetId="2">
        <row r="1">
          <cell r="B1" t="str">
            <v>Ma so DT</v>
          </cell>
          <cell r="C1" t="str">
            <v>Che ck</v>
          </cell>
          <cell r="D1" t="str">
            <v>da nhan TM&amp;HD</v>
          </cell>
          <cell r="E1" t="str">
            <v>thay doi</v>
          </cell>
          <cell r="F1" t="str">
            <v>Ten DT</v>
          </cell>
          <cell r="G1" t="str">
            <v>CNDT MSSV</v>
          </cell>
          <cell r="H1" t="str">
            <v>Ten CNDT</v>
          </cell>
          <cell r="I1" t="str">
            <v>Khoa CNDT</v>
          </cell>
          <cell r="J1" t="str">
            <v>MSSV CNDT</v>
          </cell>
          <cell r="K1" t="str">
            <v>TVDT MSSV</v>
          </cell>
          <cell r="L1" t="str">
            <v>GVHD</v>
          </cell>
          <cell r="M1" t="str">
            <v>DVCT GVHD</v>
          </cell>
          <cell r="N1" t="str">
            <v>Email GVHD</v>
          </cell>
          <cell r="O1" t="str">
            <v>Du kien kq dat duoc</v>
          </cell>
        </row>
        <row r="2">
          <cell r="B2" t="str">
            <v>SV2026-01</v>
          </cell>
          <cell r="C2" t="str">
            <v>r</v>
          </cell>
          <cell r="D2" t="str">
            <v>X</v>
          </cell>
          <cell r="E2"/>
          <cell r="F2" t="str">
            <v>Ứng dụng mô hình học sâu đa nguồn trong mô hình chẩn đoán bệnh ung thư</v>
          </cell>
          <cell r="G2" t="str">
            <v>Đặng Cửu Dương 22110124</v>
          </cell>
          <cell r="H2" t="str">
            <v xml:space="preserve">Đặng Cửu Dương </v>
          </cell>
          <cell r="I2" t="str">
            <v>Công nghệ Thông tin</v>
          </cell>
          <cell r="J2" t="str">
            <v>22110124</v>
          </cell>
          <cell r="K2" t="str">
            <v>Lê Thị Mỹ Dung 22110117</v>
          </cell>
          <cell r="L2" t="str">
            <v>Hoàng Văn Dũng</v>
          </cell>
          <cell r="M2" t="str">
            <v>Khoa CNTT</v>
          </cell>
          <cell r="N2" t="str">
            <v>dunghv@hcmute.edu.vn</v>
          </cell>
          <cell r="O2" t="str">
            <v>- Bài báo khoa học đăng trên tạp chí trong nước trong danh mục của HĐ GSNN tính từ 0,5 điểm trở lên
- Chương trình máy tính
- Báo cáo tổng kết</v>
          </cell>
        </row>
        <row r="3">
          <cell r="B3" t="str">
            <v>SV2026-02</v>
          </cell>
          <cell r="C3" t="str">
            <v>r</v>
          </cell>
          <cell r="D3" t="str">
            <v>X</v>
          </cell>
          <cell r="E3" t="str">
            <v>x</v>
          </cell>
          <cell r="F3" t="str">
            <v>Nghiên cứu kỹ thuật học sâu cho bài toán chống giả mạo sinh trắc  học khuôn mặt</v>
          </cell>
          <cell r="G3" t="str">
            <v>Đinh Xuân Huy 23110102</v>
          </cell>
          <cell r="H3" t="str">
            <v xml:space="preserve">Đinh Xuân Huy </v>
          </cell>
          <cell r="I3" t="str">
            <v>Công nghệ Thông tin</v>
          </cell>
          <cell r="J3" t="str">
            <v>23110102</v>
          </cell>
          <cell r="K3" t="str">
            <v>Phùng Lê Thanh Quân 23110145	
Vũ Minh Đức 23110094
Nguyễn Đức Thịnh 23110156</v>
          </cell>
          <cell r="L3" t="str">
            <v>Hoàng Văn Dũng</v>
          </cell>
          <cell r="M3" t="str">
            <v>Khoa CNTT</v>
          </cell>
          <cell r="N3" t="str">
            <v>dunghv@hcmute.edu.vn</v>
          </cell>
          <cell r="O3" t="str">
            <v>- Bài báo khoa học đăng trên tạp chí trong nước trong danh mục của HĐ GSNN tính từ 0,5 điểm trở lên; hoặc bài báo đăng trên tạp chí quốc tế có chỉ số xuất bản ISSN
- Chương trình máy tính. Báo cáo tổng kết</v>
          </cell>
        </row>
        <row r="4">
          <cell r="B4" t="str">
            <v>SV2026-03</v>
          </cell>
          <cell r="C4" t="str">
            <v>r</v>
          </cell>
          <cell r="D4" t="str">
            <v>X</v>
          </cell>
          <cell r="E4"/>
          <cell r="F4" t="str">
            <v>Xây dựng mô hình Reasoning Language Model cho việc giải quyết các bài toán cấp trung học phổ thông</v>
          </cell>
          <cell r="G4" t="str">
            <v>Đinh Văn Sáng 23110302</v>
          </cell>
          <cell r="H4" t="str">
            <v xml:space="preserve">Đinh Văn Sáng </v>
          </cell>
          <cell r="I4" t="str">
            <v>Công nghệ Thông tin</v>
          </cell>
          <cell r="J4" t="str">
            <v>23110302</v>
          </cell>
          <cell r="K4" t="str">
            <v>Thái Quang Huy 23110228
Trần Hồng Quang Lê 23110251</v>
          </cell>
          <cell r="L4" t="str">
            <v>Đoàn Minh Trí</v>
          </cell>
          <cell r="M4" t="str">
            <v>Khoa CNTT</v>
          </cell>
          <cell r="N4" t="str">
            <v>doanminhtri@hcmute.edu.vn</v>
          </cell>
          <cell r="O4" t="str">
            <v>- Bài báo đăng trên hội thảo quốc tế có chỉ số xuất bản ISBN/ISSN
- Trang Web
- Báo cáo tổng kết</v>
          </cell>
        </row>
        <row r="5">
          <cell r="B5" t="str">
            <v>SV2026-04</v>
          </cell>
          <cell r="C5" t="str">
            <v>r (sửa trang 1&amp;2 TM)</v>
          </cell>
          <cell r="D5"/>
          <cell r="E5" t="str">
            <v>x</v>
          </cell>
          <cell r="F5" t="str">
            <v>Nghiên cứu và so sánh hiệu quả của Dense Retrieval và Sparse Retrieval trong mô hình Retrieval Augmented Generation (RAG) ứng dụng xây Chatbot tư vấn chuyên ngành cho sinh viên HCMUTE</v>
          </cell>
          <cell r="G5" t="str">
            <v>Lục Thới Trọng 22110254</v>
          </cell>
          <cell r="H5" t="str">
            <v xml:space="preserve">Lục Thới Trọng </v>
          </cell>
          <cell r="I5" t="str">
            <v>Công nghệ Thông tin</v>
          </cell>
          <cell r="J5" t="str">
            <v>22110254</v>
          </cell>
          <cell r="K5" t="str">
            <v>Bùi Đức Lộc 22110177</v>
          </cell>
          <cell r="L5" t="str">
            <v>Mai Anh Thơ</v>
          </cell>
          <cell r="M5" t="str">
            <v>Khoa CNTT</v>
          </cell>
          <cell r="N5" t="str">
            <v>thoma@hcmute.edu.vn</v>
          </cell>
          <cell r="O5" t="str">
            <v>- Chương trình máy tính
- Báo cáo tổng kết</v>
          </cell>
        </row>
        <row r="6">
          <cell r="B6" t="str">
            <v>SV2026-05</v>
          </cell>
          <cell r="C6" t="str">
            <v>r</v>
          </cell>
          <cell r="D6" t="str">
            <v>X</v>
          </cell>
          <cell r="F6" t="str">
            <v xml:space="preserve">Xây dựng website hỗ trợ thiết kế và chia sẻ lộ trình học tập cho giảng viên </v>
          </cell>
          <cell r="G6" t="str">
            <v>Hà Đăng Quang 22110210</v>
          </cell>
          <cell r="H6" t="str">
            <v xml:space="preserve">Hà Đăng Quang </v>
          </cell>
          <cell r="I6" t="str">
            <v>Công nghệ Thông tin</v>
          </cell>
          <cell r="J6" t="str">
            <v>22110210</v>
          </cell>
          <cell r="K6" t="str">
            <v xml:space="preserve">Cao Thị Xuân Hương 22110156
</v>
          </cell>
          <cell r="L6" t="str">
            <v>Mai Anh Thơ</v>
          </cell>
          <cell r="M6" t="str">
            <v>Khoa CNTT</v>
          </cell>
          <cell r="N6" t="str">
            <v>thoma@hcmute.edu.vn</v>
          </cell>
          <cell r="O6" t="str">
            <v>- Chương trình máy tính
- Báo cáo tổng kết</v>
          </cell>
        </row>
        <row r="7">
          <cell r="B7" t="str">
            <v>SV2026-06</v>
          </cell>
          <cell r="C7" t="str">
            <v>r (in lại trang 1 Tm cho giống danh mục</v>
          </cell>
          <cell r="D7"/>
          <cell r="F7" t="str">
            <v>Xây dựng website hỗ trợ tìm kiếm trung tâm ngoại ngữ tích hợp AI</v>
          </cell>
          <cell r="G7" t="str">
            <v>Trịnh Nhật Anh 23110074</v>
          </cell>
          <cell r="H7" t="str">
            <v xml:space="preserve">Trịnh Nhật Anh </v>
          </cell>
          <cell r="I7" t="str">
            <v>Công nghệ Thông tin</v>
          </cell>
          <cell r="J7" t="str">
            <v>23110074</v>
          </cell>
          <cell r="K7" t="str">
            <v>Tạ Hoàng Đạt 23110090
Vũ Minh Đức 23110094
Trần Minh Huy 23110106</v>
          </cell>
          <cell r="L7" t="str">
            <v>Mai Anh Thơ</v>
          </cell>
          <cell r="M7" t="str">
            <v>Khoa CNTT</v>
          </cell>
          <cell r="N7" t="str">
            <v>thoma@hcmute.edu.vn</v>
          </cell>
          <cell r="O7" t="str">
            <v>- Chương trình máy tính
- Báo cáo tổng kết</v>
          </cell>
        </row>
        <row r="8">
          <cell r="B8" t="str">
            <v>SV2026-07</v>
          </cell>
          <cell r="C8" t="str">
            <v>r</v>
          </cell>
          <cell r="D8" t="str">
            <v>X</v>
          </cell>
          <cell r="E8" t="str">
            <v>x</v>
          </cell>
          <cell r="F8" t="str">
            <v>Xây dựng mô hình lai ghép phân đoạn ngữ nghĩa cho khoanh vùng polyp trong ảnh nội soi đại tràng</v>
          </cell>
          <cell r="G8" t="str">
            <v>Tạ Nghĩa Nhân 22110388</v>
          </cell>
          <cell r="H8" t="str">
            <v xml:space="preserve">Tạ Nghĩa Nhân </v>
          </cell>
          <cell r="I8" t="str">
            <v>Công nghệ Thông tin</v>
          </cell>
          <cell r="J8" t="str">
            <v>22110388</v>
          </cell>
          <cell r="K8" t="str">
            <v>0</v>
          </cell>
          <cell r="L8" t="str">
            <v>Bùi Mạnh Quân</v>
          </cell>
          <cell r="M8" t="str">
            <v>Khoa CNTT</v>
          </cell>
          <cell r="N8" t="str">
            <v>quanbm@hcmute.edu.vn</v>
          </cell>
          <cell r="O8" t="str">
            <v>Bài báo đăng trên tạp chí trong nước, hoặc bài báo đăng trên hội thảo quốc tế có chỉ số ISSN/ISBN hoặc SP.</v>
          </cell>
        </row>
        <row r="9">
          <cell r="B9" t="str">
            <v>SV2026-08</v>
          </cell>
          <cell r="C9" t="str">
            <v>r</v>
          </cell>
          <cell r="D9"/>
          <cell r="E9" t="str">
            <v>x</v>
          </cell>
          <cell r="F9" t="str">
            <v>Phát hiện và phân loại bệnh ở lá cây đu đủ sử dụng mô hình YOLOV11 và CNN</v>
          </cell>
          <cell r="G9" t="str">
            <v>Phạm Đăng Quang 23110143</v>
          </cell>
          <cell r="H9" t="str">
            <v xml:space="preserve">Phạm Đăng Quang </v>
          </cell>
          <cell r="I9" t="str">
            <v>Công nghệ Thông tin</v>
          </cell>
          <cell r="J9" t="str">
            <v>23110143</v>
          </cell>
          <cell r="K9" t="str">
            <v>Lê Quang Sang 23110701 
Vũ Minh Hiếu 23110218</v>
          </cell>
          <cell r="L9" t="str">
            <v>Bùi Mạnh Quân</v>
          </cell>
          <cell r="M9" t="str">
            <v>Khoa CNTT</v>
          </cell>
          <cell r="N9" t="str">
            <v>quanbm@hcmute.edu.vn</v>
          </cell>
          <cell r="O9" t="str">
            <v>- Chương trình máy tính
- Báo cáo tổng kết
-Bài báo toàn văn trong hội thảo khoa học có chỉ số xuất bản ISBN/ISSN</v>
          </cell>
        </row>
        <row r="10">
          <cell r="B10" t="str">
            <v>SV2026-10</v>
          </cell>
          <cell r="C10" t="str">
            <v>r</v>
          </cell>
          <cell r="D10" t="str">
            <v>X</v>
          </cell>
          <cell r="F10" t="str">
            <v>Xây dựng mô phỏng 3D bằng mô hình học sâu</v>
          </cell>
          <cell r="G10" t="str">
            <v>Nguyễn Hoàng Việt Sang 22110221</v>
          </cell>
          <cell r="H10" t="str">
            <v xml:space="preserve">Nguyễn Hoàng Việt Sang </v>
          </cell>
          <cell r="I10" t="str">
            <v>Công nghệ Thông tin</v>
          </cell>
          <cell r="J10" t="str">
            <v>22110221</v>
          </cell>
          <cell r="K10" t="str">
            <v xml:space="preserve">Phan Hoàng An 22110095
Nguyễn Đình Bảo 22110107
</v>
          </cell>
          <cell r="L10" t="str">
            <v>Nguyễn Thành Sơn</v>
          </cell>
          <cell r="M10" t="str">
            <v>Khoa CNTT</v>
          </cell>
          <cell r="N10" t="str">
            <v>sonnt@hcmute.edu.vn</v>
          </cell>
          <cell r="O10" t="str">
            <v>-Báo cáo tổng hợp</v>
          </cell>
        </row>
        <row r="11">
          <cell r="B11" t="str">
            <v>SV2026-11</v>
          </cell>
          <cell r="C11" t="str">
            <v>r</v>
          </cell>
          <cell r="D11" t="str">
            <v>X</v>
          </cell>
          <cell r="F11" t="str">
            <v>Phương pháp so khớp hồ sơ ứng viên và mô tả công việc dựa trên học sâu.</v>
          </cell>
          <cell r="G11" t="str">
            <v>Lê Văn Phát 22110197</v>
          </cell>
          <cell r="H11" t="str">
            <v xml:space="preserve">Lê Văn Phát </v>
          </cell>
          <cell r="I11" t="str">
            <v>Công nghệ Thông tin</v>
          </cell>
          <cell r="J11" t="str">
            <v>22110197</v>
          </cell>
          <cell r="K11" t="str">
            <v>Huỳnh Thanh Duy 22110118
Nguyễn Chí Thanh 22110226</v>
          </cell>
          <cell r="L11" t="str">
            <v>Lê Văn Vinh</v>
          </cell>
          <cell r="M11" t="str">
            <v>Khoa CNTT</v>
          </cell>
          <cell r="N11" t="str">
            <v>vinhlv@hcmute.edu.vn</v>
          </cell>
          <cell r="O11" t="str">
            <v>-Bài báo đặng trên tạp chí trong nước, hoặc đăng toàn văn trong kỷ yếu hội nghị, hội thảo có chỉ số ISSN/ISBN
-Mã nguồn chương trình Resume-Job Matching. Báo cáo tổng kết</v>
          </cell>
        </row>
        <row r="12">
          <cell r="B12" t="str">
            <v>SV2026-12</v>
          </cell>
          <cell r="C12" t="str">
            <v>r</v>
          </cell>
          <cell r="D12" t="str">
            <v>X</v>
          </cell>
          <cell r="F12" t="str">
            <v>Hệ thống kiểm thử xâm nhập cho ứng dụng Web sử dụng AI Agent</v>
          </cell>
          <cell r="G12" t="str">
            <v>Nguyễn Thắng Lợi 22162023</v>
          </cell>
          <cell r="H12" t="str">
            <v xml:space="preserve">Nguyễn Thắng Lợi </v>
          </cell>
          <cell r="I12" t="str">
            <v>Công nghệ Thông tin</v>
          </cell>
          <cell r="J12" t="str">
            <v>22162023</v>
          </cell>
          <cell r="K12" t="str">
            <v>Nguyễn Lưu Gia Bảo 22162005</v>
          </cell>
          <cell r="L12" t="str">
            <v>Nguyễn Thị Thanh Vân</v>
          </cell>
          <cell r="M12" t="str">
            <v>Khoa CNTT</v>
          </cell>
          <cell r="N12" t="str">
            <v>vanntth@hcmute.edu.vn</v>
          </cell>
          <cell r="O12" t="str">
            <v>-Mã nguồn của hệ thống kiểm thử xâm nhập
-Báo cáo tổng kết</v>
          </cell>
        </row>
        <row r="13">
          <cell r="B13" t="str">
            <v>SV2026-13</v>
          </cell>
          <cell r="C13" t="str">
            <v>r</v>
          </cell>
          <cell r="D13"/>
          <cell r="E13"/>
          <cell r="F13" t="str">
            <v xml:space="preserve">Xây dựng công cụ phân tích mã độc Hybrid (kết hợp tĩnh và động) có sử dụng AI </v>
          </cell>
          <cell r="G13" t="str">
            <v xml:space="preserve">Nguyễn Hoàng Gia Huy 24162046
</v>
          </cell>
          <cell r="H13" t="str">
            <v>Nguyễn Hoàng Gia Huy 2</v>
          </cell>
          <cell r="I13" t="str">
            <v>Công nghệ Thông tin</v>
          </cell>
          <cell r="J13" t="str">
            <v xml:space="preserve">4162046
</v>
          </cell>
          <cell r="K13" t="str">
            <v xml:space="preserve">Trần Đình Đan Trường 24162135
Nguyễn Đăng Khoa 24162063
Lý Văn Hữu Hòa 24162038
</v>
          </cell>
          <cell r="L13" t="str">
            <v>Nguyễn Thị Thanh Vân</v>
          </cell>
          <cell r="M13" t="str">
            <v>Khoa CNTT</v>
          </cell>
          <cell r="N13" t="str">
            <v>vanntth@hcmute.edu.vn</v>
          </cell>
          <cell r="O13" t="str">
            <v>-Công cụ phân tích mã độc hybrid (GUI + backend)
-Báo cáo khoa học</v>
          </cell>
        </row>
        <row r="14">
          <cell r="B14" t="str">
            <v>SV2026-14</v>
          </cell>
          <cell r="C14" t="str">
            <v>r</v>
          </cell>
          <cell r="D14" t="str">
            <v>X</v>
          </cell>
          <cell r="E14"/>
          <cell r="F14" t="str">
            <v>Kỹ thuật dịch ngược và ứng dụng trong phát hiện mã độc</v>
          </cell>
          <cell r="G14" t="str">
            <v>Đinh Thiên Bảo 24162009</v>
          </cell>
          <cell r="H14" t="str">
            <v xml:space="preserve">Đinh Thiên Bảo </v>
          </cell>
          <cell r="I14" t="str">
            <v>Công nghệ Thông tin</v>
          </cell>
          <cell r="J14" t="str">
            <v>24162009</v>
          </cell>
          <cell r="K14" t="str">
            <v>Ngô Quang Đạt  24162020   
Tạ Thượng Thanh 24162116</v>
          </cell>
          <cell r="L14" t="str">
            <v>Nguyễn Thị Thanh Vân</v>
          </cell>
          <cell r="M14" t="str">
            <v>Khoa CNTT</v>
          </cell>
          <cell r="N14" t="str">
            <v>vanntth@hcmute.edu.vn</v>
          </cell>
          <cell r="O14" t="str">
            <v>-Công cụ phân tích và hiển thị hành vi Malware có ứng dụng kĩ thuật dịch ngược
-Báo cáo phân tích</v>
          </cell>
        </row>
        <row r="15">
          <cell r="B15" t="str">
            <v>SV2026-15</v>
          </cell>
          <cell r="C15" t="str">
            <v>r</v>
          </cell>
          <cell r="D15" t="str">
            <v>X</v>
          </cell>
          <cell r="E15"/>
          <cell r="F15" t="str">
            <v>Phát hiện các tấn công web XSS và SQL Injection bị che giấu payload dựa trên mô hình học sâu</v>
          </cell>
          <cell r="G15" t="str">
            <v>Dương Đình Ngọc Khang 23162036</v>
          </cell>
          <cell r="H15" t="str">
            <v xml:space="preserve">Dương Đình Ngọc Khang </v>
          </cell>
          <cell r="I15" t="str">
            <v>Công nghệ Thông tin</v>
          </cell>
          <cell r="J15" t="str">
            <v>23162036</v>
          </cell>
          <cell r="K15" t="str">
            <v xml:space="preserve">Đỗ Đoàn Duy Hoàng 23162025
Trần Nguyễn Nhật Huy 23162031
Võ Minh Khang 23162041
</v>
          </cell>
          <cell r="L15" t="str">
            <v>Nguyễn Thị Thanh Vân</v>
          </cell>
          <cell r="M15" t="str">
            <v>Khoa CNTT</v>
          </cell>
          <cell r="N15" t="str">
            <v>vanntth@hcmute.edu.vn</v>
          </cell>
          <cell r="O15" t="str">
            <v>-Chương trình phát hiện tấn công XSS và SQL Injection sử dụng mô hình học sâu.
-Báo cáo tổng kết</v>
          </cell>
        </row>
        <row r="16">
          <cell r="B16" t="str">
            <v>SV2026-17</v>
          </cell>
          <cell r="C16" t="str">
            <v>r</v>
          </cell>
          <cell r="D16" t="str">
            <v>X</v>
          </cell>
          <cell r="E16" t="str">
            <v>x</v>
          </cell>
          <cell r="F16" t="str">
            <v>Nghiên cứu và xây dựng hệ thống quản lý cơ sở y tế tích hợp AI.</v>
          </cell>
          <cell r="G16" t="str">
            <v>Nguyễn Trung Hiếu 22110138</v>
          </cell>
          <cell r="H16" t="str">
            <v xml:space="preserve">Nguyễn Trung Hiếu </v>
          </cell>
          <cell r="I16" t="str">
            <v>Công nghệ Thông tin</v>
          </cell>
          <cell r="J16" t="str">
            <v>22110138</v>
          </cell>
          <cell r="K16" t="str">
            <v>0</v>
          </cell>
          <cell r="L16" t="str">
            <v>Phan Thị Huyền Trang</v>
          </cell>
          <cell r="M16" t="str">
            <v>Khoa CNTT</v>
          </cell>
          <cell r="N16" t="str">
            <v>trangpth@hcmute.edu.vn</v>
          </cell>
          <cell r="O16" t="str">
            <v>- Chương trình máy tính
- Báo cáo tổng kết</v>
          </cell>
        </row>
        <row r="17">
          <cell r="B17" t="str">
            <v>SV2026-18</v>
          </cell>
          <cell r="C17" t="str">
            <v>r</v>
          </cell>
          <cell r="D17" t="str">
            <v>X</v>
          </cell>
          <cell r="E17"/>
          <cell r="F17" t="str">
            <v>Xây dựng hệ thống AI hỗ trợ chẩn đoán bệnh đường tiêu hóa thông qua video nội soi</v>
          </cell>
          <cell r="G17" t="str">
            <v>Phan Phúc Hảo 22110134</v>
          </cell>
          <cell r="H17" t="str">
            <v xml:space="preserve">Phan Phúc Hảo </v>
          </cell>
          <cell r="I17" t="str">
            <v>Công nghệ Thông tin</v>
          </cell>
          <cell r="J17" t="str">
            <v>22110134</v>
          </cell>
          <cell r="K17" t="str">
            <v>0</v>
          </cell>
          <cell r="L17" t="str">
            <v>Phan Thị Huyền Trang</v>
          </cell>
          <cell r="M17" t="str">
            <v>Khoa CNTT</v>
          </cell>
          <cell r="N17" t="str">
            <v>trangpth@hcmute.edu.vn</v>
          </cell>
          <cell r="O17" t="str">
            <v>- Chương trình máy tính
- Báo cáo tổng kết</v>
          </cell>
        </row>
        <row r="18">
          <cell r="B18" t="str">
            <v>SV2026-19</v>
          </cell>
          <cell r="C18" t="str">
            <v>r</v>
          </cell>
          <cell r="D18" t="str">
            <v>X</v>
          </cell>
          <cell r="E18"/>
          <cell r="F18" t="str">
            <v>Xây dựng hệ thống hỗ trợ luyện phát âm  tiếng Việt sử dụng mô hình AI</v>
          </cell>
          <cell r="G18" t="str">
            <v>Trần Như Quỳnh 22110218</v>
          </cell>
          <cell r="H18" t="str">
            <v xml:space="preserve">Trần Như Quỳnh </v>
          </cell>
          <cell r="I18" t="str">
            <v>Công nghệ Thông tin</v>
          </cell>
          <cell r="J18" t="str">
            <v>22110218</v>
          </cell>
          <cell r="K18" t="str">
            <v>Bùi Lê Đông Quân 22110213</v>
          </cell>
          <cell r="L18" t="str">
            <v>Phan Thị Huyền Trang</v>
          </cell>
          <cell r="M18" t="str">
            <v>Khoa CNTT</v>
          </cell>
          <cell r="N18" t="str">
            <v>trangpth@hcmute.edu.vn</v>
          </cell>
          <cell r="O18" t="str">
            <v>- Chương trình máy tính
- Báo cáo tổng kết</v>
          </cell>
        </row>
        <row r="19">
          <cell r="B19" t="str">
            <v>SV2026-20</v>
          </cell>
          <cell r="C19" t="str">
            <v>r (thay trang 1&amp;2 của TM vì tên TA thiếu)</v>
          </cell>
          <cell r="D19" t="str">
            <v>X</v>
          </cell>
          <cell r="E19"/>
          <cell r="F19" t="str">
            <v>Ứng dụng mô hình Llama (Large Language Model Meta AI) vào xây dựng hệ thống tư vấn y tế</v>
          </cell>
          <cell r="G19" t="str">
            <v>Cao Nguyễn Thành An 21110116</v>
          </cell>
          <cell r="H19" t="str">
            <v xml:space="preserve">Cao Nguyễn Thành An </v>
          </cell>
          <cell r="I19" t="str">
            <v>Công nghệ Thông tin</v>
          </cell>
          <cell r="J19" t="str">
            <v>21110116</v>
          </cell>
          <cell r="K19" t="str">
            <v>Cao Thọ Phú Thịnh 21144449
Trịnh Ngọc Anh Tuyên 21110860</v>
          </cell>
          <cell r="L19" t="str">
            <v>Phan Thị Huyền Trang</v>
          </cell>
          <cell r="M19" t="str">
            <v>Khoa CNTT</v>
          </cell>
          <cell r="N19" t="str">
            <v>trangpth@hcmute.edu.vn</v>
          </cell>
          <cell r="O19" t="str">
            <v>- Chương trình máy tính
- Báo cáo tổng kết</v>
          </cell>
        </row>
        <row r="20">
          <cell r="B20" t="str">
            <v>SV2026-21</v>
          </cell>
          <cell r="C20" t="str">
            <v>r</v>
          </cell>
          <cell r="D20" t="str">
            <v>X</v>
          </cell>
          <cell r="E20" t="str">
            <v>x</v>
          </cell>
          <cell r="F20" t="str">
            <v>Đề xuất mô hình phân đoạn ngữ nghĩa trong truyền thông ngữ nghĩa</v>
          </cell>
          <cell r="G20" t="str">
            <v>Nguyễn Phúc Bảo 22110285</v>
          </cell>
          <cell r="H20" t="str">
            <v xml:space="preserve">Nguyễn Phúc Bảo </v>
          </cell>
          <cell r="I20" t="str">
            <v>Công nghệ Thông tin</v>
          </cell>
          <cell r="J20" t="str">
            <v>22110285</v>
          </cell>
          <cell r="K20" t="str">
            <v xml:space="preserve">Nguyễn Quang Thành 22110417	</v>
          </cell>
          <cell r="L20" t="str">
            <v>Nguyễn Thủy An</v>
          </cell>
          <cell r="M20" t="str">
            <v>Khoa CNTT</v>
          </cell>
          <cell r="N20" t="str">
            <v>thuyan@hcmute.edu.vn</v>
          </cell>
          <cell r="O20" t="str">
            <v>-Báo cáo tổng kết, chương trình máy tính, bài báo khoa học đăng trên hội thảo quốc tế có chỉ số ISSN/ISBN</v>
          </cell>
        </row>
        <row r="21">
          <cell r="B21" t="str">
            <v>SV2026-22</v>
          </cell>
          <cell r="C21" t="str">
            <v>r</v>
          </cell>
          <cell r="D21" t="str">
            <v>X</v>
          </cell>
          <cell r="E21"/>
          <cell r="F21" t="str">
            <v xml:space="preserve">Xây dựng Website kết nối và tổ chức hoạt động cầu lông dùng model AI để hỗ trợ. </v>
          </cell>
          <cell r="G21" t="str">
            <v>Huỳnh Việt Đan 22110306</v>
          </cell>
          <cell r="H21" t="str">
            <v xml:space="preserve">Huỳnh Việt Đan </v>
          </cell>
          <cell r="I21" t="str">
            <v>Công nghệ Thông tin</v>
          </cell>
          <cell r="J21" t="str">
            <v>22110306</v>
          </cell>
          <cell r="K21" t="str">
            <v>Nguyễn Phan Minh Trí 22110443</v>
          </cell>
          <cell r="L21" t="str">
            <v>Nguyễn Thủy An</v>
          </cell>
          <cell r="M21" t="str">
            <v>Khoa CNTT</v>
          </cell>
          <cell r="N21" t="str">
            <v>thuyan@hcmute.edu.vn</v>
          </cell>
          <cell r="O21" t="str">
            <v>-Báo cáo tổng kết, chương trình máy tính</v>
          </cell>
        </row>
        <row r="22">
          <cell r="B22" t="str">
            <v>SV2026-23</v>
          </cell>
          <cell r="C22" t="str">
            <v>r</v>
          </cell>
          <cell r="D22" t="str">
            <v>X</v>
          </cell>
          <cell r="E22"/>
          <cell r="F22" t="str">
            <v>Nghiên cứu và phát triển hệ thống luyện tập lập trình trực tuyến ứng dụng trí tuệ nhân tạo</v>
          </cell>
          <cell r="G22" t="str">
            <v>Trần Trọng Nghĩa 22110380</v>
          </cell>
          <cell r="H22" t="str">
            <v xml:space="preserve">Trần Trọng Nghĩa </v>
          </cell>
          <cell r="I22" t="str">
            <v>Công nghệ Thông tin</v>
          </cell>
          <cell r="J22" t="str">
            <v>22110380</v>
          </cell>
          <cell r="K22" t="str">
            <v>Hồ Vũ Thanh Bình 22110287</v>
          </cell>
          <cell r="L22" t="str">
            <v>Vũ Đình Bảo</v>
          </cell>
          <cell r="M22" t="str">
            <v>Khoa CNTT</v>
          </cell>
          <cell r="N22" t="str">
            <v>baovd@hcmute.edu.vn</v>
          </cell>
          <cell r="O22" t="str">
            <v>-Chương trình máy tính hỗ trợ luyện tập lập trình
-Báo cáo tổng kết</v>
          </cell>
        </row>
        <row r="23">
          <cell r="B23" t="str">
            <v>SV2026-24</v>
          </cell>
          <cell r="C23" t="str">
            <v>r</v>
          </cell>
          <cell r="D23" t="str">
            <v>X</v>
          </cell>
          <cell r="E23"/>
          <cell r="F23" t="str">
            <v>Xây dựng webisite học tiếng Anh đa kỹ năng tích hợp AI AleanG</v>
          </cell>
          <cell r="G23" t="str">
            <v>Trần Phan Tiến Anh 22110103</v>
          </cell>
          <cell r="H23" t="str">
            <v xml:space="preserve">Trần Phan Tiến Anh </v>
          </cell>
          <cell r="I23" t="str">
            <v>Công nghệ Thông tin</v>
          </cell>
          <cell r="J23" t="str">
            <v>22110103</v>
          </cell>
          <cell r="K23" t="str">
            <v>Phan Hùng Anh 22110102
Dương Đình Vũ 22110269</v>
          </cell>
          <cell r="L23" t="str">
            <v>Nguyễn Hữu Trung</v>
          </cell>
          <cell r="M23" t="str">
            <v>Khoa CNTT</v>
          </cell>
          <cell r="N23" t="str">
            <v>trungnh@hcmute.edu.vn</v>
          </cell>
          <cell r="O23" t="str">
            <v>-Mã nguồn chương trình
-Báo cáo tổng kết</v>
          </cell>
        </row>
        <row r="24">
          <cell r="B24" t="str">
            <v>SV2026-25</v>
          </cell>
          <cell r="C24" t="str">
            <v>r</v>
          </cell>
          <cell r="D24"/>
          <cell r="E24"/>
          <cell r="F24" t="str">
            <v>Bảo mật dữ liệu trên Web3 với công nghệ Blockchain</v>
          </cell>
          <cell r="G24" t="str">
            <v>Lê Quang Minh 24162072</v>
          </cell>
          <cell r="H24" t="str">
            <v xml:space="preserve">Lê Quang Minh </v>
          </cell>
          <cell r="I24" t="str">
            <v>Công nghệ Thông tin</v>
          </cell>
          <cell r="J24" t="str">
            <v>24162072</v>
          </cell>
          <cell r="K24" t="str">
            <v>Trần Quốc Trường 24162136
Nguyễn Minh Thiện 24162120</v>
          </cell>
          <cell r="L24" t="str">
            <v>Lê Thị Minh Châu</v>
          </cell>
          <cell r="M24" t="str">
            <v>Khoa CNTT</v>
          </cell>
          <cell r="N24" t="str">
            <v>chaultm@hcmute.edu.vn</v>
          </cell>
          <cell r="O24" t="str">
            <v>-Chương trình máy tính
-Báo cáo tổng kết</v>
          </cell>
        </row>
        <row r="25">
          <cell r="B25" t="str">
            <v>SV2026-26</v>
          </cell>
          <cell r="C25" t="str">
            <v>r</v>
          </cell>
          <cell r="D25" t="str">
            <v>X</v>
          </cell>
          <cell r="E25"/>
          <cell r="F25" t="str">
            <v>Improving the Efficiency of Spatial Attention in Bottleneck Attention Modules with Depthwise Convolution</v>
          </cell>
          <cell r="G25" t="str">
            <v>Mai Quốc Thái 23133071</v>
          </cell>
          <cell r="H25" t="str">
            <v xml:space="preserve">Mai Quốc Thái </v>
          </cell>
          <cell r="I25" t="str">
            <v>Công nghệ Thông tin</v>
          </cell>
          <cell r="J25" t="str">
            <v>23133071</v>
          </cell>
          <cell r="K25" t="str">
            <v>0</v>
          </cell>
          <cell r="L25" t="str">
            <v>Phan Thị Thể</v>
          </cell>
          <cell r="M25" t="str">
            <v>Khoa CNTT</v>
          </cell>
          <cell r="N25" t="str">
            <v>thept@hcmute.edu.vn</v>
          </cell>
          <cell r="O25" t="str">
            <v>- Bài báo khoa học đăng toàn văn trong kỷ yếu hội nghị, hội thảo có chỉ số ISSN/ISBN
- Chương trình máy tính
- Báo cáo tổng kết</v>
          </cell>
        </row>
        <row r="26">
          <cell r="B26" t="str">
            <v>SV2026-27</v>
          </cell>
          <cell r="C26" t="str">
            <v>r</v>
          </cell>
          <cell r="D26" t="str">
            <v>X</v>
          </cell>
          <cell r="F26" t="str">
            <v>Nghiên cứu và xây dựng Lakehouse kết hợp Framework Quản lý chất lượng dữ liệu trong lĩnh vực tài chính</v>
          </cell>
          <cell r="G26" t="str">
            <v>Lâm Hoài Kim Ngân 22133036</v>
          </cell>
          <cell r="H26" t="str">
            <v xml:space="preserve">Lâm Hoài Kim Ngân </v>
          </cell>
          <cell r="I26" t="str">
            <v>Công nghệ Thông tin</v>
          </cell>
          <cell r="J26" t="str">
            <v>22133036</v>
          </cell>
          <cell r="K26" t="str">
            <v>Lê Hoàng Anh Duy 22133008</v>
          </cell>
          <cell r="L26" t="str">
            <v>Phan Thị Thể</v>
          </cell>
          <cell r="M26" t="str">
            <v>Khoa CNTT</v>
          </cell>
          <cell r="N26" t="str">
            <v>thept@hcmute.edu.vn</v>
          </cell>
          <cell r="O26" t="str">
            <v>- Bài báo khoa học: Bài báo khoa học đăng trên tạp chí trong nước, hoặc đăng toàn văn trong kỷ yếu hội nghị, hội thảo có chỉ số ISSN/ISBN
- Chương trình máy tính
- Báo cáo tổng kết</v>
          </cell>
        </row>
        <row r="27">
          <cell r="B27" t="str">
            <v>SV2026-28</v>
          </cell>
          <cell r="C27" t="str">
            <v>r</v>
          </cell>
          <cell r="D27" t="str">
            <v>X</v>
          </cell>
          <cell r="E27"/>
          <cell r="F27" t="str">
            <v>Xây dựng chatbot tư vấn thuốc thông minh tích hợp gợi ý liều lượng cá nhân hóa và cảnh báo tương tác giữa các thuốc</v>
          </cell>
          <cell r="G27" t="str">
            <v>Phan Thiên Phúc 22110203</v>
          </cell>
          <cell r="H27" t="str">
            <v xml:space="preserve">Phan Thiên Phúc </v>
          </cell>
          <cell r="I27" t="str">
            <v>Công nghệ Thông tin</v>
          </cell>
          <cell r="J27" t="str">
            <v>22110203</v>
          </cell>
          <cell r="K27" t="str">
            <v xml:space="preserve"> Trương Nguyễn Tuấn Kiệt 22110171</v>
          </cell>
          <cell r="L27" t="str">
            <v>Phan Thị Thể</v>
          </cell>
          <cell r="M27" t="str">
            <v>Khoa CNTT</v>
          </cell>
          <cell r="N27" t="str">
            <v>thept@hcmute.edu.vn</v>
          </cell>
          <cell r="O27" t="str">
            <v>- Chương trình máy tính
- Báo cáo tổng kết</v>
          </cell>
        </row>
        <row r="28">
          <cell r="B28" t="str">
            <v>SV2026-29</v>
          </cell>
          <cell r="C28" t="str">
            <v>r</v>
          </cell>
          <cell r="D28" t="str">
            <v>X</v>
          </cell>
          <cell r="F28" t="str">
            <v>Xây dựng hệ thống gợi ý lai hai tầng Retrieval và Ranking trong Thương mại Điện tử</v>
          </cell>
          <cell r="G28" t="str">
            <v>Nguyễn Võ Cát Tường 22110263</v>
          </cell>
          <cell r="H28" t="str">
            <v xml:space="preserve">Nguyễn Võ Cát Tường </v>
          </cell>
          <cell r="I28" t="str">
            <v>Công nghệ Thông tin</v>
          </cell>
          <cell r="J28" t="str">
            <v>22110263</v>
          </cell>
          <cell r="K28" t="str">
            <v>Nguyễn Ngọc Hân 22110135
Nguyễn Thanh Hiền 22110137</v>
          </cell>
          <cell r="L28" t="str">
            <v>Phan Thị Thể</v>
          </cell>
          <cell r="M28" t="str">
            <v>Khoa CNTT</v>
          </cell>
          <cell r="N28" t="str">
            <v>thept@hcmute.edu.vn</v>
          </cell>
          <cell r="O28" t="str">
            <v>- Chương trình máy tính
- Báo cáo tổng kết</v>
          </cell>
        </row>
        <row r="29">
          <cell r="B29" t="str">
            <v>SV2026-30</v>
          </cell>
          <cell r="C29" t="str">
            <v>r</v>
          </cell>
          <cell r="D29" t="str">
            <v>X</v>
          </cell>
          <cell r="F29" t="str">
            <v>Hệ thống gợi ý sản phẩm điện tử kết hợp autoencoder, neural collaborative filtering và multilayer perceptron (hybrid deep learning recommender system)</v>
          </cell>
          <cell r="G29" t="str">
            <v>Nguyễn Mai Thiên Quí 22110216</v>
          </cell>
          <cell r="H29" t="str">
            <v xml:space="preserve">Nguyễn Mai Thiên Quí </v>
          </cell>
          <cell r="I29" t="str">
            <v>Công nghệ Thông tin</v>
          </cell>
          <cell r="J29" t="str">
            <v>22110216</v>
          </cell>
          <cell r="K29" t="str">
            <v>Võ Thành Duy 22110120
Nguyễn Ngọc Hải Anh 22110098
Nguyễn Lê Quang Trường 22110258
Phan Thanh Thiện 22110234</v>
          </cell>
          <cell r="L29" t="str">
            <v>Trần Quang Khải</v>
          </cell>
          <cell r="M29" t="str">
            <v>Khoa CNTT</v>
          </cell>
          <cell r="N29" t="str">
            <v>khaitq@hcmute.edu.vn</v>
          </cell>
          <cell r="O29" t="str">
            <v>- Chương trình máy tính
- Báo cáo tổng kết</v>
          </cell>
        </row>
        <row r="30">
          <cell r="B30" t="str">
            <v>SV2026-31</v>
          </cell>
          <cell r="C30" t="str">
            <v>r</v>
          </cell>
          <cell r="D30"/>
          <cell r="E30"/>
          <cell r="F30" t="str">
            <v>Hệ thống thi trực tuyến tích hợp AI đánh giá và chấm điểm</v>
          </cell>
          <cell r="G30" t="str">
            <v>Lê Nguyên Thiên Phúc 22110201</v>
          </cell>
          <cell r="H30" t="str">
            <v xml:space="preserve">Lê Nguyên Thiên Phúc </v>
          </cell>
          <cell r="I30" t="str">
            <v>Công nghệ Thông tin</v>
          </cell>
          <cell r="J30" t="str">
            <v>22110201</v>
          </cell>
          <cell r="K30" t="str">
            <v>Nguyễn Đặng Đăng Nhựt 22110195
 Hồ Vũ Anh 22110097
Trương Thành Tiến 22110245</v>
          </cell>
          <cell r="L30" t="str">
            <v>Lê Vĩnh Thịnh</v>
          </cell>
          <cell r="M30" t="str">
            <v>Khoa CNTT</v>
          </cell>
          <cell r="N30" t="str">
            <v>thinhlv@hcmute.edu.vn</v>
          </cell>
          <cell r="O30" t="str">
            <v>- Chương trình máy tính
- Báo cáo tổng kết</v>
          </cell>
        </row>
        <row r="31">
          <cell r="B31" t="str">
            <v>SV2026-32</v>
          </cell>
          <cell r="C31" t="str">
            <v>r</v>
          </cell>
          <cell r="D31" t="str">
            <v>X</v>
          </cell>
          <cell r="F31" t="str">
            <v>QuickQuiz: Learn anything fast with AI assistant: Ứng dụng AI hỗ trợ trong học tập</v>
          </cell>
          <cell r="G31" t="str">
            <v>Phan Văn Quân 22110214</v>
          </cell>
          <cell r="H31" t="str">
            <v xml:space="preserve">Phan Văn Quân </v>
          </cell>
          <cell r="I31" t="str">
            <v>Công nghệ Thông tin</v>
          </cell>
          <cell r="J31" t="str">
            <v>22110214</v>
          </cell>
          <cell r="K31" t="str">
            <v>Trịnh Hửu Thọ 22110238</v>
          </cell>
          <cell r="L31" t="str">
            <v>Lê Vĩnh Thịnh</v>
          </cell>
          <cell r="M31" t="str">
            <v>Khoa CNTT</v>
          </cell>
          <cell r="N31" t="str">
            <v>thinhlv@hcmute.edu.vn</v>
          </cell>
          <cell r="O31" t="str">
            <v>-Bài báo khoa học đăng trên tạp chí trong nước, hoặc đăng toàn văn trong kỷ yếu hội nghị, hội thảo có chỉ số ISSN/ISBN
-Báo cáo tổng kết</v>
          </cell>
        </row>
        <row r="32">
          <cell r="B32" t="str">
            <v>SV2026-33</v>
          </cell>
          <cell r="C32" t="str">
            <v xml:space="preserve">r </v>
          </cell>
          <cell r="D32" t="str">
            <v>X</v>
          </cell>
          <cell r="F32" t="str">
            <v>Nghiên cứu cải thiện hiệu suất phân tích cảm xúc theo khía cạnh trong tiếng Việt</v>
          </cell>
          <cell r="G32" t="str">
            <v>Trần Công Toản 22110248</v>
          </cell>
          <cell r="H32" t="str">
            <v xml:space="preserve">Trần Công Toản </v>
          </cell>
          <cell r="I32" t="str">
            <v>Công nghệ Thông tin</v>
          </cell>
          <cell r="J32" t="str">
            <v>22110248</v>
          </cell>
          <cell r="K32" t="str">
            <v>0</v>
          </cell>
          <cell r="L32" t="str">
            <v>Lê Vĩnh Thịnh</v>
          </cell>
          <cell r="M32" t="str">
            <v>Khoa CNTT</v>
          </cell>
          <cell r="N32" t="str">
            <v>thinhlv@hcmute.edu.vn</v>
          </cell>
          <cell r="O32" t="str">
            <v>-Bài báo khoa học đăng trên tạp chí trong nước, hoặc đăng toàn văn trong kỷ yếu hội nghị, hội thảo quốc tế có chỉ số ISSN/ISBN
-Báo cáo tổng kết</v>
          </cell>
        </row>
        <row r="33">
          <cell r="B33" t="str">
            <v>SV2026-34</v>
          </cell>
          <cell r="C33" t="str">
            <v xml:space="preserve">r </v>
          </cell>
          <cell r="D33" t="str">
            <v>X</v>
          </cell>
          <cell r="E33"/>
          <cell r="F33" t="str">
            <v>Thiết kế và triển khai hệ thống nhà trọ thông minh tích hợp xác thực hai lớp (2FA) và giám sát hành vi bằng AI camera và hệ thống quản lý an ninh SIEM</v>
          </cell>
          <cell r="G33" t="str">
            <v>Phan Duy Khương 23162047</v>
          </cell>
          <cell r="H33" t="str">
            <v xml:space="preserve">Phan Duy Khương </v>
          </cell>
          <cell r="I33" t="str">
            <v>Công nghệ Thông tin</v>
          </cell>
          <cell r="J33" t="str">
            <v>23162047</v>
          </cell>
          <cell r="K33" t="str">
            <v>Phạm Huỳnh Khánh Linh 23162052
Nguyễn Đăng Khoa 23162043</v>
          </cell>
          <cell r="L33" t="str">
            <v>Đinh Công Đoan</v>
          </cell>
          <cell r="M33" t="str">
            <v>Khoa CNTT</v>
          </cell>
          <cell r="N33" t="str">
            <v>doandc@hcmute.edu.vn</v>
          </cell>
          <cell r="O33" t="str">
            <v>-Mô hình sản phẩm
-Chương trình máy tính
-Báo cáo tổng kết
-Bài báo khoa học đăng trên tạp chí hoặc bài báo đăng trên hội thảo quốc tế có chỉ số xuất bản ISBN/ISSN</v>
          </cell>
        </row>
        <row r="34">
          <cell r="B34" t="str">
            <v>SV2026-35</v>
          </cell>
          <cell r="C34" t="str">
            <v xml:space="preserve">r </v>
          </cell>
          <cell r="D34" t="str">
            <v>X</v>
          </cell>
          <cell r="E34"/>
          <cell r="F34" t="str">
            <v>Thuật toán khai thác mẫu rút gọn phổ biến trên CSDL không chắc chắn</v>
          </cell>
          <cell r="G34" t="str">
            <v>Hồ Vũ Thanh Bình 22110287</v>
          </cell>
          <cell r="H34" t="str">
            <v xml:space="preserve">Hồ Vũ Thanh Bình </v>
          </cell>
          <cell r="I34" t="str">
            <v>Công nghệ Thông tin</v>
          </cell>
          <cell r="J34" t="str">
            <v>22110287</v>
          </cell>
          <cell r="K34" t="str">
            <v>0</v>
          </cell>
          <cell r="L34" t="str">
            <v>Trần Tiến Đức</v>
          </cell>
          <cell r="M34" t="str">
            <v>Khoa CNTT</v>
          </cell>
          <cell r="N34" t="str">
            <v>ductt@hcmute.edu.vn</v>
          </cell>
          <cell r="O34" t="str">
            <v>-Bài báo khoa học đăng trên tạp chí trong nước trong danh mục của HĐGSNN tính từ 0,5 điểm trở lên
-Báo cáo tổng kết</v>
          </cell>
        </row>
        <row r="35">
          <cell r="B35" t="str">
            <v>SV2026-36</v>
          </cell>
          <cell r="C35" t="str">
            <v>r</v>
          </cell>
          <cell r="D35" t="str">
            <v>X</v>
          </cell>
          <cell r="E35"/>
          <cell r="F35" t="str">
            <v>Thuật toán khai thác mẫu tối đại trên CSDL định lượng</v>
          </cell>
          <cell r="G35" t="str">
            <v>Nguyễn Nam Hy 22133029</v>
          </cell>
          <cell r="H35" t="str">
            <v xml:space="preserve">Nguyễn Nam Hy </v>
          </cell>
          <cell r="I35" t="str">
            <v>Công nghệ Thông tin</v>
          </cell>
          <cell r="J35" t="str">
            <v>22133029</v>
          </cell>
          <cell r="K35" t="str">
            <v>0</v>
          </cell>
          <cell r="L35" t="str">
            <v>Trần Tiến Đức</v>
          </cell>
          <cell r="M35" t="str">
            <v>Khoa CNTT</v>
          </cell>
          <cell r="N35" t="str">
            <v>ductt@hcmute.edu.vn</v>
          </cell>
          <cell r="O35" t="str">
            <v>-Bài báo khoa học đăng trên tạp chí trong nước trong danh mục của HĐGSNN tính từ 0,5 điểm trở lên
-Báo cáo tổng kết</v>
          </cell>
        </row>
        <row r="36">
          <cell r="B36" t="str">
            <v>SV2026-37</v>
          </cell>
          <cell r="C36" t="str">
            <v>r</v>
          </cell>
          <cell r="D36" t="str">
            <v>X</v>
          </cell>
          <cell r="E36" t="str">
            <v>x</v>
          </cell>
          <cell r="F36" t="str">
            <v>Nghiên cứu ứng dụng Parameter - Efficient Fine - Tuning (PEFT) để tối ưu hóa mô hình nhận diện thực phẩm</v>
          </cell>
          <cell r="G36" t="str">
            <v>Trần Thị Trung Đoan 22110130</v>
          </cell>
          <cell r="H36" t="str">
            <v xml:space="preserve">Trần Thị Trung Đoan </v>
          </cell>
          <cell r="I36" t="str">
            <v>Công nghệ Thông tin</v>
          </cell>
          <cell r="J36" t="str">
            <v>22110130</v>
          </cell>
          <cell r="K36" t="str">
            <v>Nguyễn Lê Mỹ Hoàng 22110142</v>
          </cell>
          <cell r="L36" t="str">
            <v>Trương Thị Ngọc Phượng</v>
          </cell>
          <cell r="M36" t="str">
            <v>Khoa CNTT</v>
          </cell>
          <cell r="N36" t="str">
            <v>phuongttn@hcmute.edu.vn</v>
          </cell>
          <cell r="O36" t="str">
            <v>-Bài báo khoa học đăng trên tạp chí trong nước, hoặc đăng toàn văn trong kỷ yếu hội nghị, hội thảo có chỉ số ISSN/ISBN
- Chương trình máy tính
- Báo cáo tổng kết</v>
          </cell>
        </row>
        <row r="37">
          <cell r="B37" t="str">
            <v>SV2026-38</v>
          </cell>
          <cell r="C37" t="str">
            <v>R</v>
          </cell>
          <cell r="D37" t="str">
            <v>X</v>
          </cell>
          <cell r="E37"/>
          <cell r="F37" t="str">
            <v>Nghiên cứu ứng dụng mô hình ngôn ngữ lớn xây dựng trợ lý ảo hỗ trợ sinh viên</v>
          </cell>
          <cell r="G37" t="str">
            <v>Hồ Việt Anh 23133002</v>
          </cell>
          <cell r="H37" t="str">
            <v xml:space="preserve">Hồ Việt Anh </v>
          </cell>
          <cell r="I37" t="str">
            <v>Công nghệ Thông tin</v>
          </cell>
          <cell r="J37" t="str">
            <v>23133002</v>
          </cell>
          <cell r="K37" t="str">
            <v xml:space="preserve">Trần Công Toản 22110248
Đồng Gia Sang  22110219
</v>
          </cell>
          <cell r="L37" t="str">
            <v>Quách Đình Hoàng</v>
          </cell>
          <cell r="M37" t="str">
            <v>Khoa CNTT</v>
          </cell>
          <cell r="N37" t="str">
            <v>hoangqd@hcmute.edu.vn</v>
          </cell>
          <cell r="O37" t="str">
            <v>-Bài báo khoa học đăng trên tạp chí trong nước, hoặc đăng toàn văn trong kỷ yếu hội nghị, hội thảo có chỉ số ISSN/ISBN
- Chương trình máy tính
- Báo cáo tổng kết</v>
          </cell>
        </row>
        <row r="38">
          <cell r="B38" t="str">
            <v>SV2026-39</v>
          </cell>
          <cell r="C38" t="str">
            <v>V</v>
          </cell>
          <cell r="D38"/>
          <cell r="E38"/>
          <cell r="F38" t="str">
            <v>Ảnh hưởng của các yếu tố văn hóa ẩm thực đến hành vi lựa chọn điểm đến du lịch của du khách nội địa: Nghiên cứu trường hợp tại thành phố Cần Thơ</v>
          </cell>
          <cell r="G38" t="str">
            <v>Bùi Như Ý 23159070</v>
          </cell>
          <cell r="H38" t="str">
            <v xml:space="preserve">Bùi Như Ý </v>
          </cell>
          <cell r="I38" t="str">
            <v>Thời trang và Du lịch</v>
          </cell>
          <cell r="J38" t="str">
            <v>23159070</v>
          </cell>
          <cell r="K38" t="str">
            <v>Đỗ Trần Bảo Trâm 23159056
Lê Thị Mỹ Trân 23159058</v>
          </cell>
          <cell r="L38" t="str">
            <v>Lương Thế Bảo</v>
          </cell>
          <cell r="M38" t="str">
            <v>Khoa Thời trang và Du lịch</v>
          </cell>
          <cell r="N38" t="str">
            <v>ltb@hcmute.edu.vn</v>
          </cell>
          <cell r="O38" t="str">
            <v>-01 Bài báo khoa học đăng trên tạp chí trong nước trong danh mục của Hội đồng Giáo sư Nhà nước tính 0,5 điểm 
-01 Báo cáo tổng kết</v>
          </cell>
        </row>
        <row r="39">
          <cell r="B39" t="str">
            <v>SV2026-40</v>
          </cell>
          <cell r="C39" t="str">
            <v>V</v>
          </cell>
          <cell r="D39" t="str">
            <v>X</v>
          </cell>
          <cell r="E39"/>
          <cell r="F39" t="str">
            <v>Các yếu tố tác động đến ý định mua hàng tại các quầy bán hàng lưu động tại Thành phố Hồ Chí Minh</v>
          </cell>
          <cell r="G39" t="str">
            <v>Nguyễn Mai Thanh Châu 25159005</v>
          </cell>
          <cell r="H39" t="str">
            <v xml:space="preserve">Nguyễn Mai Thanh Châu </v>
          </cell>
          <cell r="I39" t="str">
            <v>Thời trang và Du lịch</v>
          </cell>
          <cell r="J39" t="str">
            <v>25159005</v>
          </cell>
          <cell r="K39" t="str">
            <v>Nguyễn Thị Xuân Thy 25159050
Trương Ngọc Trúc Hương 25159022</v>
          </cell>
          <cell r="L39" t="str">
            <v>Lương Thế Bảo</v>
          </cell>
          <cell r="M39" t="str">
            <v>Khoa Thời trang và Du lịch</v>
          </cell>
          <cell r="N39" t="str">
            <v>ltb@hcmute.edu.vn</v>
          </cell>
          <cell r="O39" t="str">
            <v>-01 Bài báo khoa học đăng trên tạp chí trong nước trong danh mục của Hội đồng Giáo sư Nhà nước tính 0,5 điểm 
-01 Báo cáo tổng kết</v>
          </cell>
        </row>
        <row r="40">
          <cell r="B40" t="str">
            <v>SV2026-41</v>
          </cell>
          <cell r="C40" t="str">
            <v>v</v>
          </cell>
          <cell r="D40" t="str">
            <v>X</v>
          </cell>
          <cell r="E40"/>
          <cell r="F40" t="str">
            <v>Phân tích tác động của công nghệ số đến mức độ hài lòng của khách hàng tại các nhà hàng ở Thành Phố Hồ Chí Minh</v>
          </cell>
          <cell r="G40" t="str">
            <v>Nguyễn Phương Anh 25159002</v>
          </cell>
          <cell r="H40" t="str">
            <v xml:space="preserve">Nguyễn Phương Anh </v>
          </cell>
          <cell r="I40" t="str">
            <v>Thời trang và Du lịch</v>
          </cell>
          <cell r="J40" t="str">
            <v>25159002</v>
          </cell>
          <cell r="K40" t="str">
            <v>Võ Thị Ngọc Thư 25159049
Phạm Lê Gia Bảo 25159003</v>
          </cell>
          <cell r="L40" t="str">
            <v>Lương Thế Bảo</v>
          </cell>
          <cell r="M40" t="str">
            <v>Khoa Thời trang và Du lịch</v>
          </cell>
          <cell r="N40" t="str">
            <v>ltb@hcmute.edu.vn</v>
          </cell>
          <cell r="O40" t="str">
            <v>-01 Bài báo khoa học đăng trên tạp chí trong nước trong danh mục của Hội đồng Giáo sư Nhà nước tính 0,5 điểm 
-01 Báo cáo tổng kết</v>
          </cell>
        </row>
        <row r="41">
          <cell r="B41" t="str">
            <v>SV2026-42</v>
          </cell>
          <cell r="C41" t="str">
            <v>v</v>
          </cell>
          <cell r="D41" t="str">
            <v>X</v>
          </cell>
          <cell r="E41"/>
          <cell r="F41" t="str">
            <v>Các yếu tố ảnh hưởng đến ý định sử dụng thực phẩm chay của giới trẻ ở Thành phố Hồ Chí Minh</v>
          </cell>
          <cell r="G41" t="str">
            <v>Võ Thị Bích Tuyền 23159062</v>
          </cell>
          <cell r="H41" t="str">
            <v xml:space="preserve">Võ Thị Bích Tuyền </v>
          </cell>
          <cell r="I41" t="str">
            <v>Thời trang và Du lịch</v>
          </cell>
          <cell r="J41" t="str">
            <v>23159062</v>
          </cell>
          <cell r="K41" t="str">
            <v>Nguyễn Hồng Ngọc 23159036
Lê Thúy Vy 23159067</v>
          </cell>
          <cell r="L41" t="str">
            <v>Lương Thế Bảo</v>
          </cell>
          <cell r="M41" t="str">
            <v>Khoa Thời trang và Du lịch</v>
          </cell>
          <cell r="N41" t="str">
            <v>ltb@hcmute.edu.vn</v>
          </cell>
          <cell r="O41" t="str">
            <v xml:space="preserve">-01 Bài báo khoa học đăng trên tạp chí trong nước trong danh mục của Hội đồng Giáo sư Nhà nước tính 0,5 điểm </v>
          </cell>
        </row>
        <row r="42">
          <cell r="B42" t="str">
            <v>SV2026-43</v>
          </cell>
          <cell r="C42" t="str">
            <v>v (thiéu BM 06)</v>
          </cell>
          <cell r="D42" t="str">
            <v>X</v>
          </cell>
          <cell r="E42" t="str">
            <v>x</v>
          </cell>
          <cell r="F42" t="str">
            <v>Nghiên cứu nhuộm vải bông bằng dịch chiết kết hợp từ tô mộc, nghệ vàng và hoa đậu biếc</v>
          </cell>
          <cell r="G42" t="str">
            <v>Huỳnh Minh Châu 23109053</v>
          </cell>
          <cell r="H42" t="str">
            <v xml:space="preserve">Huỳnh Minh Châu </v>
          </cell>
          <cell r="I42" t="str">
            <v>Thời trang và Du lịch</v>
          </cell>
          <cell r="J42" t="str">
            <v>23109053</v>
          </cell>
          <cell r="K42" t="str">
            <v>Phạm Vũ Quỳnh Như 23109125</v>
          </cell>
          <cell r="L42" t="str">
            <v>Nguyễn Tuấn Anh</v>
          </cell>
          <cell r="M42" t="str">
            <v>Khoa Thời trang và Du lịch</v>
          </cell>
          <cell r="N42" t="str">
            <v>nta@hcmute.edu.vn</v>
          </cell>
          <cell r="O42" t="str">
            <v xml:space="preserve">-01 Bài báo khoa học đăng trên tạp chí trong nước trong danh mục của Hội đồng Giáo sư Nhà nước tính 0,5 điểm </v>
          </cell>
        </row>
        <row r="43">
          <cell r="B43" t="str">
            <v>SV2026-44</v>
          </cell>
          <cell r="C43" t="str">
            <v>v</v>
          </cell>
          <cell r="D43" t="str">
            <v>X</v>
          </cell>
          <cell r="E43" t="str">
            <v>x</v>
          </cell>
          <cell r="F43" t="str">
            <v xml:space="preserve">Khảo sát và đánh giá khả năng chống tia UV của vải bông nhuộm bằng dịch chiết từ một số loại thực vật tại Việt Nam </v>
          </cell>
          <cell r="G43" t="str">
            <v>Võ Thị Quỳnh Trâm 23109159</v>
          </cell>
          <cell r="H43" t="str">
            <v xml:space="preserve">Võ Thị Quỳnh Trâm </v>
          </cell>
          <cell r="I43" t="str">
            <v>Thời trang và Du lịch</v>
          </cell>
          <cell r="J43" t="str">
            <v>23109159</v>
          </cell>
          <cell r="K43" t="str">
            <v>Trần Thị Anh Thúy 23109143</v>
          </cell>
          <cell r="L43" t="str">
            <v>Nguyễn Tuấn Anh</v>
          </cell>
          <cell r="M43" t="str">
            <v>Khoa Thời trang và Du lịch</v>
          </cell>
          <cell r="N43" t="str">
            <v>nta@hcmute.edu.vn</v>
          </cell>
          <cell r="O43" t="str">
            <v>01 Bài báo khoa học đăng trên tạp chí trong nước trong danh mục của Hội đồng Giáo sư Nhà nước tính 0,5 điểm 
-01 Báo cáo tổng kết</v>
          </cell>
        </row>
        <row r="44">
          <cell r="B44" t="str">
            <v>SV2026-45</v>
          </cell>
          <cell r="C44" t="str">
            <v>v</v>
          </cell>
          <cell r="D44" t="str">
            <v>X</v>
          </cell>
          <cell r="E44"/>
          <cell r="F44" t="str">
            <v>Nghiên cứu ứng dụng cellulose vi sinh vật (Scoby) trong sản xuất vật liệu thời trang sinh thái</v>
          </cell>
          <cell r="G44" t="str">
            <v>Ngô Đặng Khánh Ly 24123035</v>
          </cell>
          <cell r="H44" t="str">
            <v xml:space="preserve">Ngô Đặng Khánh Ly </v>
          </cell>
          <cell r="I44" t="str">
            <v>Thời trang và Du lịch</v>
          </cell>
          <cell r="J44" t="str">
            <v>24123035</v>
          </cell>
          <cell r="K44" t="str">
            <v>Võ Đăng Khoa 24123028
Trần Ngọc Anh 24124094
Phan Đăng Bảo 23128091
Huỳnh Bảo Hân 24124121</v>
          </cell>
          <cell r="L44" t="str">
            <v>Trần Thị Cẩm Tú</v>
          </cell>
          <cell r="M44" t="str">
            <v>Khoa Thời trang và Du lịch</v>
          </cell>
          <cell r="N44" t="str">
            <v>camtuspkt@hcmute.edu.vn</v>
          </cell>
          <cell r="O44" t="str">
            <v xml:space="preserve">-01 Bài báo khoa học đăng trên tạp chí trong nước trong danh mục của Hội đồng Giáo sư Nhà nước tính 0,5 điểm </v>
          </cell>
        </row>
        <row r="45">
          <cell r="B45" t="str">
            <v>SV2026-46</v>
          </cell>
          <cell r="C45" t="str">
            <v>v</v>
          </cell>
          <cell r="D45" t="str">
            <v>X</v>
          </cell>
          <cell r="E45" t="str">
            <v>x</v>
          </cell>
          <cell r="F45" t="str">
            <v>Nghiên cứu quy trình sản xuất vải giả da từ cellulose vi sinh vật (Scoby)</v>
          </cell>
          <cell r="G45" t="str">
            <v>Võ Đăng Khoa 24123028</v>
          </cell>
          <cell r="H45" t="str">
            <v xml:space="preserve">Võ Đăng Khoa </v>
          </cell>
          <cell r="I45" t="str">
            <v>Thời trang và Du lịch</v>
          </cell>
          <cell r="J45" t="str">
            <v>24123028</v>
          </cell>
          <cell r="K45" t="str">
            <v>Trần Ngọc Anh 24124094
Phan Đăng Bảo 23128091
Ngô Đặng Khánh Ly 24123035
Huỳnh Bảo Hân 24124121</v>
          </cell>
          <cell r="L45" t="str">
            <v>Trần Thị Cẩm Tú</v>
          </cell>
          <cell r="M45" t="str">
            <v>Khoa Thời trang và Du lịch</v>
          </cell>
          <cell r="N45" t="str">
            <v>camtuspkt@hcmute.edu.vn</v>
          </cell>
          <cell r="O45" t="str">
            <v xml:space="preserve">-01 Bài báo khoa học đăng trên tạp chí trong nước trong danh mục của Hội đồng Giáo sư Nhà nước tính 0,5 điểm </v>
          </cell>
        </row>
        <row r="46">
          <cell r="B46" t="str">
            <v>SV2026-47</v>
          </cell>
          <cell r="C46" t="str">
            <v>v</v>
          </cell>
          <cell r="D46" t="str">
            <v>X</v>
          </cell>
          <cell r="E46" t="str">
            <v>x</v>
          </cell>
          <cell r="F46" t="str">
            <v>Đề xuất ứng dụng liệu pháp bibliotherapy trong hỗ trợ giảm căng thẳng học tập cho sinh viên trường đại học Công nghệ Kỹ thuật TP.HCM</v>
          </cell>
          <cell r="G46" t="str">
            <v>Phòng Ngọc Anh Thư 24164044</v>
          </cell>
          <cell r="H46" t="str">
            <v xml:space="preserve">Phòng Ngọc Anh Thư </v>
          </cell>
          <cell r="I46" t="str">
            <v>Viện Sư phạm Kỹ thuật</v>
          </cell>
          <cell r="J46" t="str">
            <v>24164044</v>
          </cell>
          <cell r="K46">
            <v>0</v>
          </cell>
          <cell r="L46" t="str">
            <v>Hoàng Anh</v>
          </cell>
          <cell r="M46" t="str">
            <v>Viện SPKT</v>
          </cell>
          <cell r="N46" t="str">
            <v xml:space="preserve">hoanganh@hcmute.edu.vn </v>
          </cell>
          <cell r="O46" t="str">
            <v>01 Báo cáo đề xuất ứng dụng Bibliotherapy trong hỗ trợ giảm căng thẳng học tập của sinh viên Trường Đại học Công nghệ Kỹ Thuật TPHCM</v>
          </cell>
        </row>
        <row r="47">
          <cell r="B47" t="str">
            <v>SV2026-48</v>
          </cell>
          <cell r="C47" t="str">
            <v>v</v>
          </cell>
          <cell r="D47" t="str">
            <v>X</v>
          </cell>
          <cell r="E47"/>
          <cell r="F47" t="str">
            <v>Xây dựng bộ công cụ truyền thông số hướng dẫn sử dụng mạng xã hội theo hướng tích cực cho học sinh THPT</v>
          </cell>
          <cell r="G47" t="str">
            <v>Huỳnh Ngọc Gia Hân 24164014</v>
          </cell>
          <cell r="H47" t="str">
            <v xml:space="preserve">Huỳnh Ngọc Gia Hân </v>
          </cell>
          <cell r="I47" t="str">
            <v>Viện Sư phạm Kỹ thuật</v>
          </cell>
          <cell r="J47" t="str">
            <v>24164014</v>
          </cell>
          <cell r="K47" t="str">
            <v>Hoàng Bảo Nhi 24164032
Nguyễn Bảo Nhã Uyên 24164054
Nguyễn Ká Quan 24164035
Nguyễn Vũ Lan Nhi 24164033</v>
          </cell>
          <cell r="L47" t="str">
            <v>Diệp Phương Chi</v>
          </cell>
          <cell r="M47" t="str">
            <v>Viện SPKT</v>
          </cell>
          <cell r="N47" t="str">
            <v>chidp@hcmute.edu.vn</v>
          </cell>
          <cell r="O47" t="str">
            <v>01 Bộ công cụ truyền thông số hướng dẫn sử dụng mạng xã hội theo hướng tích cực cho học sinh THPT</v>
          </cell>
        </row>
        <row r="48">
          <cell r="B48" t="str">
            <v>SV2026-49</v>
          </cell>
          <cell r="C48" t="str">
            <v>v</v>
          </cell>
          <cell r="D48" t="str">
            <v>X</v>
          </cell>
          <cell r="F48" t="str">
            <v>Ảnh hưởng phong cách nuôi dạy của cha mẹ đến hành vi cho nhận của sinh viên ngành Tâm lý học giáo dục trường Đại học Công nghệ Kỹ Thuật TPHCM</v>
          </cell>
          <cell r="G48" t="str">
            <v>Vũ Ngọc Minh Châu 24164007</v>
          </cell>
          <cell r="H48" t="str">
            <v xml:space="preserve">Vũ Ngọc Minh Châu </v>
          </cell>
          <cell r="I48" t="str">
            <v>Viện Sư phạm Kỹ thuật</v>
          </cell>
          <cell r="J48" t="str">
            <v>24164007</v>
          </cell>
          <cell r="K48" t="str">
            <v>Võ Thị Kim Ngân 24164024
Hà Phương Thảo 24164038
Ngô Hoàng Thanh Trúc 24164049
Đỗ Nguyễn Thanh Vy 24164057</v>
          </cell>
          <cell r="L48" t="str">
            <v>Đỗ Thị Mỹ Trang</v>
          </cell>
          <cell r="M48" t="str">
            <v>Viện SPKT</v>
          </cell>
          <cell r="N48" t="str">
            <v xml:space="preserve">mytrang@hcmute.edu.vn </v>
          </cell>
          <cell r="O48" t="str">
            <v>01 bộ kết quả phân tích thực trạng ảnh hưởng của phong cách giáo dục gia đình đến hành vi cho nhận của sinh viên ngành Tâm lý học giáo dục trường đại học Công nghệ Kỹ thuật TPHCM.</v>
          </cell>
        </row>
        <row r="49">
          <cell r="B49" t="str">
            <v>SV2026-50</v>
          </cell>
          <cell r="C49" t="str">
            <v>v</v>
          </cell>
          <cell r="D49" t="str">
            <v>X</v>
          </cell>
          <cell r="F49" t="str">
            <v>Thực trạng nhận thức và hành vi sử dụng trí tuệ nhân tạo trong học tập của sinh viên Trường Đại học Công nghệ Kỹ thuật Thành phố Hồ Chí Minh</v>
          </cell>
          <cell r="G49" t="str">
            <v>Huỳnh Thị Kim Tiến 24951018</v>
          </cell>
          <cell r="H49" t="str">
            <v xml:space="preserve">Huỳnh Thị Kim Tiến </v>
          </cell>
          <cell r="I49" t="str">
            <v>Viện Sư phạm Kỹ thuật</v>
          </cell>
          <cell r="J49" t="str">
            <v>24951018</v>
          </cell>
          <cell r="K49" t="str">
            <v xml:space="preserve">Nguyễn Thành Đạt  24951005
</v>
          </cell>
          <cell r="L49" t="str">
            <v>Đặng Thị Diệu Hiền</v>
          </cell>
          <cell r="M49" t="str">
            <v>Viện SPKT</v>
          </cell>
          <cell r="N49" t="str">
            <v xml:space="preserve">hiendtd@hcmute.edu.vn </v>
          </cell>
          <cell r="O49" t="str">
            <v>01 Bài báo đăng trên tạp chí trong nước trong danh mục HĐ GSNN tính điểm từ 0.5</v>
          </cell>
        </row>
        <row r="50">
          <cell r="B50" t="str">
            <v>SV2026-51</v>
          </cell>
          <cell r="C50" t="str">
            <v>v</v>
          </cell>
          <cell r="D50" t="str">
            <v>X</v>
          </cell>
          <cell r="F50" t="str">
            <v>Ứng dụng và phát huy nghệ thuật tranh Đông Hồ vào các sản phẩm thiết kế đồ họa</v>
          </cell>
          <cell r="G50" t="str">
            <v>Hồ Ngọc Như Ý 23156075</v>
          </cell>
          <cell r="H50" t="str">
            <v xml:space="preserve">Hồ Ngọc Như Ý </v>
          </cell>
          <cell r="I50" t="str">
            <v>In - Truyền thông</v>
          </cell>
          <cell r="J50" t="str">
            <v>23156075</v>
          </cell>
          <cell r="K50">
            <v>0</v>
          </cell>
          <cell r="L50" t="str">
            <v>Nguyễn Thị Ngọc Châu</v>
          </cell>
          <cell r="M50" t="str">
            <v>Khoa In và Truyền thông</v>
          </cell>
          <cell r="N50" t="str">
            <v>chauntn@hcmute.edu.vn</v>
          </cell>
          <cell r="O50" t="str">
            <v>01 Bài báo khoa học đăng toàn văn trong kỷ yếu hội nghị, hội thảo quốc tế có chỉ số ISSN/ISBN 
01 Báo cáo tổng kết</v>
          </cell>
        </row>
        <row r="51">
          <cell r="B51" t="str">
            <v>SV2026-52</v>
          </cell>
          <cell r="C51" t="str">
            <v>v</v>
          </cell>
          <cell r="D51" t="str">
            <v>X</v>
          </cell>
          <cell r="F51" t="str">
            <v>Chế tạo vật liệu Ga2O3 pha tạp Sn bằng phương pháp SILAR cải tiến</v>
          </cell>
          <cell r="G51" t="str">
            <v>Đoàn Lê Trung Hậu 23130015</v>
          </cell>
          <cell r="H51" t="str">
            <v xml:space="preserve">Đoàn Lê Trung Hậu </v>
          </cell>
          <cell r="I51" t="str">
            <v>Khoa học ứng dụng</v>
          </cell>
          <cell r="J51" t="str">
            <v>23130015</v>
          </cell>
          <cell r="K51" t="str">
            <v>Nguyễn Minh Đức 24130022
Nguyễn Đặng Minh Huy 23130022</v>
          </cell>
          <cell r="L51" t="str">
            <v>Đỗ Huy Bình</v>
          </cell>
          <cell r="M51" t="str">
            <v>Khoa Khoa học ứng dụng</v>
          </cell>
          <cell r="N51" t="str">
            <v>binhdh@hcmute.edu.vn</v>
          </cell>
          <cell r="O51" t="str">
            <v>01 Bài báo cáo tổng kết
01 Bài báo khoa học đăng trên tạp chí trong nước trong danh mục của Hội đồng Giáo sư Nhà nước tính 0.5 điểm trở lên hoặc tạp chí quốc tế có chỉ số xuất bản ISBN</v>
          </cell>
        </row>
        <row r="52">
          <cell r="B52" t="str">
            <v>SV2026-53</v>
          </cell>
          <cell r="C52" t="str">
            <v>v</v>
          </cell>
          <cell r="D52" t="str">
            <v>X</v>
          </cell>
          <cell r="F52" t="str">
            <v>Chế tạo vật liệu Ga2O3 pha tạp Sn bằng phương pháp SILAR.</v>
          </cell>
          <cell r="G52" t="str">
            <v>Phạm Quang Đạt 22130006</v>
          </cell>
          <cell r="H52" t="str">
            <v xml:space="preserve">Phạm Quang Đạt </v>
          </cell>
          <cell r="I52" t="str">
            <v>Khoa học ứng dụng</v>
          </cell>
          <cell r="J52" t="str">
            <v>22130006</v>
          </cell>
          <cell r="K52" t="str">
            <v>Trần Đức Thanh Khoa 23130026
Bùi Xuân Đạt 23130069</v>
          </cell>
          <cell r="L52" t="str">
            <v>Đỗ Huy Bình</v>
          </cell>
          <cell r="M52" t="str">
            <v>Khoa Khoa học ứng dụng</v>
          </cell>
          <cell r="N52" t="str">
            <v>binhdh@hcmute.edu.vn</v>
          </cell>
          <cell r="O52" t="str">
            <v>01 Bài báo cáo tổng kết
01 Bài báo khoa học đăng trên tạp chí trong nước trong danh mục của Hội đồng Giáo sư Nhà nước tính 0.5 điểm trở lên hoặc tạp chí quốc tế có chỉ số xuất bản ISBN</v>
          </cell>
        </row>
        <row r="53">
          <cell r="B53" t="str">
            <v>SV2026-54</v>
          </cell>
          <cell r="C53" t="str">
            <v>v</v>
          </cell>
          <cell r="D53" t="str">
            <v>X</v>
          </cell>
          <cell r="F53" t="str">
            <v>Nghiên cứu tổng hợp vật liệu M–Prussian Blue analogs làm cathode cho pin sodium-ion hiệu năng cao</v>
          </cell>
          <cell r="G53" t="str">
            <v>Phan Anh Huy 22130010</v>
          </cell>
          <cell r="H53" t="str">
            <v xml:space="preserve">Phan Anh Huy </v>
          </cell>
          <cell r="I53" t="str">
            <v>Khoa học ứng dụng</v>
          </cell>
          <cell r="J53" t="str">
            <v>22130010</v>
          </cell>
          <cell r="K53" t="str">
            <v>Ngô Thị Mỹ Dung 21130056</v>
          </cell>
          <cell r="L53" t="str">
            <v>Ngô Hải Đăng</v>
          </cell>
          <cell r="M53" t="str">
            <v>Khoa Khoa học ứng dụng</v>
          </cell>
          <cell r="N53" t="str">
            <v>dangnh@hcmute.edu.vn</v>
          </cell>
          <cell r="O53" t="str">
            <v>01 Bài báo cáo tổng kết
01 Bài báo khoa học đăng trên tạp chí trong nước trong danh mục của Hội đồng Giáo sư Nhà nước tính 0.5 điểm trở lên hoặc tạp chí quốc tế có chỉ số xuất bản ISBN</v>
          </cell>
        </row>
        <row r="54">
          <cell r="B54" t="str">
            <v>SV2026-55</v>
          </cell>
          <cell r="C54" t="str">
            <v>v</v>
          </cell>
          <cell r="D54" t="str">
            <v>X</v>
          </cell>
          <cell r="E54" t="str">
            <v>x</v>
          </cell>
          <cell r="F54" t="str">
            <v>Chế tạo SERS bằng phương pháp tổng hợp xanh ZnO/Ag ứng dụng phát hiện thuốc diệt cỏ</v>
          </cell>
          <cell r="G54" t="str">
            <v>Trương Văn Phước 23130040</v>
          </cell>
          <cell r="H54" t="str">
            <v xml:space="preserve">Trương Văn Phước </v>
          </cell>
          <cell r="I54" t="str">
            <v>Khoa học ứng dụng</v>
          </cell>
          <cell r="J54" t="str">
            <v>23130040</v>
          </cell>
          <cell r="K54" t="str">
            <v xml:space="preserve">Lê Thanh Lâm 21130079 
Nguyễn Hải Đăng 21130063 
Lê Minh Triết 21130102 </v>
          </cell>
          <cell r="L54" t="str">
            <v>Nguyễn Thụy Ngọc Thủy</v>
          </cell>
          <cell r="M54" t="str">
            <v>Khoa Khoa học ứng dụng</v>
          </cell>
          <cell r="N54" t="str">
            <v>thuyntn@hcmute.edu.vn</v>
          </cell>
          <cell r="O54" t="str">
            <v>01 Bài báo cáo tổng kết
01 Bài báo KH đăng trên tạp chí trong nước trong danh mục của Hội đồng Giáo sư Nhà nước tính 0.5 điểm trở lên hoặc tạp chí quốc tế có chỉ số xuất bản ISBN</v>
          </cell>
        </row>
        <row r="55">
          <cell r="B55" t="str">
            <v>SV2026-56</v>
          </cell>
          <cell r="C55" t="str">
            <v>v</v>
          </cell>
          <cell r="D55" t="str">
            <v>X</v>
          </cell>
          <cell r="F55" t="str">
            <v>Chế tạo vật liệu nanocomposite GO/Ga2O3 pha tạp Sn</v>
          </cell>
          <cell r="G55" t="str">
            <v>Hoàng Nguyễn Quỳnh Anh 22130001</v>
          </cell>
          <cell r="H55" t="str">
            <v xml:space="preserve">Hoàng Nguyễn Quỳnh Anh </v>
          </cell>
          <cell r="I55" t="str">
            <v>Khoa học ứng dụng</v>
          </cell>
          <cell r="J55" t="str">
            <v>22130001</v>
          </cell>
          <cell r="K55" t="str">
            <v>Nguyễn Lê Nhật Tân 21130097
Trần Văn Khoa 23130027</v>
          </cell>
          <cell r="L55" t="str">
            <v>Đỗ Huy Bình</v>
          </cell>
          <cell r="M55" t="str">
            <v>Khoa Khoa học ứng dụng</v>
          </cell>
          <cell r="N55" t="str">
            <v>binhdh@hcmute.edu.vn</v>
          </cell>
          <cell r="O55" t="str">
            <v>01 Bài báo cáo tổng kết
01 Bài báo khoa học đăng trên tạp chí trong nước trong danh mục của Hội đồng Giáo sư Nhà nước tính 0.5 điểm trở lên hoặc tạp chí quốc tế có chỉ số xuất bản ISBN</v>
          </cell>
        </row>
        <row r="56">
          <cell r="B56" t="str">
            <v>SV2026-57</v>
          </cell>
          <cell r="C56" t="str">
            <v>v</v>
          </cell>
          <cell r="D56" t="str">
            <v>X</v>
          </cell>
          <cell r="F56" t="str">
            <v>Tổng hợp vật liệu Gallium Oxide pha tạp Sn bằng phương pháp thủy nhiệt</v>
          </cell>
          <cell r="G56" t="str">
            <v>Nguyễn Thị Thanh Thảo 22130022</v>
          </cell>
          <cell r="H56" t="str">
            <v xml:space="preserve">Nguyễn Thị Thanh Thảo </v>
          </cell>
          <cell r="I56" t="str">
            <v>Khoa học ứng dụng</v>
          </cell>
          <cell r="J56" t="str">
            <v>22130022</v>
          </cell>
          <cell r="K56" t="str">
            <v>Lê Thị Kim Thanh 22130021
Nguyễn Ngọc Anh 23130003
Nguyễn Huỳnh Hải Duy 23130009</v>
          </cell>
          <cell r="L56" t="str">
            <v>Đỗ Huy Bình</v>
          </cell>
          <cell r="M56" t="str">
            <v>Khoa Khoa học ứng dụng</v>
          </cell>
          <cell r="N56" t="str">
            <v>binhdh@hcmute.edu.vn</v>
          </cell>
          <cell r="O56" t="str">
            <v>01 Bài báo cáo tổng kết
01 Bài báo khoa học đăng trên tạp chí trong nước trong danh mục của Hội đồng Giáo sư Nhà nước tính 0.5 điểm trở lên hoặc tạp chí quốc tế có chỉ số xuất bản ISBN</v>
          </cell>
        </row>
        <row r="57">
          <cell r="B57" t="str">
            <v>SV2026-58</v>
          </cell>
          <cell r="C57" t="str">
            <v>v</v>
          </cell>
          <cell r="D57" t="str">
            <v>X</v>
          </cell>
          <cell r="E57" t="str">
            <v>x</v>
          </cell>
          <cell r="F57" t="str">
            <v>Nghiên cứu chế tạo màng polymer phân hủy sinh học trên nền PVA/Chitosan kết hợp tinh dầu tràm ứng dụng làm màng bao bì thực phẩm</v>
          </cell>
          <cell r="G57" t="str">
            <v>Nguyễn Văn Bình 23130006</v>
          </cell>
          <cell r="H57" t="str">
            <v xml:space="preserve">Nguyễn Văn Bình </v>
          </cell>
          <cell r="I57" t="str">
            <v>Khoa học ứng dụng</v>
          </cell>
          <cell r="J57" t="str">
            <v>23130006</v>
          </cell>
          <cell r="K57" t="str">
            <v>Huỳnh Tấn Phát 22130018
Nguyễn Vũ Anh Tuấn 24130086</v>
          </cell>
          <cell r="L57" t="str">
            <v>Nguyễn Vũ Việt Linh</v>
          </cell>
          <cell r="M57" t="str">
            <v>Khoa Khoa học ứng dụng</v>
          </cell>
          <cell r="N57" t="str">
            <v>linhnv@hcmute.edu.vn</v>
          </cell>
          <cell r="O57" t="str">
            <v>01 Bài báo cáo tổng kết
01 Bài báo khoa học đăng trên tạp chí trong nước trong danh mục của Hội đồng Giáo sư Nhà nước tính 0.5 điểm trở lên</v>
          </cell>
        </row>
        <row r="58">
          <cell r="B58" t="str">
            <v>SV2026-59</v>
          </cell>
          <cell r="C58" t="str">
            <v>v</v>
          </cell>
          <cell r="D58" t="str">
            <v>X</v>
          </cell>
          <cell r="E58" t="str">
            <v>x</v>
          </cell>
          <cell r="F58" t="str">
            <v>Nghiên cứu vật liệu vải cotton kháng khuẩn sử dụng chitosan và nano bạc ứng dụng trong ngành dệt may</v>
          </cell>
          <cell r="G58" t="str">
            <v>Huỳnh Tấn Phát 22130018</v>
          </cell>
          <cell r="H58" t="str">
            <v xml:space="preserve">Huỳnh Tấn Phát </v>
          </cell>
          <cell r="I58" t="str">
            <v>Khoa học ứng dụng</v>
          </cell>
          <cell r="J58" t="str">
            <v>22130018</v>
          </cell>
          <cell r="K58">
            <v>0</v>
          </cell>
          <cell r="L58" t="str">
            <v>Nguyễn Vũ Việt Linh</v>
          </cell>
          <cell r="M58" t="str">
            <v>Khoa Khoa học ứng dụng</v>
          </cell>
          <cell r="N58" t="str">
            <v>linhnv@hcmute.edu.vn</v>
          </cell>
          <cell r="O58" t="str">
            <v>01 Bài báo cáo tổng kết</v>
          </cell>
        </row>
        <row r="59">
          <cell r="B59" t="str">
            <v>SV2026-60</v>
          </cell>
          <cell r="C59" t="str">
            <v>v</v>
          </cell>
          <cell r="D59" t="str">
            <v>X</v>
          </cell>
          <cell r="F59" t="str">
            <v>Khảo sát ảnh hưởng của thông số chế tạo lên hình thái và tính chất sợi in 3D từ PLA phế liệu</v>
          </cell>
          <cell r="G59" t="str">
            <v>Võ Hữu Nghĩa 22130017</v>
          </cell>
          <cell r="H59" t="str">
            <v xml:space="preserve">Võ Hữu Nghĩa </v>
          </cell>
          <cell r="I59" t="str">
            <v>Khoa học ứng dụng</v>
          </cell>
          <cell r="J59" t="str">
            <v>22130017</v>
          </cell>
          <cell r="K59" t="str">
            <v>Trần Thái Trung Tuấn 21130104</v>
          </cell>
          <cell r="L59" t="str">
            <v>Nguyễn Vũ Việt Linh</v>
          </cell>
          <cell r="M59" t="str">
            <v>Khoa Khoa học ứng dụng</v>
          </cell>
          <cell r="N59" t="str">
            <v>linhnv@hcmute.edu.vn</v>
          </cell>
          <cell r="O59" t="str">
            <v>01 Bài báo cáo tổng kết
01 Bài báo khoa học đăng trên tạp chí trong nước trong danh mục của Hội đồng Giáo sư Nhà nước tính 0.5 điểm trở lên</v>
          </cell>
        </row>
        <row r="60">
          <cell r="B60" t="str">
            <v>SV2026-61</v>
          </cell>
          <cell r="C60" t="str">
            <v>v</v>
          </cell>
          <cell r="D60" t="str">
            <v>X</v>
          </cell>
          <cell r="F60" t="str">
            <v xml:space="preserve">Nghiên cứu chế tạo vật liệu hấp thụ dầu từ đầu lọc thuốc lá hiệu Thăng Long đã qua sử dụng </v>
          </cell>
          <cell r="G60" t="str">
            <v>Nguyễn Trường Tiến 21130101</v>
          </cell>
          <cell r="H60" t="str">
            <v xml:space="preserve">Nguyễn Trường Tiến </v>
          </cell>
          <cell r="I60" t="str">
            <v>Khoa học ứng dụng</v>
          </cell>
          <cell r="J60" t="str">
            <v>21130101</v>
          </cell>
          <cell r="K60" t="str">
            <v>Trần Văn Lợi 23130033</v>
          </cell>
          <cell r="L60" t="str">
            <v>Nguyễn Vũ Việt Linh</v>
          </cell>
          <cell r="M60" t="str">
            <v>Khoa Khoa học ứng dụng</v>
          </cell>
          <cell r="N60" t="str">
            <v>linhnv@hcmute.edu.vn</v>
          </cell>
          <cell r="O60" t="str">
            <v>01 Bài báo cáo tổng kết</v>
          </cell>
        </row>
        <row r="61">
          <cell r="B61" t="str">
            <v>SV2026-62</v>
          </cell>
          <cell r="C61" t="str">
            <v>v</v>
          </cell>
          <cell r="D61" t="str">
            <v>X</v>
          </cell>
          <cell r="E61" t="str">
            <v>x</v>
          </cell>
          <cell r="F61" t="str">
            <v>Ứng dụng kỹ thuật SEIRA sử dụng dây nano bạc để phát hiện dư lượng thuốc trừ sâu</v>
          </cell>
          <cell r="G61" t="str">
            <v>Lê Thị Phương Nhi 23130037</v>
          </cell>
          <cell r="H61" t="str">
            <v xml:space="preserve">Lê Thị Phương Nhi </v>
          </cell>
          <cell r="I61" t="str">
            <v>Khoa học ứng dụng</v>
          </cell>
          <cell r="J61" t="str">
            <v>23130037</v>
          </cell>
          <cell r="K61" t="str">
            <v>Vũ Như Ý 23130068
Nguyễn Quang Duy 23130010
Trương Lê Minh Khánh 24130044
Trần Đình Tuấn 22130025</v>
          </cell>
          <cell r="L61" t="str">
            <v>Phạm Thị Kim Hằng</v>
          </cell>
          <cell r="M61" t="str">
            <v>Khoa Khoa học ứng dụng</v>
          </cell>
          <cell r="N61" t="str">
            <v>hangptk@hcmute.edu.vn</v>
          </cell>
          <cell r="O61" t="str">
            <v>01 Bài báo cáo tổng kết
01 Bài báo khoa học đăng trên tạp chí trong nước trong danh mục của Hội đồng Giáo sư Nhà nước tính 0.5 điểm trở lên</v>
          </cell>
        </row>
        <row r="62">
          <cell r="B62" t="str">
            <v>SV2026-63</v>
          </cell>
          <cell r="C62" t="str">
            <v>v</v>
          </cell>
          <cell r="D62" t="str">
            <v>X</v>
          </cell>
          <cell r="F62" t="str">
            <v>Nghiên cứu vật liệu Oxit kim loại bọc Ag nanowire tăng cường tín hiệu SEIRA</v>
          </cell>
          <cell r="G62" t="str">
            <v>Trần Đình Tuấn 22130025</v>
          </cell>
          <cell r="H62" t="str">
            <v xml:space="preserve">Trần Đình Tuấn </v>
          </cell>
          <cell r="I62" t="str">
            <v>Khoa học ứng dụng</v>
          </cell>
          <cell r="J62" t="str">
            <v>22130025</v>
          </cell>
          <cell r="K62" t="str">
            <v>Trần Mỹ Hân 23130014  
Lê Thị Phương Nhi 23130037 
Đỗ Thụy Như Ý 23130067 
Vũ Như Ý 23130068</v>
          </cell>
          <cell r="L62" t="str">
            <v>Phạm Thị Kim Hằng</v>
          </cell>
          <cell r="M62" t="str">
            <v>Khoa Khoa học ứng dụng</v>
          </cell>
          <cell r="N62" t="str">
            <v>hangptk@hcmute.edu.vn</v>
          </cell>
          <cell r="O62" t="str">
            <v>01 Bài báo cáo tổng kết
01 Bài báo khoa học đăng trên tạp chí trong nước trong danh mục của Hội đồng Giáo sư Nhà nước tính 0.5 điểm trở lên</v>
          </cell>
        </row>
        <row r="63">
          <cell r="B63" t="str">
            <v>SV2026-64</v>
          </cell>
          <cell r="C63" t="str">
            <v>v</v>
          </cell>
          <cell r="D63" t="str">
            <v>X</v>
          </cell>
          <cell r="F63" t="str">
            <v>Chế tạo và khảo sát cấu trúc và tính chất của nano đồng</v>
          </cell>
          <cell r="G63" t="str">
            <v>Lê Minh Tiến 23130053</v>
          </cell>
          <cell r="H63" t="str">
            <v xml:space="preserve">Lê Minh Tiến </v>
          </cell>
          <cell r="I63" t="str">
            <v>Khoa học ứng dụng</v>
          </cell>
          <cell r="J63" t="str">
            <v>23130053</v>
          </cell>
          <cell r="K63" t="str">
            <v>Trần Mỹ Hân 23130014
Nguyễn Minh Tiến 23130054
Đỗ Thụy Như Ý 23130067 
Lê Thị Phương Nhi 23130037</v>
          </cell>
          <cell r="L63" t="str">
            <v>Ngô Hải Đăng</v>
          </cell>
          <cell r="M63" t="str">
            <v>Khoa Khoa học ứng dụng</v>
          </cell>
          <cell r="N63" t="str">
            <v>dangnh@hcmute.edu.vn</v>
          </cell>
          <cell r="O63" t="str">
            <v>01 Bài báo cáo tổng kết
01 Bài báo khoa học đăng trên tạp chí trong nước trong danh mục của Hội đồng Giáo sư Nhà nước tính 0.5 điểm trở lên</v>
          </cell>
        </row>
        <row r="64">
          <cell r="B64" t="str">
            <v>SV2026-65</v>
          </cell>
          <cell r="C64" t="str">
            <v>v</v>
          </cell>
          <cell r="D64" t="str">
            <v>X</v>
          </cell>
          <cell r="E64" t="str">
            <v>x</v>
          </cell>
          <cell r="F64" t="str">
            <v>Chế tạo và khảo sát các tính chất của màng mỏng Ta2O5</v>
          </cell>
          <cell r="G64" t="str">
            <v>Thạch Bảo Khang 22130014</v>
          </cell>
          <cell r="H64" t="str">
            <v xml:space="preserve">Thạch Bảo Khang </v>
          </cell>
          <cell r="I64" t="str">
            <v>Khoa học ứng dụng</v>
          </cell>
          <cell r="J64" t="str">
            <v>22130014</v>
          </cell>
          <cell r="K64" t="str">
            <v>Nguyễn Quang Duy 23130010
Nguyễn Minh Tiến 23130054
Vũ Như Ý 23130068</v>
          </cell>
          <cell r="L64" t="str">
            <v>Phạm Thị Kim Hằng</v>
          </cell>
          <cell r="M64" t="str">
            <v>Khoa Khoa học ứng dụng</v>
          </cell>
          <cell r="N64" t="str">
            <v>hangptk@hcmute.edu.vn</v>
          </cell>
          <cell r="O64" t="str">
            <v>01 Bài báo cáo tổng kết
01 Bài báo khoa học đăng trên tạp chí trong nước trong danh mục của Hội đồng Giáo sư Nhà nước tính 0.5 điểm trở lên</v>
          </cell>
        </row>
        <row r="65">
          <cell r="B65" t="str">
            <v>SV2026-66</v>
          </cell>
          <cell r="C65" t="str">
            <v>v</v>
          </cell>
          <cell r="D65" t="str">
            <v>X</v>
          </cell>
          <cell r="E65" t="str">
            <v>x</v>
          </cell>
          <cell r="F65" t="str">
            <v>Ảnh hưởng của pha tạp đến tính chất quang xúc tác của vật liệu  α-FeOOH</v>
          </cell>
          <cell r="G65" t="str">
            <v>Phạm Thị Bích Diệp
22130005</v>
          </cell>
          <cell r="H65" t="str">
            <v xml:space="preserve">Phạm Thị Bích Diệp
</v>
          </cell>
          <cell r="I65" t="str">
            <v>Khoa học ứng dụng</v>
          </cell>
          <cell r="J65" t="str">
            <v>22130005</v>
          </cell>
          <cell r="K65" t="str">
            <v>Lê Minh Tiến 23130053
Nguyễn Quang Duy 23130010
Trần Mỹ Hân 23130014
Trương Lê Minh Khánh 24130044</v>
          </cell>
          <cell r="L65" t="str">
            <v>Ngô Hải Đăng</v>
          </cell>
          <cell r="M65" t="str">
            <v>Khoa Khoa học ứng dụng</v>
          </cell>
          <cell r="N65" t="str">
            <v>dangnh@hcmute.edu.vn</v>
          </cell>
          <cell r="O65" t="str">
            <v>01 Bài báo cáo tổng kết
01 Bài báo khoa học đăng trên tạp chí trong nước trong danh mục của Hội đồng Giáo sư Nhà nước tính 0.5 điểm trở lên</v>
          </cell>
        </row>
        <row r="66">
          <cell r="B66" t="str">
            <v>SV2026-67</v>
          </cell>
          <cell r="C66" t="str">
            <v>v</v>
          </cell>
          <cell r="D66" t="str">
            <v>X</v>
          </cell>
          <cell r="E66" t="str">
            <v>x</v>
          </cell>
          <cell r="F66" t="str">
            <v>Nghiên cứu tín hiệu tăng cường SEIRA - Carbon Dots trên giấy lọc</v>
          </cell>
          <cell r="G66" t="str">
            <v>Nguyễn Quang Duy 23130010</v>
          </cell>
          <cell r="H66" t="str">
            <v xml:space="preserve">Nguyễn Quang Duy </v>
          </cell>
          <cell r="I66" t="str">
            <v>Khoa học ứng dụng</v>
          </cell>
          <cell r="J66" t="str">
            <v>23130010</v>
          </cell>
          <cell r="K66" t="str">
            <v>Lê Thị Phương Nhi 23130037
Lê Minh Tiến 23130053
Vũ Như Ý 23130068
Trương Lê Minh Khánh 24130044</v>
          </cell>
          <cell r="L66" t="str">
            <v>Ngô Hải Đăng</v>
          </cell>
          <cell r="M66" t="str">
            <v>Khoa Khoa học ứng dụng</v>
          </cell>
          <cell r="N66" t="str">
            <v>dangnh@hcmute.edu.vn</v>
          </cell>
          <cell r="O66" t="str">
            <v>01 Bài báo cáo tổng kết
01 Bài báo khoa học đăng trên tạp chí trong nước trong danh mục của Hội đồng Giáo sư Nhà nước tính 0.5 điểm trở lên</v>
          </cell>
        </row>
        <row r="67">
          <cell r="B67" t="str">
            <v>SV2026-68</v>
          </cell>
          <cell r="C67" t="str">
            <v>v</v>
          </cell>
          <cell r="D67" t="str">
            <v>X</v>
          </cell>
          <cell r="E67" t="str">
            <v>x</v>
          </cell>
          <cell r="F67" t="str">
            <v>Ảnh hưởng của điều kiện chế tạo đến tính chất màng mỏng Tungstentrioxide (WO3)</v>
          </cell>
          <cell r="G67" t="str">
            <v>Dương Hồng Dịu Thơ 22130023</v>
          </cell>
          <cell r="H67" t="str">
            <v xml:space="preserve">Dương Hồng Dịu Thơ </v>
          </cell>
          <cell r="I67" t="str">
            <v>Khoa học ứng dụng</v>
          </cell>
          <cell r="J67" t="str">
            <v>22130023</v>
          </cell>
          <cell r="K67" t="str">
            <v>Lê Thị Phương Nhi 23130037
Nguyễn Minh Tiến 23130054
Trương Lê Minh Khánh 24130044</v>
          </cell>
          <cell r="L67" t="str">
            <v>Trần Thị Khánh Chi</v>
          </cell>
          <cell r="M67" t="str">
            <v>Khoa Khoa học ứng dụng</v>
          </cell>
          <cell r="N67" t="str">
            <v>chittk@hcmute.edu.vn</v>
          </cell>
          <cell r="O67" t="str">
            <v>01 Bài báo cáo tổng kết
01 Bài báo khoa học đăng trên tạp chí trong nước trong danh mục của Hội đồng Giáo sư Nhà nước tính 0.5 điểm trở lên</v>
          </cell>
        </row>
        <row r="68">
          <cell r="B68" t="str">
            <v>SV2026-69</v>
          </cell>
          <cell r="C68" t="str">
            <v>v</v>
          </cell>
          <cell r="D68" t="str">
            <v>X</v>
          </cell>
          <cell r="E68" t="str">
            <v>x</v>
          </cell>
          <cell r="F68" t="str">
            <v>Nghiên cứu tổng hợp bê tông xanh sử dụng rác thải vỏ trứng gà</v>
          </cell>
          <cell r="G68" t="str">
            <v>Nguyễn Minh Tiến 23130054</v>
          </cell>
          <cell r="H68" t="str">
            <v xml:space="preserve">Nguyễn Minh Tiến </v>
          </cell>
          <cell r="I68" t="str">
            <v>Khoa học ứng dụng</v>
          </cell>
          <cell r="J68" t="str">
            <v>23130054</v>
          </cell>
          <cell r="K68" t="str">
            <v>Nguyễn Quang Duy 23130010
Vũ Như Ý 23130068
Phạm Thị Bích Diệp 22130005
Trần Đình Tuấn 22130025</v>
          </cell>
          <cell r="L68" t="str">
            <v>Phạm Thị Kim Hằng</v>
          </cell>
          <cell r="M68" t="str">
            <v>Khoa Khoa học ứng dụng</v>
          </cell>
          <cell r="N68" t="str">
            <v>hangptk@hcmute.edu.vn</v>
          </cell>
          <cell r="O68" t="str">
            <v>01 Bài báo cáo tổng kết
01 Bài báo khoa học đăng trên tạp chí trong nước trong danh mục của Hội đồng Giáo sư Nhà nước tính 0.5 điểm trở lên</v>
          </cell>
        </row>
        <row r="69">
          <cell r="B69" t="str">
            <v>SV2026-70</v>
          </cell>
          <cell r="C69" t="str">
            <v>v</v>
          </cell>
          <cell r="D69" t="str">
            <v>X</v>
          </cell>
          <cell r="E69" t="str">
            <v>x</v>
          </cell>
          <cell r="F69" t="str">
            <v xml:space="preserve">Nghiên cứu chế tạo vật liệu than sinh học từ phế phẩm nông nghiệp </v>
          </cell>
          <cell r="G69" t="str">
            <v>Đặng Tô Hoài Vy 22130026</v>
          </cell>
          <cell r="H69" t="str">
            <v xml:space="preserve">Đặng Tô Hoài Vy </v>
          </cell>
          <cell r="I69" t="str">
            <v>Khoa học ứng dụng</v>
          </cell>
          <cell r="J69" t="str">
            <v>22130026</v>
          </cell>
          <cell r="K69" t="str">
            <v>Võ Văn Chương 24130009</v>
          </cell>
          <cell r="L69" t="str">
            <v>Nguyễn Chí Thanh</v>
          </cell>
          <cell r="M69" t="str">
            <v>Khoa Khoa học ứng dụng</v>
          </cell>
          <cell r="N69" t="str">
            <v>thanhnc@hcmute.edu.vn</v>
          </cell>
          <cell r="O69" t="str">
            <v>01 Bài báo cáo tổng kết
01 Bài báo khoa học đăng trên tạp chí trong nước trong danh mục của Hội đồng Giáo sư Nhà nước tính 0.5 điểm trở lên</v>
          </cell>
        </row>
        <row r="70">
          <cell r="B70" t="str">
            <v>SV2026-71</v>
          </cell>
          <cell r="C70" t="str">
            <v>v</v>
          </cell>
          <cell r="D70" t="str">
            <v>X</v>
          </cell>
          <cell r="F70" t="str">
            <v>Chế tạo vật liệu cellulose aerogel thân thiện với môi trường từ phế thải giấy</v>
          </cell>
          <cell r="G70" t="str">
            <v>Phạm Thị Kim Hiên 24130029</v>
          </cell>
          <cell r="H70" t="str">
            <v xml:space="preserve">Phạm Thị Kim Hiên </v>
          </cell>
          <cell r="I70" t="str">
            <v>Khoa học ứng dụng</v>
          </cell>
          <cell r="J70" t="str">
            <v>24130029</v>
          </cell>
          <cell r="K70" t="str">
            <v>Huỳnh Ngọc Mỹ Duyên 24130016</v>
          </cell>
          <cell r="L70" t="str">
            <v>Nguyễn Chí Thanh</v>
          </cell>
          <cell r="M70" t="str">
            <v>Khoa Khoa học ứng dụng</v>
          </cell>
          <cell r="N70" t="str">
            <v>thanhnc@hcmute.edu.vn</v>
          </cell>
          <cell r="O70" t="str">
            <v>01 Bài báo cáo tổng kết
01 Bài báo khoa học đăng trên tạp chí trong nước trong danh mục của Hội đồng Giáo sư Nhà nước tính 0.5 điểm trở lên</v>
          </cell>
        </row>
        <row r="71">
          <cell r="B71" t="str">
            <v>SV2026-72</v>
          </cell>
          <cell r="C71" t="str">
            <v>v</v>
          </cell>
          <cell r="D71" t="str">
            <v>X</v>
          </cell>
          <cell r="F71" t="str">
            <v>Nghiên cứu chế tạo vật liệu microcellulose từ giấy phế liệu-định hướng ứng dụng làm vật liệu hấp phụ ion kim loại nặng</v>
          </cell>
          <cell r="G71" t="str">
            <v>Huỳnh Ngọc Mỹ Duyên 24130016</v>
          </cell>
          <cell r="H71" t="str">
            <v xml:space="preserve">Huỳnh Ngọc Mỹ Duyên </v>
          </cell>
          <cell r="I71" t="str">
            <v>Khoa học ứng dụng</v>
          </cell>
          <cell r="J71" t="str">
            <v>24130016</v>
          </cell>
          <cell r="K71" t="str">
            <v xml:space="preserve">Võ Văn Chương 24130009
</v>
          </cell>
          <cell r="L71" t="str">
            <v>Nguyễn Chí Thanh</v>
          </cell>
          <cell r="M71" t="str">
            <v>Khoa Khoa học ứng dụng</v>
          </cell>
          <cell r="N71" t="str">
            <v>thanhnc@hcmute.edu.vn</v>
          </cell>
          <cell r="O71" t="str">
            <v>01 Bài báo cáo tổng kết
01 Bài báo khoa học đăng trên tạp chí trong nước trong danh mục của Hội đồng Giáo sư Nhà nước tính 0.5 điểm trở lên</v>
          </cell>
        </row>
        <row r="72">
          <cell r="B72" t="str">
            <v>SV2026-73</v>
          </cell>
          <cell r="C72" t="str">
            <v>v</v>
          </cell>
          <cell r="D72" t="str">
            <v>X</v>
          </cell>
          <cell r="F72" t="str">
            <v>Tối ưu hóa quy trình trích ly vật liệu cellulose từ đài sen</v>
          </cell>
          <cell r="G72" t="str">
            <v>Võ Văn Chương 24130009</v>
          </cell>
          <cell r="H72" t="str">
            <v xml:space="preserve">Võ Văn Chương </v>
          </cell>
          <cell r="I72" t="str">
            <v>Khoa học ứng dụng</v>
          </cell>
          <cell r="J72" t="str">
            <v>24130009</v>
          </cell>
          <cell r="K72" t="str">
            <v>Phạm Thị Kim Hiên 24130029</v>
          </cell>
          <cell r="L72" t="str">
            <v>Nguyễn Chí Thanh</v>
          </cell>
          <cell r="M72" t="str">
            <v>Khoa Khoa học ứng dụng</v>
          </cell>
          <cell r="N72" t="str">
            <v>thanhnc@hcmute.edu.vn</v>
          </cell>
          <cell r="O72" t="str">
            <v>01 Bài báo cáo tổng kết
01 Bài báo khoa học đăng trên tạp chí trong nước trong danh mục của Hội đồng Giáo sư Nhà nước tính 0.5 điểm trở lên</v>
          </cell>
        </row>
        <row r="73">
          <cell r="B73" t="str">
            <v>SV2026-74</v>
          </cell>
          <cell r="C73" t="str">
            <v>v</v>
          </cell>
          <cell r="D73" t="str">
            <v>X</v>
          </cell>
          <cell r="F73" t="str">
            <v>Nghiên cứu khả năng trộn của bột inox và polypropylene (PP) để tạo feedstock cho công nghệ ép phun</v>
          </cell>
          <cell r="G73" t="str">
            <v>Nguyễn Hữu Lượng 22144347</v>
          </cell>
          <cell r="H73" t="str">
            <v xml:space="preserve">Nguyễn Hữu Lượng </v>
          </cell>
          <cell r="I73" t="str">
            <v>Cơ khí Chế tạo máy</v>
          </cell>
          <cell r="J73" t="str">
            <v>22144347</v>
          </cell>
          <cell r="K73" t="str">
            <v>Hoàng Xuân Mạnh 22144349
Phạm Tiến Mạnh 22144351</v>
          </cell>
          <cell r="L73" t="str">
            <v>Nguyễn Văn Thức</v>
          </cell>
          <cell r="M73" t="str">
            <v>Khoa CKM</v>
          </cell>
          <cell r="N73" t="str">
            <v>nvthuc@hcmute.edu.vn</v>
          </cell>
          <cell r="O73" t="str">
            <v>01 Báo cáo tổng kết</v>
          </cell>
        </row>
        <row r="74">
          <cell r="B74" t="str">
            <v>SV2026-75</v>
          </cell>
          <cell r="C74" t="str">
            <v>v</v>
          </cell>
          <cell r="D74" t="str">
            <v>X</v>
          </cell>
          <cell r="F74" t="str">
            <v xml:space="preserve">Nghiên cứu thiết kế chế tạo Drone sử dụng thuật toán điều khiển Fuzzy trong PX4 </v>
          </cell>
          <cell r="G74" t="str">
            <v>Nguyễn Thành Danh 22146282</v>
          </cell>
          <cell r="H74" t="str">
            <v xml:space="preserve">Nguyễn Thành Danh </v>
          </cell>
          <cell r="I74" t="str">
            <v>Cơ khí Chế tạo máy</v>
          </cell>
          <cell r="J74" t="str">
            <v>22146282</v>
          </cell>
          <cell r="K74" t="str">
            <v>Huỳnh Minh Gia Bảo 24146010</v>
          </cell>
          <cell r="L74" t="str">
            <v>Hà Lê Như Ngọc Thành</v>
          </cell>
          <cell r="M74" t="str">
            <v>Khoa CKM</v>
          </cell>
          <cell r="N74" t="str">
            <v>thanh.hlnn@hcmute.edu.vn</v>
          </cell>
          <cell r="O74" t="str">
            <v>- Mô hình UAV 4 cánh
- Thuật toán điều khiển Fuzzy
- Kết quả mô phỏng và thực nghiệm
- Báo cáo tổng kết</v>
          </cell>
        </row>
        <row r="75">
          <cell r="B75" t="str">
            <v>SV2026-76</v>
          </cell>
          <cell r="C75" t="str">
            <v>v</v>
          </cell>
          <cell r="D75" t="str">
            <v>X</v>
          </cell>
          <cell r="E75" t="str">
            <v>x</v>
          </cell>
          <cell r="F75" t="str">
            <v>Tính toán thiết kế chế tạo máy đột bằng khí nén</v>
          </cell>
          <cell r="G75" t="str">
            <v>Lê Võ Minh Quân 22146203</v>
          </cell>
          <cell r="H75" t="str">
            <v xml:space="preserve">Lê Võ Minh Quân </v>
          </cell>
          <cell r="I75" t="str">
            <v>Cơ khí Chế tạo máy</v>
          </cell>
          <cell r="J75" t="str">
            <v>22146203</v>
          </cell>
          <cell r="K75" t="str">
            <v>Nguyễn Hồng Thơ 22146236
Nguyễn Minh Nhân 22146187
Nguyễn Doãn Thắng 22146227</v>
          </cell>
          <cell r="L75" t="str">
            <v>Dương Thế Phong</v>
          </cell>
          <cell r="M75" t="str">
            <v>Khoa CKM</v>
          </cell>
          <cell r="N75" t="str">
            <v>phongdt@hcmute.edu.vn</v>
          </cell>
          <cell r="O75" t="str">
            <v>- Mô hình máy đột bằng khí nén hoàn chỉnh
- Bộ bản vẽ thiết kế máy đột (2D và 3D)
- Báo cáo tổng kết đề tài nghiên cứu và thuyết minh.</v>
          </cell>
        </row>
        <row r="76">
          <cell r="B76" t="str">
            <v>SV2026-77</v>
          </cell>
          <cell r="C76" t="str">
            <v>v</v>
          </cell>
          <cell r="D76" t="str">
            <v>X</v>
          </cell>
          <cell r="E76" t="str">
            <v>x</v>
          </cell>
          <cell r="F76" t="str">
            <v>Khảo sát hiện tượng dao động cán dao phay tại thời điểm vào dao</v>
          </cell>
          <cell r="G76" t="str">
            <v>Nguyễn Quốc Huy 22144104</v>
          </cell>
          <cell r="H76" t="str">
            <v xml:space="preserve">Nguyễn Quốc Huy </v>
          </cell>
          <cell r="I76" t="str">
            <v>Cơ khí Chế tạo máy</v>
          </cell>
          <cell r="J76" t="str">
            <v>22144104</v>
          </cell>
          <cell r="K76" t="str">
            <v>Trần Minh Khương 22144128
Trần Đức Chính 22144064</v>
          </cell>
          <cell r="L76" t="str">
            <v>Nguyễn Văn Sơn</v>
          </cell>
          <cell r="M76" t="str">
            <v>Khoa CKM</v>
          </cell>
          <cell r="N76" t="str">
            <v>sonnv@hcmute.edu.vn</v>
          </cell>
          <cell r="O76" t="str">
            <v>- 02 Bài báo khoa học đăng trên tạp chí trong nước trong danh mục của HĐ GSNN tính từ 0,5 điểm trở lên</v>
          </cell>
        </row>
        <row r="77">
          <cell r="B77" t="str">
            <v>SV2026-78</v>
          </cell>
          <cell r="C77" t="str">
            <v>v</v>
          </cell>
          <cell r="D77" t="str">
            <v>X</v>
          </cell>
          <cell r="E77" t="str">
            <v>x</v>
          </cell>
          <cell r="F77" t="str">
            <v>Nghiên cứu, thiết kế, cải tiến hệ thống điều khiển máy thử mỏi.</v>
          </cell>
          <cell r="G77" t="str">
            <v>Nguyễn Minh Châu 23143006</v>
          </cell>
          <cell r="H77" t="str">
            <v xml:space="preserve">Nguyễn Minh Châu </v>
          </cell>
          <cell r="I77" t="str">
            <v>Cơ khí Chế tạo máy</v>
          </cell>
          <cell r="J77" t="str">
            <v>23143006</v>
          </cell>
          <cell r="K77" t="str">
            <v>Nguyễn Phước Tiến 23143040
'Dương Văn Thông 23143037
'Đỗ Hoàng Phụng 22143143</v>
          </cell>
          <cell r="L77" t="str">
            <v>Trần Thanh Lam</v>
          </cell>
          <cell r="M77" t="str">
            <v>Khoa CKM</v>
          </cell>
          <cell r="N77" t="str">
            <v>lamtt@hcmute.edu.vn</v>
          </cell>
          <cell r="O77" t="str">
            <v>- Hệ thống điều khiển máy mỏi (mô hình)
- Báo cáo tổng kết: Đạt yêu cầu báo cáo khoa học</v>
          </cell>
        </row>
        <row r="78">
          <cell r="B78" t="str">
            <v>SV2026-79</v>
          </cell>
          <cell r="C78" t="str">
            <v>v</v>
          </cell>
          <cell r="D78" t="str">
            <v>X</v>
          </cell>
          <cell r="F78" t="str">
            <v>Phân tích dữ liệu và tối ưu hóa thông số giảm chấn cho cán dao phay theo phương pháp Taguchi - ANOVA</v>
          </cell>
          <cell r="G78" t="str">
            <v>Nguyễn Phan Trường Huy 23144218</v>
          </cell>
          <cell r="H78" t="str">
            <v xml:space="preserve">Nguyễn Phan Trường Huy </v>
          </cell>
          <cell r="I78" t="str">
            <v>Cơ khí Chế tạo máy</v>
          </cell>
          <cell r="J78" t="str">
            <v>23144218</v>
          </cell>
          <cell r="K78" t="str">
            <v>Nguyễn Thanh Phúc 21144113
Lý Văn Bình 21144367</v>
          </cell>
          <cell r="L78" t="str">
            <v>Nguyễn Văn Minh (THN)</v>
          </cell>
          <cell r="M78" t="str">
            <v>Khoa CKM</v>
          </cell>
          <cell r="N78" t="str">
            <v>minhngvan@hcmute.edu.vn</v>
          </cell>
          <cell r="O78" t="str">
            <v>- 02 Bài báo khoa học đăng trên tạp chí trong nước trong danh mục của HĐ GSNN tính từ 0,5 điểm trở lên</v>
          </cell>
        </row>
        <row r="79">
          <cell r="B79" t="str">
            <v>SV2026-80</v>
          </cell>
          <cell r="C79" t="str">
            <v>v</v>
          </cell>
          <cell r="D79" t="str">
            <v>X</v>
          </cell>
          <cell r="E79" t="str">
            <v>x</v>
          </cell>
          <cell r="F79" t="str">
            <v>Nghiên cứu DSC và FTIR của vật liệu Polymers</v>
          </cell>
          <cell r="G79" t="str">
            <v>Hồ Văn Duy 24144132</v>
          </cell>
          <cell r="H79" t="str">
            <v xml:space="preserve">Hồ Văn Duy </v>
          </cell>
          <cell r="I79" t="str">
            <v>Cơ khí Chế tạo máy</v>
          </cell>
          <cell r="J79" t="str">
            <v>24144132</v>
          </cell>
          <cell r="K79" t="str">
            <v>Nguyễn Thành Danh 22144006
Trương Nguyễn Thế Bảo 22144004
Hoàng Quang Dương 22144009</v>
          </cell>
          <cell r="L79" t="str">
            <v>Nguyễn Thị Ánh Tuyết</v>
          </cell>
          <cell r="M79" t="str">
            <v>Khoa CKM</v>
          </cell>
          <cell r="N79" t="str">
            <v>ntatuyet@hcmute.edu.vn</v>
          </cell>
          <cell r="O79" t="str">
            <v>- Báo cáo tổng kết: 	Đạt yêu cầu báo cáo khoa học</v>
          </cell>
        </row>
        <row r="80">
          <cell r="B80" t="str">
            <v>SV2026-81</v>
          </cell>
          <cell r="C80" t="str">
            <v>v</v>
          </cell>
          <cell r="D80" t="str">
            <v>X</v>
          </cell>
          <cell r="E80" t="str">
            <v>x</v>
          </cell>
          <cell r="F80" t="str">
            <v>Nghiên cứu phương pháp và kỹ thuật gia công chế tác ghế gỗ thư giãn Egroniomics (Egronomics wooden lounge chair)</v>
          </cell>
          <cell r="G80" t="str">
            <v>Đỗ Hữu Hưng 23138021</v>
          </cell>
          <cell r="H80" t="str">
            <v xml:space="preserve">Đỗ Hữu Hưng </v>
          </cell>
          <cell r="I80" t="str">
            <v>Cơ khí Chế tạo máy</v>
          </cell>
          <cell r="J80" t="str">
            <v>23138021</v>
          </cell>
          <cell r="K80" t="str">
            <v>Phan Thị Thu Thảo 23138052</v>
          </cell>
          <cell r="L80" t="str">
            <v xml:space="preserve">Nguyễn Văn Tú </v>
          </cell>
          <cell r="M80" t="str">
            <v>Khoa CKM</v>
          </cell>
          <cell r="N80" t="str">
            <v>tunv@hcmute.edu.vn</v>
          </cell>
          <cell r="O80" t="str">
            <v>01 Báo cáo tổng kết:Đạt yêu cầu của báo cáo khoa học.</v>
          </cell>
        </row>
        <row r="81">
          <cell r="B81" t="str">
            <v>SV2026-82</v>
          </cell>
          <cell r="C81" t="str">
            <v>v</v>
          </cell>
          <cell r="D81" t="str">
            <v>X</v>
          </cell>
          <cell r="E81" t="str">
            <v>x</v>
          </cell>
          <cell r="F81" t="str">
            <v>Nghiên cứu thiết kế, mô phỏng và chế tạo mô hình cơ cấu hộp giảm tốc phục vụ học tập bảo dưỡng cơ khí</v>
          </cell>
          <cell r="G81" t="str">
            <v>Nguyễn Phạm Quốc Khánh 23144098</v>
          </cell>
          <cell r="H81" t="str">
            <v xml:space="preserve">Nguyễn Phạm Quốc Khánh </v>
          </cell>
          <cell r="I81" t="str">
            <v>Cơ khí Chế tạo máy</v>
          </cell>
          <cell r="J81" t="str">
            <v>23144098</v>
          </cell>
          <cell r="K81" t="str">
            <v>Võ Ngô Quân 22144173
Phan Minh Quân 23144145</v>
          </cell>
          <cell r="L81" t="str">
            <v>Dương Thị Vân Anh</v>
          </cell>
          <cell r="M81" t="str">
            <v>Khoa CKM</v>
          </cell>
          <cell r="N81" t="str">
            <v>anhdtv@hcmute.edu.vn</v>
          </cell>
          <cell r="O81" t="str">
            <v>- 01 Báo cáo tổng kết: Đạt yêu cầu báo cáo khoa học</v>
          </cell>
        </row>
        <row r="82">
          <cell r="B82" t="str">
            <v>SV2026-83</v>
          </cell>
          <cell r="C82" t="str">
            <v>v</v>
          </cell>
          <cell r="D82" t="str">
            <v>X</v>
          </cell>
          <cell r="E82" t="str">
            <v>x</v>
          </cell>
          <cell r="F82" t="str">
            <v>Mô phỏng hiện tượng đàn hồi ngược của nhôm A5052 trong quá trình chấn chữ V</v>
          </cell>
          <cell r="G82" t="str">
            <v>Huỳnh Tấn Lợi 24144219</v>
          </cell>
          <cell r="H82" t="str">
            <v xml:space="preserve">Huỳnh Tấn Lợi </v>
          </cell>
          <cell r="I82" t="str">
            <v>Cơ khí Chế tạo máy</v>
          </cell>
          <cell r="J82" t="str">
            <v>24144219</v>
          </cell>
          <cell r="K82" t="str">
            <v>Tăng Minh Mẫn 24144227
Nguyễn Mai Luân 24144222</v>
          </cell>
          <cell r="L82" t="str">
            <v>Nguyễn Văn Thức</v>
          </cell>
          <cell r="M82" t="str">
            <v>Khoa CKM</v>
          </cell>
          <cell r="N82" t="str">
            <v>nvthuc@hcmute.edu.vn</v>
          </cell>
          <cell r="O82" t="str">
            <v>- 01 Báo cáo tổng kết:Đạt yêu cầu của báo cáo khoa học.</v>
          </cell>
        </row>
        <row r="83">
          <cell r="B83" t="str">
            <v>SV2026-84</v>
          </cell>
          <cell r="C83" t="str">
            <v>v</v>
          </cell>
          <cell r="D83" t="str">
            <v>X</v>
          </cell>
          <cell r="E83" t="str">
            <v>x</v>
          </cell>
          <cell r="F83" t="str">
            <v>Phát triển giải thuật điều khiển xe robot tự cân bằng</v>
          </cell>
          <cell r="G83" t="str">
            <v>Đoàn Nguyễn Anh Khoa 23134030</v>
          </cell>
          <cell r="H83" t="str">
            <v xml:space="preserve">Đoàn Nguyễn Anh Khoa </v>
          </cell>
          <cell r="I83" t="str">
            <v>Cơ khí Chế tạo máy</v>
          </cell>
          <cell r="J83" t="str">
            <v>23134030</v>
          </cell>
          <cell r="K83" t="str">
            <v xml:space="preserve">Bùi Đình Khôi 23134032
Lê Thanh Sang 23134049
Nguyễn Minh Nghĩa 23134039
</v>
          </cell>
          <cell r="L83" t="str">
            <v>Lê Thanh Tùng</v>
          </cell>
          <cell r="M83" t="str">
            <v>Khoa CKM</v>
          </cell>
          <cell r="N83" t="str">
            <v>tunglt@hcmute.edu.vn</v>
          </cell>
          <cell r="O83" t="str">
            <v>01 bài báo  đăng trên tạp chí trong nước trong danh mục của HĐ GSNN tính từ 0,5 điểm trở lên.
'Chương trình Giải thuật điều khiển xe robot tự cân bằng bằng AI/ML/DL/RL
- Báo cáo tổng kết đề tài</v>
          </cell>
        </row>
        <row r="84">
          <cell r="B84" t="str">
            <v>SV2026-85</v>
          </cell>
          <cell r="C84" t="str">
            <v>v</v>
          </cell>
          <cell r="D84" t="str">
            <v>X</v>
          </cell>
          <cell r="F84" t="str">
            <v>Nghiên cứu giải thuật nhận diện đối tượng và vật cản bằng Stereo Camera cho bộ điều khiển trên tàu tự hành trên mặt nước.</v>
          </cell>
          <cell r="G84" t="str">
            <v>Trần Văn Tiến 22146417</v>
          </cell>
          <cell r="H84" t="str">
            <v xml:space="preserve">Trần Văn Tiến </v>
          </cell>
          <cell r="I84" t="str">
            <v>Cơ khí Chế tạo máy</v>
          </cell>
          <cell r="J84" t="str">
            <v>22146417</v>
          </cell>
          <cell r="K84" t="str">
            <v>Lâm Phước An 22146257
Nguyễn Ngọc An 22146259
Huỳnh Sang Lành 23146296</v>
          </cell>
          <cell r="L84" t="str">
            <v>Trần Minh Thiên</v>
          </cell>
          <cell r="M84" t="str">
            <v>Khoa CKM</v>
          </cell>
          <cell r="N84" t="str">
            <v>thientm@hcmute.edu.vn</v>
          </cell>
          <cell r="O84" t="str">
            <v xml:space="preserve">-Bài báo khoa học: Bài báo khoa học đăng trên tạp chí không thuộc mục 1; hoặc bài báo đăng trên hội thảo quốc tế có chỉ số xuất bản ISBN/ISSN; hoặc sản phẩm mô hình, thiết bị (không có hợp đồng chuyển giao công nghệ).
- Báo cáo tổng kết
</v>
          </cell>
        </row>
        <row r="85">
          <cell r="B85" t="str">
            <v>SV2026-86</v>
          </cell>
          <cell r="C85" t="str">
            <v>v</v>
          </cell>
          <cell r="D85" t="str">
            <v>X</v>
          </cell>
          <cell r="E85" t="str">
            <v>x</v>
          </cell>
          <cell r="F85" t="str">
            <v>Thiết kế mô hình chân của robot dạng chó</v>
          </cell>
          <cell r="G85" t="str">
            <v>Lê Tuyến 24143395</v>
          </cell>
          <cell r="H85" t="str">
            <v xml:space="preserve">Lê Tuyến </v>
          </cell>
          <cell r="I85" t="str">
            <v>Cơ khí Chế tạo máy</v>
          </cell>
          <cell r="J85" t="str">
            <v>24143395</v>
          </cell>
          <cell r="K85" t="str">
            <v>Trương Nguyễn Thế Bảo 22144004
Võ Quốc Lập 22144025</v>
          </cell>
          <cell r="L85" t="str">
            <v>Trần Minh Thế Uyên</v>
          </cell>
          <cell r="M85" t="str">
            <v>Khoa CKM</v>
          </cell>
          <cell r="N85" t="str">
            <v>uyentmt@hcmute.edu.vn</v>
          </cell>
          <cell r="O85" t="str">
            <v>- 02 Bài báo khoa học đăng trên tạp chí trong nước trong danh mục của HĐ GSNN tính từ 0,5 điểm trở lên</v>
          </cell>
        </row>
        <row r="86">
          <cell r="B86" t="str">
            <v>SV2026-87</v>
          </cell>
          <cell r="C86" t="str">
            <v>v</v>
          </cell>
          <cell r="D86" t="str">
            <v>X</v>
          </cell>
          <cell r="F86" t="str">
            <v>Chế tạo mô hình hỗ trợ lực nâng cho cánh tay</v>
          </cell>
          <cell r="G86" t="str">
            <v>Trịnh Minh Quân 22143150</v>
          </cell>
          <cell r="H86" t="str">
            <v xml:space="preserve">Trịnh Minh Quân </v>
          </cell>
          <cell r="I86" t="str">
            <v>Cơ khí Chế tạo máy</v>
          </cell>
          <cell r="J86" t="str">
            <v>22143150</v>
          </cell>
          <cell r="K86" t="str">
            <v>Nguyễn Thành Oanh 22143137</v>
          </cell>
          <cell r="L86" t="str">
            <v>Trần Minh Thế Uyên</v>
          </cell>
          <cell r="M86" t="str">
            <v>Khoa CKM</v>
          </cell>
          <cell r="N86" t="str">
            <v>uyentmt@hcmute.edu.vn</v>
          </cell>
          <cell r="O86" t="str">
            <v>- 02 Bài báo khoa học đăng trên tạp chí trong nước trong danh mục của HĐ GSNN tính từ 0,5 điểm trở lên</v>
          </cell>
        </row>
        <row r="87">
          <cell r="B87" t="str">
            <v>SV2026-88</v>
          </cell>
          <cell r="C87" t="str">
            <v>v</v>
          </cell>
          <cell r="D87" t="str">
            <v>X</v>
          </cell>
          <cell r="E87" t="str">
            <v>x</v>
          </cell>
          <cell r="F87" t="str">
            <v>Phân tích dữ liệu và tối ưu hóa thông số phun ép đến độ bền xoắn của mẫu thử</v>
          </cell>
          <cell r="G87" t="str">
            <v>Nguyễn Hữu Chiến 22144063</v>
          </cell>
          <cell r="H87" t="str">
            <v xml:space="preserve">Nguyễn Hữu Chiến </v>
          </cell>
          <cell r="I87" t="str">
            <v>Cơ khí Chế tạo máy</v>
          </cell>
          <cell r="J87" t="str">
            <v>22144063</v>
          </cell>
          <cell r="K87" t="str">
            <v>Trần Quốc Tuấn 20144005
Nguyễn Hoàng Long 24144055
Trần Nguyễn Anh Quân 22144031</v>
          </cell>
          <cell r="L87" t="str">
            <v>Đoàn  Tất Linh</v>
          </cell>
          <cell r="M87" t="str">
            <v>Khoa CKM</v>
          </cell>
          <cell r="N87" t="str">
            <v>linhdt@hcmute.edu.vn</v>
          </cell>
          <cell r="O87" t="str">
            <v>- 02 Bài báo khoa học đăng trên tạp chí trong nước trong danh mục của HĐ GSNN tính từ 0,5 điểm trở lên</v>
          </cell>
        </row>
        <row r="88">
          <cell r="B88" t="str">
            <v>SV2026-89</v>
          </cell>
          <cell r="C88" t="str">
            <v>v</v>
          </cell>
          <cell r="D88" t="str">
            <v>X</v>
          </cell>
          <cell r="E88" t="str">
            <v>x</v>
          </cell>
          <cell r="F88" t="str">
            <v>Thiết kế chế tạo Cobot 6 bậc tự do</v>
          </cell>
          <cell r="G88" t="str">
            <v>Nguyễn Thị Ánh Ngọc 23134040</v>
          </cell>
          <cell r="H88" t="str">
            <v xml:space="preserve">Nguyễn Thị Ánh Ngọc </v>
          </cell>
          <cell r="I88" t="str">
            <v>Cơ khí Chế tạo máy</v>
          </cell>
          <cell r="J88" t="str">
            <v>23134040</v>
          </cell>
          <cell r="K88" t="str">
            <v>Võ Phước Thắng 22146229
Nguyễn Chí Bình 22146084
Trần Văn Dương 21146079</v>
          </cell>
          <cell r="L88" t="str">
            <v>Cái Việt Anh Dũng</v>
          </cell>
          <cell r="M88" t="str">
            <v>Khoa CKM</v>
          </cell>
          <cell r="N88" t="str">
            <v>dungcva@hcmute.edu.vn</v>
          </cell>
          <cell r="O88" t="str">
            <v>-Mô hình thiết bị robot tương tác (Cobot)
- Bản vẽ mô hình
- Báo cáo tổng kết</v>
          </cell>
        </row>
        <row r="89">
          <cell r="B89" t="str">
            <v>SV2026-90</v>
          </cell>
          <cell r="C89" t="str">
            <v>v</v>
          </cell>
          <cell r="D89" t="str">
            <v>X</v>
          </cell>
          <cell r="E89" t="str">
            <v>x</v>
          </cell>
          <cell r="F89" t="str">
            <v>Tính toán thiết kế máy CNC 3 trục sử dụng dây nhiệt</v>
          </cell>
          <cell r="G89" t="str">
            <v>Nguyễn Tiến Anh 23146047</v>
          </cell>
          <cell r="H89" t="str">
            <v xml:space="preserve">Nguyễn Tiến Anh </v>
          </cell>
          <cell r="I89" t="str">
            <v>Cơ khí Chế tạo máy</v>
          </cell>
          <cell r="J89" t="str">
            <v>23146047</v>
          </cell>
          <cell r="K89" t="str">
            <v>Ngô Trần Trọng Khôi	 23146099
Phương Tiến Hiệp	 23146076
Huỳnh Đạt	 23146063
Trần Thạch Tuân	 23146160</v>
          </cell>
          <cell r="L89" t="str">
            <v>Nguyễn Hoài Nam</v>
          </cell>
          <cell r="M89" t="str">
            <v>Khoa CKM</v>
          </cell>
          <cell r="N89" t="str">
            <v>namnh@hcmute.edu.vn</v>
          </cell>
          <cell r="O89" t="str">
            <v>- Mô hình máy CNC 3 trục 
- Tập bản vẽ
- Báo cáo tổng kết: Đạt yêu cầu báo cáo khoa học</v>
          </cell>
        </row>
        <row r="90">
          <cell r="B90" t="str">
            <v>SV2026-91</v>
          </cell>
          <cell r="C90" t="str">
            <v>v</v>
          </cell>
          <cell r="D90" t="str">
            <v>X</v>
          </cell>
          <cell r="E90" t="str">
            <v>x</v>
          </cell>
          <cell r="F90" t="str">
            <v>Thực nghiệm và phân tích kết quả về khả năng tải của mô hình cơ nhân tạo (so sánh với mô hình của Festo)</v>
          </cell>
          <cell r="G90" t="str">
            <v>Hà Quốc Huy 23144216</v>
          </cell>
          <cell r="H90" t="str">
            <v xml:space="preserve">Hà Quốc Huy </v>
          </cell>
          <cell r="I90" t="str">
            <v>Cơ khí Chế tạo máy</v>
          </cell>
          <cell r="J90" t="str">
            <v>23144216</v>
          </cell>
          <cell r="K90" t="str">
            <v>Huỳnh Duy Hưng 23144221</v>
          </cell>
          <cell r="L90" t="str">
            <v>Huỳnh Đỗ Song Toàn</v>
          </cell>
          <cell r="M90" t="str">
            <v>Khoa CKM</v>
          </cell>
          <cell r="N90" t="str">
            <v>toanhds@hcmute.edu.vn</v>
          </cell>
          <cell r="O90" t="str">
            <v>- 02 Bài báo khoa học đăng trên tạp chí trong nước trong danh mục của HĐ GSNN tính từ 0,5 điểm trở lên</v>
          </cell>
        </row>
        <row r="91">
          <cell r="B91" t="str">
            <v>SV2026-92</v>
          </cell>
          <cell r="C91" t="str">
            <v>v</v>
          </cell>
          <cell r="D91" t="str">
            <v>X</v>
          </cell>
          <cell r="F91" t="str">
            <v>Nghiên cứu ứng dụng phương pháp tạo hình theo lớp trong chế tạo các mẫu thử độ bền</v>
          </cell>
          <cell r="G91" t="str">
            <v>Bành Văn Hoà Lợi 24104036</v>
          </cell>
          <cell r="H91" t="str">
            <v xml:space="preserve">Bành Văn Hoà Lợi </v>
          </cell>
          <cell r="I91" t="str">
            <v>Cơ khí Chế tạo máy</v>
          </cell>
          <cell r="J91" t="str">
            <v>24104036</v>
          </cell>
          <cell r="K91" t="str">
            <v>Huỳnh Ngọc Mai Ngân 24104039
Trần Hoàng Huy 24104026</v>
          </cell>
          <cell r="L91" t="str">
            <v>Vũ Quang Huy</v>
          </cell>
          <cell r="M91" t="str">
            <v>Khoa CKM</v>
          </cell>
          <cell r="N91" t="str">
            <v>huyvq@hcmute.edu.vn</v>
          </cell>
          <cell r="O91" t="str">
            <v>- 02 Bài báo khoa học đăng trên tạp chí trong nước trong danh mục của HĐ GSNN tính từ 0,5 điểm trở lên</v>
          </cell>
        </row>
        <row r="92">
          <cell r="B92" t="str">
            <v>SV2026-93</v>
          </cell>
          <cell r="C92" t="str">
            <v>v</v>
          </cell>
          <cell r="D92" t="str">
            <v>X</v>
          </cell>
          <cell r="F92" t="str">
            <v>Nghiên cứu tổng hợp keo Melamine urê-formaldehyde cho sản xuất ván xơ dừa</v>
          </cell>
          <cell r="G92" t="str">
            <v>Lê Nguyên Giang San 24138037</v>
          </cell>
          <cell r="H92" t="str">
            <v xml:space="preserve">Lê Nguyên Giang San </v>
          </cell>
          <cell r="I92" t="str">
            <v>Cơ khí Chế tạo máy</v>
          </cell>
          <cell r="J92" t="str">
            <v>24138037</v>
          </cell>
          <cell r="K92" t="str">
            <v>Lê Dương Thái Bảo 24138006
Nguyễn Thị Hương Giang 24138016
Phạm Ngọc Giao 24138017
Lê Anh Tuấn 24138053</v>
          </cell>
          <cell r="L92" t="str">
            <v>Nguyễn Hải Hoàn</v>
          </cell>
          <cell r="M92" t="str">
            <v>Khoa CKM</v>
          </cell>
          <cell r="N92" t="str">
            <v>hoannh@hcmute.edu.vn</v>
          </cell>
          <cell r="O92" t="str">
            <v>- 01 Báo cáo tổng kết:Đạt yêu cầu của báo cáo khoa học.</v>
          </cell>
        </row>
        <row r="93">
          <cell r="B93" t="str">
            <v>SV2026-94</v>
          </cell>
          <cell r="C93" t="str">
            <v>v</v>
          </cell>
          <cell r="D93" t="str">
            <v>X</v>
          </cell>
          <cell r="E93" t="str">
            <v>x</v>
          </cell>
          <cell r="F93" t="str">
            <v>Chế tạo khuôn nghiên cứu độ bền uốn sản phẩm nhựa với các mức nhiệt độ khuôn khác nhau</v>
          </cell>
          <cell r="G93" t="str">
            <v>Võ Quốc Bảo 22143080</v>
          </cell>
          <cell r="H93" t="str">
            <v xml:space="preserve">Võ Quốc Bảo </v>
          </cell>
          <cell r="I93" t="str">
            <v>Cơ khí Chế tạo máy</v>
          </cell>
          <cell r="J93" t="str">
            <v>22143080</v>
          </cell>
          <cell r="K93" t="str">
            <v>Trịnh Hữu Dũng 22143091</v>
          </cell>
          <cell r="L93" t="str">
            <v>Nguyễn Văn Minh (THN)</v>
          </cell>
          <cell r="M93" t="str">
            <v>Khoa CKM</v>
          </cell>
          <cell r="N93" t="str">
            <v>minhngvan@hcmute.edu.vn</v>
          </cell>
          <cell r="O93" t="str">
            <v>- 02 Bài báo khoa học đăng trên tạp chí trong nước trong danh mục của HĐ GSNN tính từ 0,5 điểm trở lên</v>
          </cell>
        </row>
        <row r="94">
          <cell r="B94" t="str">
            <v>SV2026-95</v>
          </cell>
          <cell r="C94" t="str">
            <v>v</v>
          </cell>
          <cell r="D94" t="str">
            <v>X</v>
          </cell>
          <cell r="E94" t="str">
            <v>x</v>
          </cell>
          <cell r="F94" t="str">
            <v>Chế tạo mô hình khảo sát dao động cán dao phay</v>
          </cell>
          <cell r="G94" t="str">
            <v>Nguyễn Tiến Phát 23144136</v>
          </cell>
          <cell r="H94" t="str">
            <v xml:space="preserve">Nguyễn Tiến Phát </v>
          </cell>
          <cell r="I94" t="str">
            <v>Cơ khí Chế tạo máy</v>
          </cell>
          <cell r="J94" t="str">
            <v>23144136</v>
          </cell>
          <cell r="K94" t="str">
            <v>Nguyễn Đức Phát 23144133</v>
          </cell>
          <cell r="L94" t="str">
            <v>Đoàn  Tất Linh</v>
          </cell>
          <cell r="M94" t="str">
            <v>Khoa CKM</v>
          </cell>
          <cell r="N94" t="str">
            <v>linhdt@hcmute.edu.vn</v>
          </cell>
          <cell r="O94" t="str">
            <v>- 02 Bài báo khoa học đăng trên tạp chí trong nước trong danh mục của HĐ GSNN tính từ 0,5 điểm trở lên</v>
          </cell>
        </row>
        <row r="95">
          <cell r="B95" t="str">
            <v>SV2026-96</v>
          </cell>
          <cell r="C95" t="str">
            <v>v</v>
          </cell>
          <cell r="D95" t="str">
            <v>X</v>
          </cell>
          <cell r="E95" t="str">
            <v>x</v>
          </cell>
          <cell r="F95" t="str">
            <v>Thiết kế, chế tạo máy phay gỗ CNC mini ứng dụng trong nghiên cứu và giảng dạy</v>
          </cell>
          <cell r="G95" t="str">
            <v>Huỳnh Minh Chiến 22143184</v>
          </cell>
          <cell r="H95" t="str">
            <v xml:space="preserve">Huỳnh Minh Chiến </v>
          </cell>
          <cell r="I95" t="str">
            <v>Cơ khí Chế tạo máy</v>
          </cell>
          <cell r="J95" t="str">
            <v>22143184</v>
          </cell>
          <cell r="K95" t="str">
            <v>Trần Minh Đức 22143202
Đặng Văn Hoa 22143206</v>
          </cell>
          <cell r="L95" t="str">
            <v>Nguyễn Trà Kim Quyên</v>
          </cell>
          <cell r="M95" t="str">
            <v>Khoa CKM</v>
          </cell>
          <cell r="N95" t="str">
            <v>linhdt@hcmute.edu.vn</v>
          </cell>
          <cell r="O95" t="str">
            <v>- Mô hình máy phay gỗ CNC mini
- Báo cáo tổng kết</v>
          </cell>
        </row>
        <row r="96">
          <cell r="B96" t="str">
            <v>SV2026-97</v>
          </cell>
          <cell r="C96" t="str">
            <v>v</v>
          </cell>
          <cell r="D96" t="str">
            <v>X</v>
          </cell>
          <cell r="F96" t="str">
            <v>Phát triển giải thuật chạy tự hành cho xe không người lái</v>
          </cell>
          <cell r="G96" t="str">
            <v>Nguyễn Công Danh 22146088</v>
          </cell>
          <cell r="H96" t="str">
            <v xml:space="preserve">Nguyễn Công Danh </v>
          </cell>
          <cell r="I96" t="str">
            <v>Cơ khí Chế tạo máy</v>
          </cell>
          <cell r="J96" t="str">
            <v>22146088</v>
          </cell>
          <cell r="K96" t="str">
            <v xml:space="preserve">Võ Đại Trí 23134058
Trần Trăng Sáng 23134050
Phạm Hoàng Thông 23134054
</v>
          </cell>
          <cell r="L96" t="str">
            <v xml:space="preserve">Nguyễn Lê Tường </v>
          </cell>
          <cell r="M96" t="str">
            <v>Khoa CKM</v>
          </cell>
          <cell r="N96" t="str">
            <v>tuongnl@hcmute.edu.vn</v>
          </cell>
          <cell r="O96" t="str">
            <v>- 01 Bài báo khoa học (đăng trên tạp chí trong nước trong danh mục của Hội đồng Giáo sư Nhà nước tính 0,5 điểm trở lên)
- Báo cáo tổng kết đề tài</v>
          </cell>
        </row>
        <row r="97">
          <cell r="B97" t="str">
            <v>SV2026-98</v>
          </cell>
          <cell r="C97" t="str">
            <v>v</v>
          </cell>
          <cell r="D97" t="str">
            <v>X</v>
          </cell>
          <cell r="F97" t="str">
            <v>Trạm điều khiển xe Robot tự hành QCAR.</v>
          </cell>
          <cell r="G97" t="str">
            <v>Võ Đại Trí 23134058</v>
          </cell>
          <cell r="H97" t="str">
            <v xml:space="preserve">Võ Đại Trí </v>
          </cell>
          <cell r="I97" t="str">
            <v>Cơ khí Chế tạo máy</v>
          </cell>
          <cell r="J97" t="str">
            <v>23134058</v>
          </cell>
          <cell r="K97" t="str">
            <v>Nguyễn Hữu Đan 22146099
Trương Quang Lê Đạt 22146105
Đào Việt Dũng 22146096</v>
          </cell>
          <cell r="L97" t="str">
            <v>Trần Thụy Uyên Phương</v>
          </cell>
          <cell r="M97" t="str">
            <v>Khoa CKM</v>
          </cell>
          <cell r="N97" t="str">
            <v>phuongttu@hcmute.edu.vn</v>
          </cell>
          <cell r="O97" t="str">
            <v>- 01 Bài báo khoa học (đăng trên tạp chí trong nước trong danh mục của Hội đồng Giáo sư Nhà nước tính 0,5 điểm trở lên)
- Báo cáo tổng kết đề tài</v>
          </cell>
        </row>
        <row r="98">
          <cell r="B98" t="str">
            <v>SV2026-99</v>
          </cell>
          <cell r="C98" t="str">
            <v>v</v>
          </cell>
          <cell r="D98" t="str">
            <v>X</v>
          </cell>
          <cell r="E98" t="str">
            <v>x</v>
          </cell>
          <cell r="F98" t="str">
            <v>Thiết kế chế tạo tủ bếp thông minh</v>
          </cell>
          <cell r="G98" t="str">
            <v>Trần Ngọc Thiên Kim 25138023</v>
          </cell>
          <cell r="H98" t="str">
            <v xml:space="preserve">Trần Ngọc Thiên Kim </v>
          </cell>
          <cell r="I98" t="str">
            <v>Cơ khí Chế tạo máy</v>
          </cell>
          <cell r="J98" t="str">
            <v>25138023</v>
          </cell>
          <cell r="K98" t="str">
            <v>Võ Ngọc Thanh Vy 24116285
Nguyễn Trần Xuân Phú 25134079</v>
          </cell>
          <cell r="L98" t="str">
            <v>Nguyễn Văn Đoàn</v>
          </cell>
          <cell r="M98" t="str">
            <v>Khoa CKM</v>
          </cell>
          <cell r="N98" t="str">
            <v>nvdoan@hcmute.edu.vn</v>
          </cell>
          <cell r="O98" t="str">
            <v>- Mô hình tủ bếp thông minh: Mô hình có cơ cấu đúng, có thể vận hành được.
- Báo cáo tổng kết</v>
          </cell>
        </row>
        <row r="99">
          <cell r="B99" t="str">
            <v>SV2026-100</v>
          </cell>
          <cell r="C99" t="str">
            <v>v</v>
          </cell>
          <cell r="D99" t="str">
            <v>X</v>
          </cell>
          <cell r="E99" t="str">
            <v>x</v>
          </cell>
          <cell r="F99" t="str">
            <v>Phân tích và tối ưu độ bền uốn của đường hàn của sản phẩm nhựa</v>
          </cell>
          <cell r="G99" t="str">
            <v>Đỗ Trần Nhật Minh 23144119</v>
          </cell>
          <cell r="H99" t="str">
            <v xml:space="preserve">Đỗ Trần Nhật Minh </v>
          </cell>
          <cell r="I99" t="str">
            <v>Cơ khí Chế tạo máy</v>
          </cell>
          <cell r="J99" t="str">
            <v>23144119</v>
          </cell>
          <cell r="K99" t="str">
            <v>Trần Nhất Long 23144116</v>
          </cell>
          <cell r="L99" t="str">
            <v>Võ Kim Hằng</v>
          </cell>
          <cell r="M99" t="str">
            <v>Khoa CKM</v>
          </cell>
          <cell r="N99" t="str">
            <v>hangvk@hcmute.edu.vn</v>
          </cell>
          <cell r="O99" t="str">
            <v>- 02 Bài báo khoa học đăng trên tạp chí trong nước trong danh mục của HĐ GSNN tính từ 0,5 điểm trở lên</v>
          </cell>
        </row>
        <row r="100">
          <cell r="B100" t="str">
            <v>SV2026-101</v>
          </cell>
          <cell r="C100" t="str">
            <v>v</v>
          </cell>
          <cell r="D100" t="str">
            <v>X</v>
          </cell>
          <cell r="F100" t="str">
            <v>Ứng dụng phương pháp tạo hình theo lớp trong chế tạo các mẫu thử xoắn</v>
          </cell>
          <cell r="G100" t="str">
            <v>Nguyễn Thành Luân 22144142</v>
          </cell>
          <cell r="H100" t="str">
            <v xml:space="preserve">Nguyễn Thành Luân </v>
          </cell>
          <cell r="I100" t="str">
            <v>Cơ khí Chế tạo máy</v>
          </cell>
          <cell r="J100" t="str">
            <v>22144142</v>
          </cell>
          <cell r="K100" t="str">
            <v>Nguyễn Hoàng Đạt 20143193
Huỳnh Thiện Phát 22144160</v>
          </cell>
          <cell r="L100" t="str">
            <v>Phạm Sơn Minh</v>
          </cell>
          <cell r="M100" t="str">
            <v>Khoa CKM</v>
          </cell>
          <cell r="N100" t="str">
            <v>minhps@hcmute.edu.vn</v>
          </cell>
          <cell r="O100" t="str">
            <v>- 02 Bài báo khoa học đăng trên tạp chí trong nước trong danh mục của HĐ GSNN tính từ 0,5 điểm trở lên</v>
          </cell>
        </row>
        <row r="101">
          <cell r="B101" t="str">
            <v>SV2026-102</v>
          </cell>
          <cell r="C101" t="str">
            <v>v</v>
          </cell>
          <cell r="D101" t="str">
            <v>X</v>
          </cell>
          <cell r="E101" t="str">
            <v>x</v>
          </cell>
          <cell r="F101" t="str">
            <v>Nghiên cứu tăng cường liên kết trong feedstock composite bằng pha wax /soluble cho công nghệ ép phun</v>
          </cell>
          <cell r="G101" t="str">
            <v>Cù Khánh An 22144045</v>
          </cell>
          <cell r="H101" t="str">
            <v xml:space="preserve">Cù Khánh An </v>
          </cell>
          <cell r="I101" t="str">
            <v>Cơ khí Chế tạo máy</v>
          </cell>
          <cell r="J101" t="str">
            <v>22144045</v>
          </cell>
          <cell r="K101" t="str">
            <v>Đỗ Huy Thức 22144206
Trương Anh Thuận 22144205
Giang Tính 22144211</v>
          </cell>
          <cell r="L101" t="str">
            <v>Nguyễn Văn Thức</v>
          </cell>
          <cell r="M101" t="str">
            <v>Khoa CKM</v>
          </cell>
          <cell r="N101" t="str">
            <v>nvthuc@hcmute.edu.vn</v>
          </cell>
          <cell r="O101" t="str">
            <v>- 01 Báo cáo tổng kết:Đạt yêu cầu của báo cáo khoa học.</v>
          </cell>
        </row>
        <row r="102">
          <cell r="B102" t="str">
            <v>SV2026-103</v>
          </cell>
          <cell r="C102" t="str">
            <v>v</v>
          </cell>
          <cell r="D102"/>
          <cell r="F102" t="str">
            <v xml:space="preserve">Thiết kế và điều khiển mô hình tời trợ lực truyền động bằng cáp </v>
          </cell>
          <cell r="G102" t="str">
            <v>Nguyễn Thành Quý 22146209</v>
          </cell>
          <cell r="H102" t="str">
            <v xml:space="preserve">Nguyễn Thành Quý </v>
          </cell>
          <cell r="I102" t="str">
            <v>Cơ khí Chế tạo máy</v>
          </cell>
          <cell r="J102" t="str">
            <v>22146209</v>
          </cell>
          <cell r="K102" t="str">
            <v>Phạm Gia Thiều 22146230
Vạn Trung Quân 22146204
Cao Hoàng Trí Quang 22146200
Cấn Mạnh Toàn 22146241</v>
          </cell>
          <cell r="L102" t="str">
            <v>Tưởng Phước Thọ</v>
          </cell>
          <cell r="M102" t="str">
            <v>Khoa CKM</v>
          </cell>
          <cell r="N102" t="str">
            <v>thotp@hcmute.edu.vn</v>
          </cell>
          <cell r="O102" t="str">
            <v>- Mô hình tời trợ lực tải trọng 5kg và hành trình cáp 2m.
- 01 Báo cáo tổng kết</v>
          </cell>
        </row>
        <row r="103">
          <cell r="B103" t="str">
            <v>SV2026-104</v>
          </cell>
          <cell r="C103" t="str">
            <v>v</v>
          </cell>
          <cell r="D103" t="str">
            <v>X</v>
          </cell>
          <cell r="E103" t="str">
            <v>x</v>
          </cell>
          <cell r="F103" t="str">
            <v xml:space="preserve">Chế tạo mô hình thí nghiệm cơ nhân tạo sử dụng khí nén </v>
          </cell>
          <cell r="G103" t="str">
            <v>Nguyễn Duy Khanh 23145330</v>
          </cell>
          <cell r="H103" t="str">
            <v xml:space="preserve">Nguyễn Duy Khanh </v>
          </cell>
          <cell r="I103" t="str">
            <v>Cơ khí Chế tạo máy</v>
          </cell>
          <cell r="J103" t="str">
            <v>23145330</v>
          </cell>
          <cell r="K103" t="str">
            <v xml:space="preserve">		Huỳnh Duy Hưng 23144221</v>
          </cell>
          <cell r="L103" t="str">
            <v>Đặng Hùng Sơn</v>
          </cell>
          <cell r="M103" t="str">
            <v>Khoa Giao thông và Năng lượng</v>
          </cell>
          <cell r="N103" t="str">
            <v>sondh@hcmute.edu.vn</v>
          </cell>
          <cell r="O103" t="str">
            <v>- 02 Bài báo khoa học đăng trên tạp chí trong nước trong danh mục của HĐ GSNN tính từ 0,5 điểm trở lên</v>
          </cell>
        </row>
        <row r="104">
          <cell r="B104" t="str">
            <v>SV2026-105</v>
          </cell>
          <cell r="C104" t="str">
            <v>v</v>
          </cell>
          <cell r="D104" t="str">
            <v>X</v>
          </cell>
          <cell r="F104" t="str">
            <v>Nghiên cứu, thiết kế cải tiến và mô phỏng hộp số Harmonic phục vụ học tập bảo dưỡng cơ khí</v>
          </cell>
          <cell r="G104" t="str">
            <v>Nguyễn Trương Phú Khoa 23144101</v>
          </cell>
          <cell r="H104" t="str">
            <v xml:space="preserve">Nguyễn Trương Phú Khoa </v>
          </cell>
          <cell r="I104" t="str">
            <v>Cơ khí Chế tạo máy</v>
          </cell>
          <cell r="J104" t="str">
            <v>23144101</v>
          </cell>
          <cell r="K104" t="str">
            <v>Tôn Lê Minh Đức 23144065
Nguyễn Huy Hoàng 23144081
Phạm Gia Huy 23144087
Phan Anh Khoa 23144102</v>
          </cell>
          <cell r="L104" t="str">
            <v>Dương Thị Vân Anh</v>
          </cell>
          <cell r="M104" t="str">
            <v>Khoa CKM</v>
          </cell>
          <cell r="N104" t="str">
            <v>anhdtv@hcmute.edu.vn</v>
          </cell>
          <cell r="O104" t="str">
            <v>- 01 Báo cáo tổng kết: Đạt yêu cầu của báo cáo khoa học.</v>
          </cell>
        </row>
        <row r="105">
          <cell r="B105" t="str">
            <v>SV2026-106</v>
          </cell>
          <cell r="C105" t="str">
            <v>v</v>
          </cell>
          <cell r="D105"/>
          <cell r="F105" t="str">
            <v xml:space="preserve">Nghiên cứu và ứng dụng công nghệ in 3D trong chế tạo khuôn uốn ống </v>
          </cell>
          <cell r="G105" t="str">
            <v>Nguyễn Hữu Trọng 23143371</v>
          </cell>
          <cell r="H105" t="str">
            <v xml:space="preserve">Nguyễn Hữu Trọng </v>
          </cell>
          <cell r="I105" t="str">
            <v>Cơ khí Chế tạo máy</v>
          </cell>
          <cell r="J105" t="str">
            <v>23143371</v>
          </cell>
          <cell r="K105" t="str">
            <v>Trần Gia Bảo 23143227
Lưu Đình Kiên 23143289</v>
          </cell>
          <cell r="L105" t="str">
            <v>Trần Ngọc Thiện</v>
          </cell>
          <cell r="M105" t="str">
            <v>Khoa CKM</v>
          </cell>
          <cell r="N105" t="str">
            <v>thientn@hcmute.edu.vn</v>
          </cell>
          <cell r="O105" t="str">
            <v>- Mô hình khuôn
-Bản vẽ thiết kế khuôn
- Báo cáo tổng kết:Đạt yêu cầu báo cáo khoa học</v>
          </cell>
        </row>
        <row r="106">
          <cell r="B106" t="str">
            <v>SV2026-108</v>
          </cell>
          <cell r="C106" t="str">
            <v>v</v>
          </cell>
          <cell r="D106" t="str">
            <v>X</v>
          </cell>
          <cell r="E106" t="str">
            <v>x</v>
          </cell>
          <cell r="F106" t="str">
            <v>Ứng dụng lý thuyết đồ thị trong bài toán tính lượng dư gia công cắt gọt kim loại</v>
          </cell>
          <cell r="G106" t="str">
            <v>Đinh Thành Luân 23143024</v>
          </cell>
          <cell r="H106" t="str">
            <v xml:space="preserve">Đinh Thành Luân </v>
          </cell>
          <cell r="I106" t="str">
            <v>Cơ khí Chế tạo máy</v>
          </cell>
          <cell r="J106" t="str">
            <v>23143024</v>
          </cell>
          <cell r="K106" t="str">
            <v>Trần Trung Tính 23143206
Phan Văn Phúc 23143031</v>
          </cell>
          <cell r="L106" t="str">
            <v>Nguyễn Hoài Nam</v>
          </cell>
          <cell r="M106" t="str">
            <v>Khoa CKM</v>
          </cell>
          <cell r="N106" t="str">
            <v>namnh@hcmute.edu.vn</v>
          </cell>
          <cell r="O106" t="str">
            <v>- 01 Báo cáo tổng kết:Đạt yêu cầu của báo cáo khoa học.</v>
          </cell>
        </row>
        <row r="107">
          <cell r="B107" t="str">
            <v>SV2026-109</v>
          </cell>
          <cell r="C107" t="str">
            <v>v</v>
          </cell>
          <cell r="D107" t="str">
            <v>X</v>
          </cell>
          <cell r="F107" t="str">
            <v>Nghiên cứu, thiết kế và thực nghiệm hệ thống phân loại sản phẩm sử dụng trí tuệ nhân tạo đúc trên băng chuyền chi phí thấp.</v>
          </cell>
          <cell r="G107" t="str">
            <v>Võ Hồng Đức 24134023</v>
          </cell>
          <cell r="H107" t="str">
            <v xml:space="preserve">Võ Hồng Đức </v>
          </cell>
          <cell r="I107" t="str">
            <v>Cơ khí Chế tạo máy</v>
          </cell>
          <cell r="J107" t="str">
            <v>24134023</v>
          </cell>
          <cell r="K107" t="str">
            <v xml:space="preserve">Lê Thu Hoàng  24134025
Huỳnh Phúc Thịnh 24134068
Nguyễn Trần Hải Đăng 24134022
Nguyễn Khánh Duy 24134014          </v>
          </cell>
          <cell r="L107" t="str">
            <v>Nguyễn Lê Đăng Hải</v>
          </cell>
          <cell r="M107" t="str">
            <v>Khoa CKM</v>
          </cell>
          <cell r="N107" t="str">
            <v>hainld@hcmute.edu.vn</v>
          </cell>
          <cell r="O107" t="str">
            <v>-Mô hình thiết bị
- Bản vẽ mô hình
- Báo cáo tổng kết: Đạt yêu cầu báo cáo khoa học</v>
          </cell>
        </row>
        <row r="108">
          <cell r="B108" t="str">
            <v>SV2026-110</v>
          </cell>
          <cell r="C108" t="str">
            <v>v</v>
          </cell>
          <cell r="D108" t="str">
            <v>X</v>
          </cell>
          <cell r="E108" t="str">
            <v>x</v>
          </cell>
          <cell r="F108" t="str">
            <v>Nghiên cứu ảnh hưởng áp suất đến lực kéo của mô hình cơ nhân tạo ứng với các thiết kế khác nhau</v>
          </cell>
          <cell r="G108" t="str">
            <v>Võ Hồng Bảo 24144119</v>
          </cell>
          <cell r="H108" t="str">
            <v xml:space="preserve">Võ Hồng Bảo </v>
          </cell>
          <cell r="I108" t="str">
            <v>Cơ khí Chế tạo máy</v>
          </cell>
          <cell r="J108" t="str">
            <v>24144119</v>
          </cell>
          <cell r="K108" t="str">
            <v>Võ Thuận Phát 241442595</v>
          </cell>
          <cell r="L108" t="str">
            <v>Trần Thái Sơn</v>
          </cell>
          <cell r="M108" t="str">
            <v>Khoa CKM</v>
          </cell>
          <cell r="N108" t="str">
            <v>tranthaison@hcmute.edu.vn</v>
          </cell>
          <cell r="O108" t="str">
            <v>- 02 Bài báo khoa học đăng trên tạp chí trong nước trong danh mục của HĐ GSNN tính từ 0,5 điểm trở lên</v>
          </cell>
        </row>
        <row r="109">
          <cell r="B109" t="str">
            <v>SV2026-111</v>
          </cell>
          <cell r="C109" t="str">
            <v>v</v>
          </cell>
          <cell r="D109" t="str">
            <v>X</v>
          </cell>
          <cell r="E109" t="str">
            <v>x</v>
          </cell>
          <cell r="F109" t="str">
            <v>Nghiên cứu lắp ráp hệ thống điều khiển mô hình chân 3 bậc tự do cho chân của robot</v>
          </cell>
          <cell r="G109" t="str">
            <v>Trần Khải An 24144109</v>
          </cell>
          <cell r="H109" t="str">
            <v xml:space="preserve">Trần Khải An </v>
          </cell>
          <cell r="I109" t="str">
            <v>Cơ khí Chế tạo máy</v>
          </cell>
          <cell r="J109" t="str">
            <v>24144109</v>
          </cell>
          <cell r="K109" t="str">
            <v xml:space="preserve">Nguyễn Thành Danh 22144006
Phạm Ngô Gia Huy 22144016
</v>
          </cell>
          <cell r="L109" t="str">
            <v>Trần Thái Sơn</v>
          </cell>
          <cell r="M109" t="str">
            <v>Khoa CKM</v>
          </cell>
          <cell r="N109" t="str">
            <v>tranthaison@hcmute.edu.vn</v>
          </cell>
          <cell r="O109" t="str">
            <v>- 02 Bài báo khoa học đăng trên tạp chí trong nước trong danh mục của HĐ GSNN tính từ 0,5 điểm trở lên</v>
          </cell>
        </row>
        <row r="110">
          <cell r="B110" t="str">
            <v>SV2026-112</v>
          </cell>
          <cell r="C110" t="str">
            <v>v</v>
          </cell>
          <cell r="D110" t="str">
            <v>X</v>
          </cell>
          <cell r="E110"/>
          <cell r="F110" t="str">
            <v>Nghiên cứu ảnh hưởng thông số tạo hình theo lớp đến độ bền mẫu thử</v>
          </cell>
          <cell r="G110" t="str">
            <v>Nguyễn Đỗ Hoàng An 24104003</v>
          </cell>
          <cell r="H110" t="str">
            <v xml:space="preserve">Nguyễn Đỗ Hoàng An </v>
          </cell>
          <cell r="I110" t="str">
            <v>Cơ khí Chế tạo máy</v>
          </cell>
          <cell r="J110" t="str">
            <v>24104003</v>
          </cell>
          <cell r="K110" t="str">
            <v>Nguyễn Hữu Cường 24104007
Lê Huỳnh 24142218</v>
          </cell>
          <cell r="L110" t="str">
            <v>Nguyễn Văn Sơn</v>
          </cell>
          <cell r="M110" t="str">
            <v>Khoa CKM</v>
          </cell>
          <cell r="N110" t="str">
            <v>sonnv@hcmute.edu.vn</v>
          </cell>
          <cell r="O110" t="str">
            <v>- 02 Bài báo khoa học đăng trên tạp chí trong nước trong danh mục của HĐ GSNN tính từ 0,5 điểm trở lên</v>
          </cell>
        </row>
        <row r="111">
          <cell r="B111" t="str">
            <v>SV2026-113</v>
          </cell>
          <cell r="C111" t="str">
            <v>v</v>
          </cell>
          <cell r="D111" t="str">
            <v>X</v>
          </cell>
          <cell r="E111"/>
          <cell r="F111" t="str">
            <v>Chế tạo và lắp ráp mô hình  robot 4 chân</v>
          </cell>
          <cell r="G111" t="str">
            <v>Võ Hoàng Việt 21143422</v>
          </cell>
          <cell r="H111" t="str">
            <v xml:space="preserve">Võ Hoàng Việt </v>
          </cell>
          <cell r="I111" t="str">
            <v>Cơ khí Chế tạo máy</v>
          </cell>
          <cell r="J111" t="str">
            <v>21143422</v>
          </cell>
          <cell r="K111" t="str">
            <v>Nguyễn Trung Hiếu 19144120</v>
          </cell>
          <cell r="L111" t="str">
            <v>Phan Công Bình</v>
          </cell>
          <cell r="M111" t="str">
            <v>Khoa CKM</v>
          </cell>
          <cell r="N111" t="str">
            <v>binhpc@hcmute.edu.vn</v>
          </cell>
          <cell r="O111" t="str">
            <v>- 02 Bài báo khoa học đăng trên tạp chí trong nước trong danh mục của HĐ GSNN tính từ 0,5 điểm trở lên</v>
          </cell>
        </row>
        <row r="112">
          <cell r="B112" t="str">
            <v>SV2026-114</v>
          </cell>
          <cell r="C112" t="str">
            <v>v</v>
          </cell>
          <cell r="D112" t="str">
            <v>X</v>
          </cell>
          <cell r="E112"/>
          <cell r="F112" t="str">
            <v>Nghiên cứu chế tạo mô hình thử áp suất ống composite</v>
          </cell>
          <cell r="G112" t="str">
            <v>Dương Xuân Khải 22144119</v>
          </cell>
          <cell r="H112" t="str">
            <v xml:space="preserve">Dương Xuân Khải </v>
          </cell>
          <cell r="I112" t="str">
            <v>Cơ khí Chế tạo máy</v>
          </cell>
          <cell r="J112" t="str">
            <v>22144119</v>
          </cell>
          <cell r="K112" t="str">
            <v>Võ Anh Hào 22144086
Nguyễn Gia Huy 22144101
Tạ Ngọc Tuấn Kiêt 22144131</v>
          </cell>
          <cell r="L112" t="str">
            <v>Phan Thị Đăng Thư</v>
          </cell>
          <cell r="M112" t="str">
            <v>Khoa CKM</v>
          </cell>
          <cell r="N112" t="str">
            <v>thuptd@hcmute.edu.vn</v>
          </cell>
          <cell r="O112" t="str">
            <v>- Báo cáo tổng kết: 	Đạt yêu cầu báo cáo khoa học</v>
          </cell>
        </row>
        <row r="113">
          <cell r="B113" t="str">
            <v>SV2026-115</v>
          </cell>
          <cell r="C113" t="str">
            <v>v</v>
          </cell>
          <cell r="D113" t="str">
            <v>X</v>
          </cell>
          <cell r="E113"/>
          <cell r="F113" t="str">
            <v>Chế tạo mô hình điều khiển cơ nhân tạo hỗ trợ lực nâng cho cánh tay</v>
          </cell>
          <cell r="G113" t="str">
            <v>Ngô Đức Long 22144137</v>
          </cell>
          <cell r="H113" t="str">
            <v xml:space="preserve">Ngô Đức Long </v>
          </cell>
          <cell r="I113" t="str">
            <v>Cơ khí Chế tạo máy</v>
          </cell>
          <cell r="J113" t="str">
            <v>22144137</v>
          </cell>
          <cell r="K113" t="str">
            <v>Ngô Sĩ Đăng 22143098</v>
          </cell>
          <cell r="L113" t="str">
            <v>Lê Minh Tài</v>
          </cell>
          <cell r="M113" t="str">
            <v>Khoa CKM</v>
          </cell>
          <cell r="N113" t="str">
            <v>tailm@hcmute.edu.vn</v>
          </cell>
          <cell r="O113" t="str">
            <v>- 02 Bài báo khoa học đăng trên tạp chí trong nước trong danh mục của HĐ GSNN tính từ 0,5 điểm trở lên</v>
          </cell>
        </row>
        <row r="114">
          <cell r="B114" t="str">
            <v>SV2026-116</v>
          </cell>
          <cell r="C114" t="str">
            <v>v</v>
          </cell>
          <cell r="D114" t="str">
            <v>X</v>
          </cell>
          <cell r="E114"/>
          <cell r="F114" t="str">
            <v>Xe robot tự cân bằng</v>
          </cell>
          <cell r="G114" t="str">
            <v>Nguyễn Thiện Nhân 23134041</v>
          </cell>
          <cell r="H114" t="str">
            <v xml:space="preserve">Nguyễn Thiện Nhân </v>
          </cell>
          <cell r="I114" t="str">
            <v>Cơ khí Chế tạo máy</v>
          </cell>
          <cell r="J114" t="str">
            <v>23134041</v>
          </cell>
          <cell r="K114" t="str">
            <v>Phạm Đức Huy 23134026
Lưu Tấn Phát 23134043
Vũ Phạm Đức Văn 23134064
Trương Hồng Lĩnh 23134035</v>
          </cell>
          <cell r="L114" t="str">
            <v>Nguyễn Lê Tường</v>
          </cell>
          <cell r="M114" t="str">
            <v>Khoa CKM</v>
          </cell>
          <cell r="N114" t="str">
            <v>tuongnl@hcmute.edu.vn</v>
          </cell>
          <cell r="O114" t="str">
            <v>- 01 Bài báo khoa học (đăng trên tạp chí trong nước trong danh mục của Hội đồng Giáo sư Nhà nước tính 0,5 điểm trở lên)
- Báo cáo tổng kết đề tài</v>
          </cell>
        </row>
        <row r="115">
          <cell r="B115" t="str">
            <v>SV2026-117</v>
          </cell>
          <cell r="C115" t="str">
            <v>R</v>
          </cell>
          <cell r="D115" t="str">
            <v>X</v>
          </cell>
          <cell r="E115"/>
          <cell r="F115" t="str">
            <v>Thiết kế, chế tạo, điều khiển hệ thống lưu kho tự động</v>
          </cell>
          <cell r="G115" t="str">
            <v>Nguyễn Phương Nguyên 22146361</v>
          </cell>
          <cell r="H115" t="str">
            <v xml:space="preserve">Nguyễn Phương Nguyên </v>
          </cell>
          <cell r="I115" t="str">
            <v>Cơ khí Chế tạo máy</v>
          </cell>
          <cell r="J115" t="str">
            <v>22146361</v>
          </cell>
          <cell r="K115" t="str">
            <v xml:space="preserve">Đinh Gia Khánh 22146330
Nguyễn Đoàn Anh Khoa 22146333
</v>
          </cell>
          <cell r="L115" t="str">
            <v>Nguyễn Văn Đoàn</v>
          </cell>
          <cell r="M115" t="str">
            <v>Khoa CKM</v>
          </cell>
          <cell r="N115" t="str">
            <v>nvdoan@hcmute.edu.vn</v>
          </cell>
          <cell r="O115" t="str">
            <v>-Mô hình hệ thống lưu kho tự động
- Bản vẽ của hệ thống: Đúng chuẩn TCVN
- Báo cáo tổng kết:  Đạt yêu cầu báo cáo khoa học</v>
          </cell>
        </row>
        <row r="116">
          <cell r="B116" t="str">
            <v>SV2026-118</v>
          </cell>
          <cell r="C116" t="str">
            <v>v</v>
          </cell>
          <cell r="D116" t="str">
            <v>X</v>
          </cell>
          <cell r="E116" t="str">
            <v>x</v>
          </cell>
          <cell r="F116" t="str">
            <v>Mô phỏng quá trình gia nhiệt bằng từ trường cho insert của khuôn</v>
          </cell>
          <cell r="G116" t="str">
            <v>Nguyễn Chí Chơn 22144253</v>
          </cell>
          <cell r="H116" t="str">
            <v xml:space="preserve">Nguyễn Chí Chơn </v>
          </cell>
          <cell r="I116" t="str">
            <v>Cơ khí Chế tạo máy</v>
          </cell>
          <cell r="J116" t="str">
            <v>22144253</v>
          </cell>
          <cell r="K116" t="str">
            <v>Võ Nguyễn Anh Tú 22144226
Lê Nhật Trung 22144040</v>
          </cell>
          <cell r="L116" t="str">
            <v>Võ Kim Hằng</v>
          </cell>
          <cell r="M116" t="str">
            <v>Khoa Giao thông và Năng lượng</v>
          </cell>
          <cell r="N116" t="str">
            <v>hangvk@hcmute.edu.vn</v>
          </cell>
          <cell r="O116" t="str">
            <v>- 02 Bài báo khoa học đăng trên tạp chí trong nước trong danh mục của HĐ GSNN tính từ 0,5 điểm trở lên</v>
          </cell>
        </row>
        <row r="117">
          <cell r="B117" t="str">
            <v>SV2026-119</v>
          </cell>
          <cell r="C117" t="str">
            <v>v</v>
          </cell>
          <cell r="D117" t="str">
            <v>X</v>
          </cell>
          <cell r="E117"/>
          <cell r="F117" t="str">
            <v>Thực nghiệm độ bền xoắn cho chi tiết nhựa</v>
          </cell>
          <cell r="G117" t="str">
            <v>Trịnh Hữu Dũng 22143091</v>
          </cell>
          <cell r="H117" t="str">
            <v xml:space="preserve">Trịnh Hữu Dũng </v>
          </cell>
          <cell r="I117" t="str">
            <v>Cơ khí Chế tạo máy</v>
          </cell>
          <cell r="J117" t="str">
            <v>22143091</v>
          </cell>
          <cell r="K117" t="str">
            <v>Trần Nguyễn Anh	 Quân 22144031</v>
          </cell>
          <cell r="L117" t="str">
            <v>Lê Minh Tài</v>
          </cell>
          <cell r="M117" t="str">
            <v>Khoa CKM</v>
          </cell>
          <cell r="N117" t="str">
            <v>tailm@hcmute.edu.vn</v>
          </cell>
          <cell r="O117" t="str">
            <v>- 02 Bài báo khoa học đăng trên tạp chí trong nước trong danh mục của HĐ GSNN tính từ 0,5 điểm trở lên</v>
          </cell>
        </row>
        <row r="118">
          <cell r="B118" t="str">
            <v>SV2026-120</v>
          </cell>
          <cell r="C118" t="str">
            <v>v</v>
          </cell>
          <cell r="D118" t="str">
            <v>X</v>
          </cell>
          <cell r="E118" t="str">
            <v>x</v>
          </cell>
          <cell r="F118" t="str">
            <v>Nghiên cứu qui trình chế tạo tấm khuôn bằng phương pháp tạo hình theo lớp</v>
          </cell>
          <cell r="G118" t="str">
            <v>Dương Hồng Đức 23144201</v>
          </cell>
          <cell r="H118" t="str">
            <v xml:space="preserve">Dương Hồng Đức </v>
          </cell>
          <cell r="I118" t="str">
            <v>Cơ khí Chế tạo máy</v>
          </cell>
          <cell r="J118" t="str">
            <v>23144201</v>
          </cell>
          <cell r="K118" t="str">
            <v>Huỳnh Trung Hậu 23144203</v>
          </cell>
          <cell r="L118" t="str">
            <v>Huỳnh Đỗ Song Toàn</v>
          </cell>
          <cell r="M118" t="str">
            <v>Khoa CKM</v>
          </cell>
          <cell r="N118" t="str">
            <v>toanhds@hcmute.edu.vn</v>
          </cell>
          <cell r="O118" t="str">
            <v xml:space="preserve"> - 02 Bài báo khoa học đăng trên tạp chí trong nước trong danh mục của HĐ GSNN tính từ 0,5 điểm trở lên</v>
          </cell>
        </row>
        <row r="119">
          <cell r="B119" t="str">
            <v>SV2026-121</v>
          </cell>
          <cell r="C119" t="str">
            <v>v</v>
          </cell>
          <cell r="D119" t="str">
            <v>X</v>
          </cell>
          <cell r="E119" t="str">
            <v>x</v>
          </cell>
          <cell r="F119" t="str">
            <v>Nghiên cứu qui trình phun ép sản phẩm tròn với vật liệu composite</v>
          </cell>
          <cell r="G119" t="str">
            <v>Lê Phước Hoàng 23144080</v>
          </cell>
          <cell r="H119" t="str">
            <v xml:space="preserve">Lê Phước Hoàng </v>
          </cell>
          <cell r="I119" t="str">
            <v>Cơ khí Chế tạo máy</v>
          </cell>
          <cell r="J119" t="str">
            <v>23144080</v>
          </cell>
          <cell r="K119" t="str">
            <v>Huỳnh Văn Hưỡng 23144091
Nguyễn Đình Nguyên 23144126</v>
          </cell>
          <cell r="L119" t="str">
            <v>Lê Bá Tân</v>
          </cell>
          <cell r="M119" t="str">
            <v>Khoa Giao thông và Năng lượng</v>
          </cell>
          <cell r="N119" t="str">
            <v>tanlb@hcmute.edu.vn</v>
          </cell>
          <cell r="O119" t="str">
            <v>- 02 Bài báo khoa học đăng trên tạp chí trong nước trong danh mục của HĐ GSNN tính từ 0,5 điểm trở lên</v>
          </cell>
        </row>
        <row r="120">
          <cell r="B120" t="str">
            <v>SV2026-122</v>
          </cell>
          <cell r="C120" t="str">
            <v>v</v>
          </cell>
          <cell r="D120" t="str">
            <v>X</v>
          </cell>
          <cell r="E120"/>
          <cell r="F120" t="str">
            <v>Cải tiến thiết kế và chế tạo bộ truyền bánh răng trong công nghệ hàn ống tự động (dạng hồ quang kín)</v>
          </cell>
          <cell r="G120" t="str">
            <v>Lê Văn Rây 23143344</v>
          </cell>
          <cell r="H120" t="str">
            <v xml:space="preserve">Lê Văn Rây </v>
          </cell>
          <cell r="I120" t="str">
            <v>Cơ khí Chế tạo máy</v>
          </cell>
          <cell r="J120" t="str">
            <v>23143344</v>
          </cell>
          <cell r="K120" t="str">
            <v>Phạm Hoàng Tiên Phong 23143329
'Huỳnh Minh Phúc Thuần 23143365</v>
          </cell>
          <cell r="L120" t="str">
            <v>Trần Ngọc Thiện</v>
          </cell>
          <cell r="M120" t="str">
            <v>Khoa CKM</v>
          </cell>
          <cell r="N120" t="str">
            <v xml:space="preserve">thientn@hcmute.edu.vn </v>
          </cell>
          <cell r="O120" t="str">
            <v xml:space="preserve">- Mô hình bộ truyền động bánh răng
- Tập bản vẽ
- Báo cáo tổng kết
</v>
          </cell>
        </row>
        <row r="121">
          <cell r="B121" t="str">
            <v>SV2026-123</v>
          </cell>
          <cell r="C121" t="str">
            <v>v</v>
          </cell>
          <cell r="D121" t="str">
            <v>X</v>
          </cell>
          <cell r="E121" t="str">
            <v>x</v>
          </cell>
          <cell r="F121" t="str">
            <v>Nghiên cứu thiết kế chế tạo eVTOL dùng trong vận tải</v>
          </cell>
          <cell r="G121" t="str">
            <v>Đoàn Hải Đăng 23134010</v>
          </cell>
          <cell r="H121" t="str">
            <v xml:space="preserve">Đoàn Hải Đăng </v>
          </cell>
          <cell r="I121" t="str">
            <v>Cơ khí Chế tạo máy</v>
          </cell>
          <cell r="J121" t="str">
            <v>23134010</v>
          </cell>
          <cell r="K121" t="str">
            <v>Nguyễn Văn An 24134002</v>
          </cell>
          <cell r="L121" t="str">
            <v>Hà Lê Như Ngọc Thành</v>
          </cell>
          <cell r="M121" t="str">
            <v>Khoa CKM</v>
          </cell>
          <cell r="N121" t="str">
            <v>thanh.hlnn@hcmute.edu.vn</v>
          </cell>
          <cell r="O121" t="str">
            <v>- Mô hình máy bay eVTOL
- Thuật toán điều khiển máy bay eVTOL
- Mô phỏng và điều khiển trên Matlab Simulink
- Báo cáo tổng kết: Đạt yêu cầu báo cáo khoa học</v>
          </cell>
        </row>
        <row r="122">
          <cell r="B122" t="str">
            <v>SV2026-124</v>
          </cell>
          <cell r="C122" t="str">
            <v>v</v>
          </cell>
          <cell r="D122" t="str">
            <v>X</v>
          </cell>
          <cell r="E122"/>
          <cell r="F122" t="str">
            <v>Giải thuật phát hiện đường đi và chướng ngại vật cho xe tự hành</v>
          </cell>
          <cell r="G122" t="str">
            <v>Nguyễn Quang Tùng 23134062</v>
          </cell>
          <cell r="H122" t="str">
            <v xml:space="preserve">Nguyễn Quang Tùng </v>
          </cell>
          <cell r="I122" t="str">
            <v>Cơ khí Chế tạo máy</v>
          </cell>
          <cell r="J122" t="str">
            <v>23134062</v>
          </cell>
          <cell r="K122" t="str">
            <v xml:space="preserve">Trần Trăng Sáng 23134050
Nguyễn Trung Tín 23134055
Trần Gia Huy 23134027 </v>
          </cell>
          <cell r="L122" t="str">
            <v>Lê Thanh Tùng</v>
          </cell>
          <cell r="M122" t="str">
            <v>Khoa CKM</v>
          </cell>
          <cell r="N122" t="str">
            <v>tunglt@hcmute.edu.vn</v>
          </cell>
          <cell r="O122" t="str">
            <v>- Mô hình hệ thống thu nhận hình ảnh và nhận dạng vạch kẻ đường
- Báo cáo tổng kết</v>
          </cell>
        </row>
        <row r="123">
          <cell r="B123" t="str">
            <v>SV2026-125</v>
          </cell>
          <cell r="C123" t="str">
            <v>v</v>
          </cell>
          <cell r="D123" t="str">
            <v>X</v>
          </cell>
          <cell r="E123"/>
          <cell r="F123" t="str">
            <v>Thiết kế mô hình robot 4 chân</v>
          </cell>
          <cell r="G123" t="str">
            <v>Lê Nguyễn Anh Khoa 21143063</v>
          </cell>
          <cell r="H123" t="str">
            <v xml:space="preserve">Lê Nguyễn Anh Khoa </v>
          </cell>
          <cell r="I123" t="str">
            <v>Cơ khí Chế tạo máy</v>
          </cell>
          <cell r="J123" t="str">
            <v>21143063</v>
          </cell>
          <cell r="K123" t="str">
            <v>Đoàn Tấn Đạt 19143103</v>
          </cell>
          <cell r="L123" t="str">
            <v>Lê Bá Tân</v>
          </cell>
          <cell r="M123" t="str">
            <v>Khoa CKM</v>
          </cell>
          <cell r="N123" t="str">
            <v>tanlb@hcmute.edu.vn</v>
          </cell>
          <cell r="O123" t="str">
            <v>- 02 Bài báo khoa học đăng trên tạp chí trong nước trong danh mục của HĐ GSNN tính từ 0,5 điểm trở lên</v>
          </cell>
        </row>
        <row r="124">
          <cell r="B124" t="str">
            <v>SV2026-126</v>
          </cell>
          <cell r="C124" t="str">
            <v>v</v>
          </cell>
          <cell r="D124" t="str">
            <v>X</v>
          </cell>
          <cell r="E124"/>
          <cell r="F124" t="str">
            <v>Mô hình hóa và thiết kế bộ điều khiển cho Robot SCARA đánh cờ Caro với quỹ đạo là tín hiệu tham chiếu từ camera</v>
          </cell>
          <cell r="G124" t="str">
            <v>Phạm Thanh Trí 22134015</v>
          </cell>
          <cell r="H124" t="str">
            <v xml:space="preserve">Phạm Thanh Trí </v>
          </cell>
          <cell r="I124" t="str">
            <v>Cơ khí Chế tạo máy</v>
          </cell>
          <cell r="J124" t="str">
            <v>22134015</v>
          </cell>
          <cell r="K124" t="str">
            <v xml:space="preserve">Phạm Quang Nghĩa 22134007
Vũ Trung Tâm 22146396
Đào Hồng Anh 23146171
</v>
          </cell>
          <cell r="L124" t="str">
            <v>Trần Minh Thiên</v>
          </cell>
          <cell r="M124" t="str">
            <v>Khoa CKM</v>
          </cell>
          <cell r="N124" t="str">
            <v>thientm@hcmute.edu.vn</v>
          </cell>
          <cell r="O124" t="str">
            <v>- Bài báo khoa học: đăng trên tạp chí không thuộc mục 1; hoặc bài báo đăng trên hội thảo khoa học quốc tế có chỉ số xuất bản ISSN/ISBN; hoặc sản phẩm mô hình, thiết bị (không có hợp đồng chuyển giao công nghệ).
- Báo cáo tổng kết</v>
          </cell>
        </row>
        <row r="125">
          <cell r="B125" t="str">
            <v>SV2026-127</v>
          </cell>
          <cell r="C125" t="str">
            <v>v</v>
          </cell>
          <cell r="D125" t="str">
            <v>X</v>
          </cell>
          <cell r="E125" t="str">
            <v>x</v>
          </cell>
          <cell r="F125" t="str">
            <v>Phân tích dữ liệu và tối ưu hóa thông số giảm chấn cho cán dao phay theo phương pháp Taguchi - ANOVA trong trường hợp phay góc cong</v>
          </cell>
          <cell r="G125" t="str">
            <v>Nguyễn Văn Quang 23144142</v>
          </cell>
          <cell r="H125" t="str">
            <v xml:space="preserve">Nguyễn Văn Quang </v>
          </cell>
          <cell r="I125" t="str">
            <v>Cơ khí Chế tạo máy</v>
          </cell>
          <cell r="J125" t="str">
            <v>23144142</v>
          </cell>
          <cell r="K125" t="str">
            <v>Nguyễn Quốc Thắng 23144157
Nhữ Đình Bảo Phúc 23144139</v>
          </cell>
          <cell r="L125" t="str">
            <v>Nguyễn Lê Hồng Sơn</v>
          </cell>
          <cell r="M125" t="str">
            <v>Khoa Giao thông và Năng lượng</v>
          </cell>
          <cell r="N125" t="str">
            <v>sonnlh@hcmute.edu.vn</v>
          </cell>
          <cell r="O125" t="str">
            <v>- 02 Bài báo khoa học đăng trên tạp chí trong nước trong danh mục của HĐ GSNN tính từ 0,5 điểm trở lên</v>
          </cell>
        </row>
        <row r="126">
          <cell r="B126" t="str">
            <v>SV2026-128</v>
          </cell>
          <cell r="C126" t="str">
            <v>v</v>
          </cell>
          <cell r="D126" t="str">
            <v>X</v>
          </cell>
          <cell r="E126"/>
          <cell r="F126" t="str">
            <v>Nghiên cứu cơ tính của chất dẻo sinh học tinh bột bắp và PVA</v>
          </cell>
          <cell r="G126" t="str">
            <v>Trần Trọng Tín
22143161</v>
          </cell>
          <cell r="H126" t="str">
            <v xml:space="preserve">Trần Trọng Tín
</v>
          </cell>
          <cell r="I126" t="str">
            <v>Cơ khí Chế tạo máy</v>
          </cell>
          <cell r="J126" t="str">
            <v>22143161</v>
          </cell>
          <cell r="K126" t="str">
            <v>Trần Văn Lợi 22143128
Nguyễn Tấn Thanh Long 22143124
Võ Tiến Phát 22143139
Hoàng Minh Nhật  22143136</v>
          </cell>
          <cell r="L126" t="str">
            <v>Phạm Thị Hồng Nga</v>
          </cell>
          <cell r="M126" t="str">
            <v>Khoa CKM</v>
          </cell>
          <cell r="N126" t="str">
            <v>hongnga@hcmute.edu.vn</v>
          </cell>
          <cell r="O126" t="str">
            <v>- 01 Bài báo khoa học (đăng trên tạp chí trong nước trong danh mục của Hội đồng Giáo sư Nhà nước tính 0,5 điểm trở lên) 
- Bản báo cáo phân tích kết quả
- Mẫu thử cơ tính
- Báo cáo tổng kết</v>
          </cell>
        </row>
        <row r="127">
          <cell r="B127" t="str">
            <v>SV2026-129</v>
          </cell>
          <cell r="C127" t="str">
            <v>v</v>
          </cell>
          <cell r="D127" t="str">
            <v>X</v>
          </cell>
          <cell r="E127" t="str">
            <v>x</v>
          </cell>
          <cell r="F127" t="str">
            <v>Thiết kế chế tạo bàn gỗ gấp mở tự động</v>
          </cell>
          <cell r="G127" t="str">
            <v>Tống Khánh Linh 25138025</v>
          </cell>
          <cell r="H127" t="str">
            <v xml:space="preserve">Tống Khánh Linh </v>
          </cell>
          <cell r="I127" t="str">
            <v>Cơ khí Chế tạo máy</v>
          </cell>
          <cell r="J127" t="str">
            <v>25138025</v>
          </cell>
          <cell r="K127" t="str">
            <v>Lâm Xương Duy 25138008
Trần Lương Minh Anh 25134002</v>
          </cell>
          <cell r="L127" t="str">
            <v>Nguyễn Văn Đoàn</v>
          </cell>
          <cell r="M127" t="str">
            <v>Khoa CKM</v>
          </cell>
          <cell r="N127" t="str">
            <v>nvdoan@hcmute.edu.vn</v>
          </cell>
          <cell r="O127" t="str">
            <v>- Mô hình bàn gỗ gấp mở tự động
- Bản vẽ bàn gỗ gấp mở tự động
- Báo cáo tổng kết: :Đạt yêu cầu báo cáo khoa học</v>
          </cell>
        </row>
        <row r="128">
          <cell r="B128" t="str">
            <v>SV2026-130</v>
          </cell>
          <cell r="C128" t="str">
            <v>v</v>
          </cell>
          <cell r="D128" t="str">
            <v>X</v>
          </cell>
          <cell r="E128"/>
          <cell r="F128" t="str">
            <v>Thiết kế và mô phỏng hệ thống rót cho chi tiết đồ lưu niệm trong công nghệ đúc mẫu chảy</v>
          </cell>
          <cell r="G128" t="str">
            <v>Huỳnh An Khang 23144094</v>
          </cell>
          <cell r="H128" t="str">
            <v xml:space="preserve">Huỳnh An Khang </v>
          </cell>
          <cell r="I128" t="str">
            <v>Cơ khí Chế tạo máy</v>
          </cell>
          <cell r="J128" t="str">
            <v>23144094</v>
          </cell>
          <cell r="K128" t="str">
            <v>Phạm Quang Hưng 23144089
Lê Hữu Anh Tuấn 23143084</v>
          </cell>
          <cell r="L128" t="str">
            <v>Hoàng Văn Hướng</v>
          </cell>
          <cell r="M128" t="str">
            <v>Khoa CKM</v>
          </cell>
          <cell r="N128" t="str">
            <v>huonghv@hcmute.edu.vn</v>
          </cell>
          <cell r="O128" t="str">
            <v xml:space="preserve"> - Tập bản vẽ: Tập bản vẽ theo tiêu chuẩn TCVN
- Báo cáo tổng kết</v>
          </cell>
        </row>
        <row r="129">
          <cell r="B129" t="str">
            <v>SV2026-131</v>
          </cell>
          <cell r="C129" t="str">
            <v>v</v>
          </cell>
          <cell r="D129" t="str">
            <v>X</v>
          </cell>
          <cell r="E129"/>
          <cell r="F129" t="str">
            <v>Nghiên cứu cơ tính của hỗn hợp vật liệu PP/PBT/PA6/EVA</v>
          </cell>
          <cell r="G129" t="str">
            <v>Nguyễn Kiến Quốc 23144147</v>
          </cell>
          <cell r="H129" t="str">
            <v xml:space="preserve">Nguyễn Kiến Quốc </v>
          </cell>
          <cell r="I129" t="str">
            <v>Cơ khí Chế tạo máy</v>
          </cell>
          <cell r="J129" t="str">
            <v>23144147</v>
          </cell>
          <cell r="K129" t="str">
            <v>Nguyễn Nhựt Hào 23144067
Nguyễn Chí Khang 23144095
Hoàng Đại Hiếu 23144072
Võ Trường Giang 23144066</v>
          </cell>
          <cell r="L129" t="str">
            <v>Phạm Thị Hồng Nga</v>
          </cell>
          <cell r="M129" t="str">
            <v>Khoa CKM</v>
          </cell>
          <cell r="N129" t="str">
            <v>hongnga@hcmute.edu.vn</v>
          </cell>
          <cell r="O129" t="str">
            <v>- 01 Bài báo khoa học (đăng trên tạp chí trong nước trong danh mục của Hội đồng Giáo sư Nhà nước tính 0,5 điểm trở lên)
- Báo cáo tổng kết đề tài</v>
          </cell>
        </row>
        <row r="130">
          <cell r="B130" t="str">
            <v>SV2026-132</v>
          </cell>
          <cell r="C130" t="str">
            <v>v</v>
          </cell>
          <cell r="D130" t="str">
            <v>X</v>
          </cell>
          <cell r="E130"/>
          <cell r="F130" t="str">
            <v>Trạm điều khiển drone</v>
          </cell>
          <cell r="G130" t="str">
            <v>Trịnh Nhựt Phát 23134044</v>
          </cell>
          <cell r="H130" t="str">
            <v xml:space="preserve">Trịnh Nhựt Phát </v>
          </cell>
          <cell r="I130" t="str">
            <v>Cơ khí Chế tạo máy</v>
          </cell>
          <cell r="J130" t="str">
            <v>23134044</v>
          </cell>
          <cell r="K130" t="str">
            <v>Hồ Quốc Việt 23134065
Lương Gia Bảo 23134003
Nguyễn Hoàng Phát 22146189
Phan Công Tâm 22146215</v>
          </cell>
          <cell r="L130" t="str">
            <v>Lê Thanh Tùng</v>
          </cell>
          <cell r="M130" t="str">
            <v>Khoa CKM</v>
          </cell>
          <cell r="N130" t="str">
            <v>tunglt@hcmute.edu.vn</v>
          </cell>
          <cell r="O130" t="str">
            <v>- Mô hình drone thực nghiệm
- Chương trình trạm điều khiển 
- Báo cáo tổng kết đề tài</v>
          </cell>
        </row>
        <row r="131">
          <cell r="B131" t="str">
            <v>SV2026-133</v>
          </cell>
          <cell r="C131" t="str">
            <v>v</v>
          </cell>
          <cell r="D131" t="str">
            <v>X</v>
          </cell>
          <cell r="E131"/>
          <cell r="F131" t="str">
            <v>Thiết kế chế tạo máy tạo rung động</v>
          </cell>
          <cell r="G131" t="str">
            <v>Lê Minh Đạt 23144058</v>
          </cell>
          <cell r="H131" t="str">
            <v xml:space="preserve">Lê Minh Đạt </v>
          </cell>
          <cell r="I131" t="str">
            <v>Cơ khí Chế tạo máy</v>
          </cell>
          <cell r="J131" t="str">
            <v>23144058</v>
          </cell>
          <cell r="K131" t="str">
            <v>Dương Gia Bảo 23144047
Võ Trần Hoàng Chí 23144051
Dương Quang Đăng 23144059
Lê Dương Quang Duy 23144053</v>
          </cell>
          <cell r="L131" t="str">
            <v>Trương Thành Công</v>
          </cell>
          <cell r="M131" t="str">
            <v>Khoa CKM</v>
          </cell>
          <cell r="N131" t="str">
            <v>congtt@hcmute.edu.vn</v>
          </cell>
          <cell r="O131" t="str">
            <v>-Mô Hình Máy Rung Khi Đúc
- Bản Vẽ Chi Tiết DWG
- Bản Vẽ Lắp DWG
- Báo cáo tổng kết</v>
          </cell>
        </row>
        <row r="132">
          <cell r="B132" t="str">
            <v>SV2026-134</v>
          </cell>
          <cell r="C132" t="str">
            <v>v</v>
          </cell>
          <cell r="D132" t="str">
            <v>X</v>
          </cell>
          <cell r="E132" t="str">
            <v>x</v>
          </cell>
          <cell r="F132" t="str">
            <v>Nghiên cứu và phát triển thuật toán điều khiển xe tự lái sử dụng mô hình học sâu End-to-End</v>
          </cell>
          <cell r="G132" t="str">
            <v>Lê Lữ Anh Khôi 23134033</v>
          </cell>
          <cell r="H132" t="str">
            <v xml:space="preserve">Lê Lữ Anh Khôi </v>
          </cell>
          <cell r="I132" t="str">
            <v>Cơ khí Chế tạo máy</v>
          </cell>
          <cell r="J132" t="str">
            <v>23134033</v>
          </cell>
          <cell r="K132" t="str">
            <v xml:space="preserve">Nguyễn Trịnh Trà Giang 22134005
Võ Thành Nguyễn 22134008
</v>
          </cell>
          <cell r="L132" t="str">
            <v>Bùi Hà Đức</v>
          </cell>
          <cell r="M132" t="str">
            <v>Khoa CKM</v>
          </cell>
          <cell r="N132" t="str">
            <v>ducbh@hcmute.edu.vn</v>
          </cell>
          <cell r="O132" t="str">
            <v>- Bài báo hội nghị ISBN
- Mô hình  điều khiển theo phương pháp End-to-End
- Báo cáo tổng kết</v>
          </cell>
        </row>
        <row r="133">
          <cell r="B133" t="str">
            <v>SV2026-135</v>
          </cell>
          <cell r="C133" t="str">
            <v>v</v>
          </cell>
          <cell r="D133" t="str">
            <v>X</v>
          </cell>
          <cell r="E133" t="str">
            <v>x</v>
          </cell>
          <cell r="F133" t="str">
            <v>Thiết kế khuôn phun ép được chế tạo bằng phương pháp tạo hình theo lớp</v>
          </cell>
          <cell r="G133" t="str">
            <v>Huỳnh Trung Hậu 23144203</v>
          </cell>
          <cell r="H133" t="str">
            <v xml:space="preserve">Huỳnh Trung Hậu </v>
          </cell>
          <cell r="I133" t="str">
            <v>Cơ khí Chế tạo máy</v>
          </cell>
          <cell r="J133" t="str">
            <v>23144203</v>
          </cell>
          <cell r="K133" t="str">
            <v>Dương Hồng Đức 23144201</v>
          </cell>
          <cell r="L133" t="str">
            <v>Nguyễn Trọng Hiếu</v>
          </cell>
          <cell r="M133" t="str">
            <v>Khoa CKM</v>
          </cell>
          <cell r="N133" t="str">
            <v>hieunt@hcmute.edu.vn</v>
          </cell>
          <cell r="O133" t="str">
            <v>- 02 Bài báo khoa học đăng trên tạp chí trong nước trong danh mục của HĐ GSNN tính từ 0,5 điểm trở lên</v>
          </cell>
        </row>
        <row r="134">
          <cell r="B134" t="str">
            <v>SV2026-136</v>
          </cell>
          <cell r="C134" t="str">
            <v>v</v>
          </cell>
          <cell r="D134" t="str">
            <v>X</v>
          </cell>
          <cell r="E134"/>
          <cell r="F134" t="str">
            <v>Mô hình hóa và thiết kế bộ điều khiển đáp ứng quỹ đạo ba chiều trong không gian cho Robot Manipulator ba bậc tự do</v>
          </cell>
          <cell r="G134" t="str">
            <v>Trần Lê Thiên Ân 22146265</v>
          </cell>
          <cell r="H134" t="str">
            <v xml:space="preserve">Trần Lê Thiên Ân </v>
          </cell>
          <cell r="I134" t="str">
            <v>Cơ khí Chế tạo máy</v>
          </cell>
          <cell r="J134" t="str">
            <v>22146265</v>
          </cell>
          <cell r="K134" t="str">
            <v>Đào Chí Quân 22146380
Vũ Trung Tâm 22146396
Chung Hoàng Ân 23146176</v>
          </cell>
          <cell r="L134" t="str">
            <v>Trần Minh Thiên</v>
          </cell>
          <cell r="M134" t="str">
            <v>Khoa CKM</v>
          </cell>
          <cell r="N134" t="str">
            <v>thientm@hcmute.edu.vn</v>
          </cell>
          <cell r="O134" t="str">
            <v>- Bài báo khoa học: đăng trên tạp chí không thuộc mục 1; hoặc bài báo đăng trên hội thảo quốc tế có chỉ số xuất bản ISBN/ISSN; hoặc sản phẩm mô hình, thiết bị (không có hợp đồng chuyển giao công nghệ).
- 01 Báo cáo tổng kết</v>
          </cell>
        </row>
        <row r="135">
          <cell r="B135" t="str">
            <v>SV2026-137</v>
          </cell>
          <cell r="C135" t="str">
            <v>v</v>
          </cell>
          <cell r="D135" t="str">
            <v>X</v>
          </cell>
          <cell r="E135"/>
          <cell r="F135" t="str">
            <v>Chế tạo mô hình điều khiển góc xoay thông qua module cơ nhân tạo</v>
          </cell>
          <cell r="G135" t="str">
            <v>Trần Nguyễn Viết Nghĩa 23143073</v>
          </cell>
          <cell r="H135" t="str">
            <v xml:space="preserve">Trần Nguyễn Viết Nghĩa </v>
          </cell>
          <cell r="I135" t="str">
            <v>Cơ khí Chế tạo máy</v>
          </cell>
          <cell r="J135" t="str">
            <v>23143073</v>
          </cell>
          <cell r="K135" t="str">
            <v>Đoàn Văn Trung Đạo 24144141</v>
          </cell>
          <cell r="L135" t="str">
            <v>Vũ Quang Huy</v>
          </cell>
          <cell r="M135" t="str">
            <v>Khoa CKM</v>
          </cell>
          <cell r="N135" t="str">
            <v>huyvq@hcmute.edu.vn</v>
          </cell>
          <cell r="O135" t="str">
            <v>- 02 Bài báo khoa học đăng trên tạp chí trong nước trong danh mục của HĐ GSNN tính từ 0,5 điểm trở lên</v>
          </cell>
        </row>
        <row r="136">
          <cell r="B136" t="str">
            <v>SV2026-138</v>
          </cell>
          <cell r="C136" t="str">
            <v>v</v>
          </cell>
          <cell r="D136"/>
          <cell r="E136"/>
          <cell r="F136" t="str">
            <v>Nghiên cứu độ bền của cơ cấu mềm được chế tạo bằng phương pháp in 3D</v>
          </cell>
          <cell r="G136" t="str">
            <v>Lê Thế Duy 21144369</v>
          </cell>
          <cell r="H136" t="str">
            <v xml:space="preserve">Lê Thế Duy </v>
          </cell>
          <cell r="I136" t="str">
            <v>Cơ khí Chế tạo máy</v>
          </cell>
          <cell r="J136" t="str">
            <v>21144369</v>
          </cell>
          <cell r="K136" t="str">
            <v>Nguyễn Xuân Vinh 21144140</v>
          </cell>
          <cell r="L136" t="str">
            <v>Nguyễn Văn Minh (CNC)</v>
          </cell>
          <cell r="M136" t="str">
            <v>Khoa CKM</v>
          </cell>
          <cell r="N136" t="str">
            <v>minhngvan@hcmute.edu.vn</v>
          </cell>
          <cell r="O136" t="str">
            <v>- Báo cáo tổng kết: 	Đạt yêu cầu báo cáo khoa học</v>
          </cell>
        </row>
        <row r="137">
          <cell r="B137" t="str">
            <v>SV2026-139</v>
          </cell>
          <cell r="C137" t="str">
            <v>v</v>
          </cell>
          <cell r="D137" t="str">
            <v>X</v>
          </cell>
          <cell r="E137" t="str">
            <v>x</v>
          </cell>
          <cell r="F137" t="str">
            <v>Thực nghiệm quá trình tiện có giảm chấn với các vật liệu phôi có độ cứng khác nhau</v>
          </cell>
          <cell r="G137" t="str">
            <v>Trần Hoàng Việt 23144171</v>
          </cell>
          <cell r="H137" t="str">
            <v xml:space="preserve">Trần Hoàng Việt </v>
          </cell>
          <cell r="I137" t="str">
            <v>Cơ khí Chế tạo máy</v>
          </cell>
          <cell r="J137" t="str">
            <v>23144171</v>
          </cell>
          <cell r="K137" t="str">
            <v>Nguyễn Xuân Vinh 21144140
Lê Thanh Tùng 22144449</v>
          </cell>
          <cell r="L137" t="str">
            <v>Trần Thái Sơn</v>
          </cell>
          <cell r="M137" t="str">
            <v>Khoa CKM</v>
          </cell>
          <cell r="N137" t="str">
            <v>tranthaison@hcmute.edu.vn</v>
          </cell>
          <cell r="O137" t="str">
            <v>- 02 Bài báo khoa học đăng trên tạp chí trong nước trong danh mục của HĐ GSNN tính từ 0,5 điểm trở lên</v>
          </cell>
        </row>
        <row r="138">
          <cell r="B138" t="str">
            <v>SV2026-140</v>
          </cell>
          <cell r="C138" t="str">
            <v>v</v>
          </cell>
          <cell r="D138"/>
          <cell r="E138"/>
          <cell r="F138" t="str">
            <v>Thiết kế chế tạo robot 4 bậc tự do.</v>
          </cell>
          <cell r="G138" t="str">
            <v>Danh Thái Tỷ 22146252</v>
          </cell>
          <cell r="H138" t="str">
            <v xml:space="preserve">Danh Thái Tỷ </v>
          </cell>
          <cell r="I138" t="str">
            <v>Cơ khí Chế tạo máy</v>
          </cell>
          <cell r="J138" t="str">
            <v>22146252</v>
          </cell>
          <cell r="K138" t="str">
            <v>Huỳnh Hoàng Phúc 22146193</v>
          </cell>
          <cell r="L138" t="str">
            <v>Đặng Thiện Ngôn</v>
          </cell>
          <cell r="M138" t="str">
            <v>Khoa CKM</v>
          </cell>
          <cell r="N138" t="str">
            <v>ngondt@hcmute.edu.vn</v>
          </cell>
          <cell r="O138"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Robot 4 bậc tự do
- Báo cáo tổng kết</v>
          </cell>
        </row>
        <row r="139">
          <cell r="B139" t="str">
            <v>SV2026-141</v>
          </cell>
          <cell r="C139" t="str">
            <v>v</v>
          </cell>
          <cell r="D139" t="str">
            <v>X</v>
          </cell>
          <cell r="E139" t="str">
            <v>x</v>
          </cell>
          <cell r="F139" t="str">
            <v>Nghiên cứu độ bền của kết cấu lattic</v>
          </cell>
          <cell r="G139" t="str">
            <v>Lý Hoàng Thịnh 22144407</v>
          </cell>
          <cell r="H139" t="str">
            <v xml:space="preserve">Lý Hoàng Thịnh </v>
          </cell>
          <cell r="I139" t="str">
            <v>Cơ khí Chế tạo máy</v>
          </cell>
          <cell r="J139" t="str">
            <v>22144407</v>
          </cell>
          <cell r="K139" t="str">
            <v>Đặng Gia Bảo 22144003
Hoàng Trung Kiên 22144023
Lại Quang Hà 22144012</v>
          </cell>
          <cell r="L139" t="str">
            <v>Nguyễn Văn Minh (CNC)</v>
          </cell>
          <cell r="M139" t="str">
            <v>Khoa CKM</v>
          </cell>
          <cell r="N139" t="str">
            <v>minhngvan@hcmute.edu.vn</v>
          </cell>
          <cell r="O139" t="str">
            <v>- 02 Bài báo khoa học đăng trên tạp chí trong nước trong danh mục của HĐ GSNN tính từ 0,5 điểm trở lên</v>
          </cell>
        </row>
        <row r="140">
          <cell r="B140" t="str">
            <v>SV2026-143</v>
          </cell>
          <cell r="C140" t="str">
            <v>R</v>
          </cell>
          <cell r="D140" t="str">
            <v>X</v>
          </cell>
          <cell r="E140" t="str">
            <v>x</v>
          </cell>
          <cell r="F140" t="str">
            <v>Thiết kế khuôn phun ép mẫu thử xoắn</v>
          </cell>
          <cell r="G140" t="str">
            <v>Dương Thành Thắng 22144403</v>
          </cell>
          <cell r="H140" t="str">
            <v xml:space="preserve">Dương Thành Thắng </v>
          </cell>
          <cell r="I140" t="str">
            <v>Cơ khí Chế tạo máy</v>
          </cell>
          <cell r="J140" t="str">
            <v>22144403</v>
          </cell>
          <cell r="K140" t="str">
            <v>Lê Nguyễn Liêm 22144136
Trần Nhật Hào 24144026</v>
          </cell>
          <cell r="L140" t="str">
            <v>Đỗ Thành Trung</v>
          </cell>
          <cell r="M140" t="str">
            <v>P.Khảo thí và ĐBCL</v>
          </cell>
          <cell r="N140" t="str">
            <v>trungdt@hcmute.edu.vn</v>
          </cell>
          <cell r="O140" t="str">
            <v>- 02 Bài báo khoa học đăng trên tạp chí trong nước trong danh mục của HĐ GSNN tính từ 0,5 điểm trở lên</v>
          </cell>
        </row>
        <row r="141">
          <cell r="B141" t="str">
            <v>SV2026-144</v>
          </cell>
          <cell r="C141" t="str">
            <v>R</v>
          </cell>
          <cell r="D141" t="str">
            <v>X</v>
          </cell>
          <cell r="E141"/>
          <cell r="F141" t="str">
            <v>Thiết kế UAV cứu nạn vùng lũ sử dụng dẫn đường GPS và phát hiện người tự động, tích hợp bản đồ trực tuyến</v>
          </cell>
          <cell r="G141" t="str">
            <v>Nguyễn Khánh Duy 24134014</v>
          </cell>
          <cell r="H141" t="str">
            <v xml:space="preserve">Nguyễn Khánh Duy </v>
          </cell>
          <cell r="I141" t="str">
            <v>Cơ khí Chế tạo máy</v>
          </cell>
          <cell r="J141" t="str">
            <v>24134014</v>
          </cell>
          <cell r="K141" t="str">
            <v>Phạm Minh Hoàng 24134026
Huỳnh Phúc Thịnh 24134068
Nguyễn Phú Lộc 24161305</v>
          </cell>
          <cell r="L141" t="str">
            <v>Lê Mỹ Hà</v>
          </cell>
          <cell r="M141" t="str">
            <v>Khoa CKM</v>
          </cell>
          <cell r="N141" t="str">
            <v>halm@hcmute.edu.vn</v>
          </cell>
          <cell r="O141" t="str">
            <v>- 01 Báo cáo tổng kết:Đạt yêu cầu của báo cáo khoa học.</v>
          </cell>
        </row>
        <row r="142">
          <cell r="B142" t="str">
            <v>SV2026-145</v>
          </cell>
          <cell r="C142" t="str">
            <v>R</v>
          </cell>
          <cell r="D142" t="str">
            <v>X</v>
          </cell>
          <cell r="E142" t="str">
            <v>x</v>
          </cell>
          <cell r="F142" t="str">
            <v>Chế tạo mô hình đo khả năng tải của cơ nhân tạo</v>
          </cell>
          <cell r="G142" t="str">
            <v>Huỳnh Duy Hưng 23144221</v>
          </cell>
          <cell r="H142" t="str">
            <v xml:space="preserve">Huỳnh Duy Hưng </v>
          </cell>
          <cell r="I142" t="str">
            <v>Cơ khí Chế tạo máy</v>
          </cell>
          <cell r="J142" t="str">
            <v>23144221</v>
          </cell>
          <cell r="K142" t="str">
            <v xml:space="preserve">		Nguyễn Duy Khanh 23145330</v>
          </cell>
          <cell r="L142" t="str">
            <v>Vũ Quang Huy</v>
          </cell>
          <cell r="M142" t="str">
            <v>Khoa CKM</v>
          </cell>
          <cell r="N142" t="str">
            <v>huyvq@hcmute.edu.vn</v>
          </cell>
          <cell r="O142" t="str">
            <v>- 02 Bài báo khoa học đăng trên tạp chí trong nước trong danh mục của HĐ GSNN tính từ 0,5 điểm trở lên</v>
          </cell>
        </row>
        <row r="143">
          <cell r="B143" t="str">
            <v>SV2026-146</v>
          </cell>
          <cell r="C143" t="str">
            <v>R</v>
          </cell>
          <cell r="D143" t="str">
            <v>X</v>
          </cell>
          <cell r="E143" t="str">
            <v>x</v>
          </cell>
          <cell r="F143" t="str">
            <v>Chế tạo mô hình 3 bậc tự do dùng cơ nhân tạo</v>
          </cell>
          <cell r="G143" t="str">
            <v>Nguyễn Văn Thương 23144320</v>
          </cell>
          <cell r="H143" t="str">
            <v xml:space="preserve">Nguyễn Văn Thương </v>
          </cell>
          <cell r="I143" t="str">
            <v>Cơ khí Chế tạo máy</v>
          </cell>
          <cell r="J143" t="str">
            <v>23144320</v>
          </cell>
          <cell r="K143" t="str">
            <v xml:space="preserve">		Nguyễn Văn Trọng 23144328</v>
          </cell>
          <cell r="L143" t="str">
            <v>Vũ Quang Huy</v>
          </cell>
          <cell r="M143" t="str">
            <v>Khoa CKM</v>
          </cell>
          <cell r="N143" t="str">
            <v>huyvq@hcmute.edu.vn</v>
          </cell>
          <cell r="O143" t="str">
            <v>- 02 Bài báo khoa học đăng trên tạp chí trong nước trong danh mục của HĐ GSNN tính từ 0,5 điểm trở lên</v>
          </cell>
        </row>
        <row r="144">
          <cell r="B144" t="str">
            <v>SV2026-147</v>
          </cell>
          <cell r="C144" t="str">
            <v>R</v>
          </cell>
          <cell r="D144" t="str">
            <v>X</v>
          </cell>
          <cell r="E144" t="str">
            <v>x</v>
          </cell>
          <cell r="F144" t="str">
            <v>Chế tạo chi tiết ống composite bằng phương pháp phun ép</v>
          </cell>
          <cell r="G144" t="str">
            <v>Ngô Trọng Đức 23144061</v>
          </cell>
          <cell r="H144" t="str">
            <v xml:space="preserve">Ngô Trọng Đức </v>
          </cell>
          <cell r="I144" t="str">
            <v>Cơ khí Chế tạo máy</v>
          </cell>
          <cell r="J144" t="str">
            <v>23144061</v>
          </cell>
          <cell r="K144" t="str">
            <v>Lê Phước Hoàng 23144080</v>
          </cell>
          <cell r="L144" t="str">
            <v>Võ Minh Tâm</v>
          </cell>
          <cell r="M144" t="str">
            <v>Khoa CKM</v>
          </cell>
          <cell r="N144" t="str">
            <v>tamvm@hcmute.edu.vn</v>
          </cell>
          <cell r="O144" t="str">
            <v>- 02 Bài báo khoa học đăng trên tạp chí trong nước trong danh mục của HĐ GSNN tính từ 0,5 điểm trở lên</v>
          </cell>
        </row>
        <row r="145">
          <cell r="B145" t="str">
            <v>SV2026-148</v>
          </cell>
          <cell r="C145" t="str">
            <v>R</v>
          </cell>
          <cell r="D145" t="str">
            <v>X</v>
          </cell>
          <cell r="E145"/>
          <cell r="F145" t="str">
            <v>Thiết kế và chế tạo bộ truyền động mang điện cực hàn TIG trong quá trình hàn ống tự động dạng hở</v>
          </cell>
          <cell r="G145" t="str">
            <v>Võ Thành Phát 23143323</v>
          </cell>
          <cell r="H145" t="str">
            <v xml:space="preserve">Võ Thành Phát </v>
          </cell>
          <cell r="I145" t="str">
            <v>Cơ khí Chế tạo máy</v>
          </cell>
          <cell r="J145" t="str">
            <v>23143323</v>
          </cell>
          <cell r="K145" t="str">
            <v>Trương Văn Chương 23143233
Nguyễn Thiên 23143357</v>
          </cell>
          <cell r="L145" t="str">
            <v>Trần Ngọc Thiện</v>
          </cell>
          <cell r="M145" t="str">
            <v>Khoa CKM</v>
          </cell>
          <cell r="N145" t="str">
            <v>thientn@hcmute.edu.vn</v>
          </cell>
          <cell r="O145" t="str">
            <v>- Mô hình bộ truyền động
- Tập bản vẽ: Theo TCVN
- Báo cáo tổng kết</v>
          </cell>
        </row>
        <row r="146">
          <cell r="B146" t="str">
            <v>SV2026-149</v>
          </cell>
          <cell r="C146" t="str">
            <v>R</v>
          </cell>
          <cell r="D146" t="str">
            <v>X</v>
          </cell>
          <cell r="E146" t="str">
            <v>x</v>
          </cell>
          <cell r="F146" t="str">
            <v>Thực nghiệm chế tạo mẫu thử độ bền bằng phương pháp phun ép có gia nhiệt cho lòng khuôn</v>
          </cell>
          <cell r="G146" t="str">
            <v>Đặng Việt  Hoàng 23144079</v>
          </cell>
          <cell r="H146" t="str">
            <v xml:space="preserve">Đặng Việt  Hoàng </v>
          </cell>
          <cell r="I146" t="str">
            <v>Cơ khí Chế tạo máy</v>
          </cell>
          <cell r="J146" t="str">
            <v>23144079</v>
          </cell>
          <cell r="K146" t="str">
            <v>Đỗ Trần Nhật Minh 23144119</v>
          </cell>
          <cell r="L146" t="str">
            <v>Đỗ Thành Trung</v>
          </cell>
          <cell r="M146" t="str">
            <v>Khoa CKM</v>
          </cell>
          <cell r="N146" t="str">
            <v>trungdt@hcmute.edu.vn</v>
          </cell>
          <cell r="O146" t="str">
            <v>-  02 Bài báo khoa học đăng trên tạp chí trong nước trong danh mục của HĐ GSNN tính từ 0,5 điểm trở lên</v>
          </cell>
        </row>
        <row r="147">
          <cell r="B147" t="str">
            <v>SV2026-150</v>
          </cell>
          <cell r="C147" t="str">
            <v>R</v>
          </cell>
          <cell r="D147" t="str">
            <v>X</v>
          </cell>
          <cell r="E147"/>
          <cell r="F147" t="str">
            <v>Thực nghiệm đo dao động của cán dao phay khi phay góc cong ứng với các thông số gia công khác nhau (S,T,V)</v>
          </cell>
          <cell r="G147" t="str">
            <v>Lê Võ Minh Nhựt 23144130</v>
          </cell>
          <cell r="H147" t="str">
            <v xml:space="preserve">Lê Võ Minh Nhựt </v>
          </cell>
          <cell r="I147" t="str">
            <v>Cơ khí Chế tạo máy</v>
          </cell>
          <cell r="J147" t="str">
            <v>23144130</v>
          </cell>
          <cell r="K147" t="str">
            <v>Nguyễn Ngọc Anh Khôi 23144106
	Đặng Gia Bảo 22144003
Trương Nguyễn Thế Bảo 22144004</v>
          </cell>
          <cell r="L147" t="str">
            <v>Lê Bá Tân</v>
          </cell>
          <cell r="M147" t="str">
            <v>Khoa Giao thông và Năng lượng</v>
          </cell>
          <cell r="N147" t="str">
            <v>tanlb@hcmute.edu.vn</v>
          </cell>
          <cell r="O147" t="str">
            <v>- 02 Bài báo khoa học đăng trên tạp chí trong nước trong danh mục của HĐ GSNN tính từ 0,5 điểm trở lên</v>
          </cell>
        </row>
        <row r="148">
          <cell r="B148" t="str">
            <v>SV2026-151</v>
          </cell>
          <cell r="C148" t="str">
            <v>R</v>
          </cell>
          <cell r="D148" t="str">
            <v>X</v>
          </cell>
          <cell r="E148" t="str">
            <v>x</v>
          </cell>
          <cell r="F148" t="str">
            <v>Thực nghiệm đo dao động của cán dao phay khi vào dao ứng với các thông số gia công khác nhau</v>
          </cell>
          <cell r="G148" t="str">
            <v>Phạm Quốc Kiệt 23144110</v>
          </cell>
          <cell r="H148" t="str">
            <v xml:space="preserve">Phạm Quốc Kiệt </v>
          </cell>
          <cell r="I148" t="str">
            <v>Cơ khí Chế tạo máy</v>
          </cell>
          <cell r="J148" t="str">
            <v>23144110</v>
          </cell>
          <cell r="K148" t="str">
            <v xml:space="preserve">Trương Anh Tú 23144168
Ngô Gia Phú 23144137
Đặng Tuấn Phát 23144132
Trương Quốc Toàn 23144162
</v>
          </cell>
          <cell r="L148" t="str">
            <v>Phan Thị Đăng Thư</v>
          </cell>
          <cell r="M148" t="str">
            <v>Khoa CKM</v>
          </cell>
          <cell r="N148" t="str">
            <v>thuptd@hcmute.edu.vn</v>
          </cell>
          <cell r="O148" t="str">
            <v>- 02 Bài báo khoa học đăng trên tạp chí trong nước trong danh mục của HĐ GSNN tính từ 0,5 điểm trở lên</v>
          </cell>
        </row>
        <row r="149">
          <cell r="B149" t="str">
            <v>SV2026-152</v>
          </cell>
          <cell r="C149" t="str">
            <v>R</v>
          </cell>
          <cell r="D149" t="str">
            <v>X</v>
          </cell>
          <cell r="E149"/>
          <cell r="F149" t="str">
            <v>Nghiên cứu, thực nghiệm và mô hình hoá ảnh hưởng của thông số đúc áp lực cao đến cơ tính vật liệu nhôm đúc thông qua mô phỏng bằng Magmasoft và thực nghiệm.</v>
          </cell>
          <cell r="G149" t="str">
            <v>Mã Minh Nhựt 23144131</v>
          </cell>
          <cell r="H149" t="str">
            <v xml:space="preserve">Mã Minh Nhựt </v>
          </cell>
          <cell r="I149" t="str">
            <v>Cơ khí Chế tạo máy</v>
          </cell>
          <cell r="J149" t="str">
            <v>23144131</v>
          </cell>
          <cell r="K149" t="str">
            <v>Nguyễn Thành Long 23144114
Phạm Anh Tú 23144167
Hoàng Phi Vũ 23144172
Lê Phục Thanh Nghiêm 23144122</v>
          </cell>
          <cell r="L149" t="str">
            <v xml:space="preserve">Võ Xuân Tiến </v>
          </cell>
          <cell r="M149" t="str">
            <v>Khoa CKM</v>
          </cell>
          <cell r="N149" t="str">
            <v>tienvx@hcmute.edu.vn</v>
          </cell>
          <cell r="O149" t="str">
            <v>- Bài báo khoa học: đăng trên tạp chí không thuộc mục 1; hoặc bài báo đăng trên hội thảo khoa học quốc tế có chỉ số xuất bản ISSN/ISBN; hoặc sản phẩm mô hình, thiết bị (không có hợp đồng chuyển giao công nghệ).
- Báo cáo tổng kết</v>
          </cell>
        </row>
        <row r="150">
          <cell r="B150" t="str">
            <v>SV2026-153</v>
          </cell>
          <cell r="C150" t="str">
            <v>R</v>
          </cell>
          <cell r="D150" t="str">
            <v>X</v>
          </cell>
          <cell r="E150" t="str">
            <v>x</v>
          </cell>
          <cell r="F150" t="str">
            <v>Mô hình AI phát hiện và phân loại rác trên sân trường theo thời gian thực</v>
          </cell>
          <cell r="G150" t="str">
            <v>Lê Hải Đăng 23134011</v>
          </cell>
          <cell r="H150" t="str">
            <v xml:space="preserve">Lê Hải Đăng </v>
          </cell>
          <cell r="I150" t="str">
            <v>Cơ khí Chế tạo máy</v>
          </cell>
          <cell r="J150" t="str">
            <v>23134011</v>
          </cell>
          <cell r="K150" t="str">
            <v>Phan Văn Bảo 23134004
Trịnh Gia Bảo 23134005
Trần Bỉnh Phú 23134046
Lê Thế Hòa 23134023</v>
          </cell>
          <cell r="L150" t="str">
            <v>Lê Thanh Tùng</v>
          </cell>
          <cell r="M150" t="str">
            <v>Khoa CKM</v>
          </cell>
          <cell r="N150" t="str">
            <v>tunglt@hcmute.edu.vn</v>
          </cell>
          <cell r="O150" t="str">
            <v xml:space="preserve"> -Mô hình xe tự hành có gắn camera AI phân loại rác
- Hệ thống điều khiển tự hành (cảm biến, động cơ, vi điều khiển) 
- Phần mềm AI nhận dạng rác YOLOv8/ SSD) Phần mềm AI nhận dạng và phân loại rác
- Báo cáo tổng kết
</v>
          </cell>
        </row>
        <row r="151">
          <cell r="B151" t="str">
            <v>SV2026-154</v>
          </cell>
          <cell r="C151" t="str">
            <v>R</v>
          </cell>
          <cell r="D151" t="str">
            <v>X</v>
          </cell>
          <cell r="E151" t="str">
            <v>x</v>
          </cell>
          <cell r="F151" t="str">
            <v>Khảo sát độ bóng bề mặt tiện trụ khi gia công với cán dao tiện có giảm chấn (thay đổi thông số cắt khác nhau)</v>
          </cell>
          <cell r="G151" t="str">
            <v>Hồ Hữu Thắng 23144156</v>
          </cell>
          <cell r="H151" t="str">
            <v xml:space="preserve">Hồ Hữu Thắng </v>
          </cell>
          <cell r="I151" t="str">
            <v>Cơ khí Chế tạo máy</v>
          </cell>
          <cell r="J151" t="str">
            <v>23144156</v>
          </cell>
          <cell r="K151" t="str">
            <v>Hoàng Sỹ Đông 22144011
Sơn Văn Hậu 21144382</v>
          </cell>
          <cell r="L151" t="str">
            <v>Lê Bá Tân</v>
          </cell>
          <cell r="M151" t="str">
            <v>Khoa Giao thông và Năng lượng</v>
          </cell>
          <cell r="N151" t="str">
            <v>tanlb@hcmute.edu.vn</v>
          </cell>
          <cell r="O151" t="str">
            <v>- 02 Bài báo khoa học đăng trên tạp chí trong nước trong danh mục của HĐ GSNN tính từ 0,5 điểm trở lên</v>
          </cell>
        </row>
        <row r="152">
          <cell r="B152" t="str">
            <v>SV2026-155</v>
          </cell>
          <cell r="C152" t="str">
            <v>R</v>
          </cell>
          <cell r="D152" t="str">
            <v>X</v>
          </cell>
          <cell r="E152" t="str">
            <v>x</v>
          </cell>
          <cell r="F152" t="str">
            <v>Thực nghiệm đo lực nâng của mô hình hỗ trợ cánh tay</v>
          </cell>
          <cell r="G152" t="str">
            <v>Đặng Vũ Lâm 22143122</v>
          </cell>
          <cell r="H152" t="str">
            <v xml:space="preserve">Đặng Vũ Lâm </v>
          </cell>
          <cell r="I152" t="str">
            <v>Cơ khí Chế tạo máy</v>
          </cell>
          <cell r="J152" t="str">
            <v>22143122</v>
          </cell>
          <cell r="K152" t="str">
            <v>Ngô Đức Long 22144137</v>
          </cell>
          <cell r="L152" t="str">
            <v>Nguyễn Thị Ánh Tuyết</v>
          </cell>
          <cell r="M152" t="str">
            <v>Khoa CKM</v>
          </cell>
          <cell r="N152" t="str">
            <v>ntatuyet@hcmute.edu.vn</v>
          </cell>
          <cell r="O152" t="str">
            <v>- 02 Bài báo khoa học đăng trên tạp chí trong nước trong danh mục của HĐ GSNN tính từ 0,5 điểm trở lên</v>
          </cell>
        </row>
        <row r="153">
          <cell r="B153" t="str">
            <v>SV2026-156</v>
          </cell>
          <cell r="C153" t="str">
            <v xml:space="preserve">R </v>
          </cell>
          <cell r="D153" t="str">
            <v>X</v>
          </cell>
          <cell r="E153" t="str">
            <v>x</v>
          </cell>
          <cell r="F153" t="str">
            <v xml:space="preserve">Đánh giá ảnh hưởng của tỷ lệ melamine trong keo Ure-Formaldehyde đến một số tính chất của vật liệu LVL (Laminated veneer lumber) </v>
          </cell>
          <cell r="G153" t="str">
            <v>Nguyễn Thi Minh Sang 2413803</v>
          </cell>
          <cell r="H153" t="str">
            <v>Nguyễn Thi Minh Sang</v>
          </cell>
          <cell r="I153" t="str">
            <v>Cơ khí Chế tạo máy</v>
          </cell>
          <cell r="J153" t="str">
            <v xml:space="preserve"> 2413803</v>
          </cell>
          <cell r="K153" t="str">
            <v xml:space="preserve">Đoàn Mỹ Dung 24138011
Nguyễn Văn Trung Hiền 24138019 
Bùi Thị Thanh Xuân 24138060 </v>
          </cell>
          <cell r="L153" t="str">
            <v xml:space="preserve">Nguyễn Hải Hoàn </v>
          </cell>
          <cell r="M153" t="str">
            <v>Khoa CKM</v>
          </cell>
          <cell r="N153" t="str">
            <v xml:space="preserve">hoannh@hcmute.edu.vn </v>
          </cell>
          <cell r="O153" t="str">
            <v>- 01 Báo cáo tổng kết:Đạt yêu cầu của báo cáo khoa học.</v>
          </cell>
        </row>
        <row r="154">
          <cell r="B154" t="str">
            <v>SV2026-157</v>
          </cell>
          <cell r="C154" t="str">
            <v>R LÀM LẠI TM</v>
          </cell>
          <cell r="D154" t="str">
            <v>X</v>
          </cell>
          <cell r="E154"/>
          <cell r="F154" t="str">
            <v>Nghiên cứu điều khiển vị trí thông qua mô hình cơ nhân tạo</v>
          </cell>
          <cell r="G154" t="str">
            <v>Nguyễn Tuấn Anh 24144111</v>
          </cell>
          <cell r="H154" t="str">
            <v xml:space="preserve">Nguyễn Tuấn Anh </v>
          </cell>
          <cell r="I154" t="str">
            <v>Cơ khí Chế tạo máy</v>
          </cell>
          <cell r="J154" t="str">
            <v>24144111</v>
          </cell>
          <cell r="K154" t="str">
            <v>Trần Cao Trí 21144417</v>
          </cell>
          <cell r="L154" t="str">
            <v>Nguyễn Lê Hồng Sơn</v>
          </cell>
          <cell r="M154" t="str">
            <v>Khoa Giao thông và Năng lượng</v>
          </cell>
          <cell r="N154" t="str">
            <v>sonnlh@hcmute.edu.vn</v>
          </cell>
          <cell r="O154" t="str">
            <v>- 02 Bài báo khoa học đăng trên tạp chí trong nước trong danh mục của HĐ GSNN tính từ 0,5 điểm trở lên</v>
          </cell>
        </row>
        <row r="155">
          <cell r="B155" t="str">
            <v>SV2026-159</v>
          </cell>
          <cell r="C155" t="str">
            <v>R</v>
          </cell>
          <cell r="D155" t="str">
            <v>X</v>
          </cell>
          <cell r="E155" t="str">
            <v>x</v>
          </cell>
          <cell r="F155" t="str">
            <v>Chế tạo mô hình băng truyền phục vụ kiểm tra khả năng di chuyển của robot</v>
          </cell>
          <cell r="G155" t="str">
            <v>Lê Đình Huy 24143235</v>
          </cell>
          <cell r="H155" t="str">
            <v xml:space="preserve">Lê Đình Huy </v>
          </cell>
          <cell r="I155" t="str">
            <v>Cơ khí Chế tạo máy</v>
          </cell>
          <cell r="J155" t="str">
            <v>24143235</v>
          </cell>
          <cell r="K155" t="str">
            <v>Nguyễn Ngọc Lân 22147064</v>
          </cell>
          <cell r="L155" t="str">
            <v>Nguyễn Văn Minh (THN)</v>
          </cell>
          <cell r="M155" t="str">
            <v>Khoa CKM</v>
          </cell>
          <cell r="N155" t="str">
            <v>minhngvan@hcmute.edu.vn</v>
          </cell>
          <cell r="O155" t="str">
            <v>- 02 Bài báo khoa học đăng trên tạp chí trong nước trong danh mục của HĐ GSNN tính từ 0,5 điểm trở lên</v>
          </cell>
        </row>
        <row r="156">
          <cell r="B156" t="str">
            <v>SV2026-160</v>
          </cell>
          <cell r="C156" t="str">
            <v>R</v>
          </cell>
          <cell r="D156" t="str">
            <v>X</v>
          </cell>
          <cell r="E156"/>
          <cell r="F156" t="str">
            <v>Thiết kế và chế tạo máy tạo sợi từ chai PET phế thải ứng dụng làm vật liệu in 3D</v>
          </cell>
          <cell r="G156" t="str">
            <v>Dương Chí Thiện 23144311</v>
          </cell>
          <cell r="H156" t="str">
            <v xml:space="preserve">Dương Chí Thiện </v>
          </cell>
          <cell r="I156" t="str">
            <v>Cơ khí Chế tạo máy</v>
          </cell>
          <cell r="J156" t="str">
            <v>23144311</v>
          </cell>
          <cell r="K156" t="str">
            <v>Lê Phước Thịnh 23144313</v>
          </cell>
          <cell r="L156" t="str">
            <v>Đặng Minh Phụng</v>
          </cell>
          <cell r="M156" t="str">
            <v>Khoa CKM</v>
          </cell>
          <cell r="N156" t="str">
            <v>phungdm@hcmute.edu.vn</v>
          </cell>
          <cell r="O156" t="str">
            <v>- Mô hình máy đùn sợi nhựa
- Báo cáo tổng kết</v>
          </cell>
        </row>
        <row r="157">
          <cell r="B157" t="str">
            <v>SV2026-161</v>
          </cell>
          <cell r="C157" t="str">
            <v>R</v>
          </cell>
          <cell r="D157" t="str">
            <v>X</v>
          </cell>
          <cell r="E157"/>
          <cell r="F157" t="str">
            <v>Thực nghiệm thiết bị giảm chấn cho cán dao phay</v>
          </cell>
          <cell r="G157" t="str">
            <v>Võ Kiều Minh Hoàng 23144212</v>
          </cell>
          <cell r="H157" t="str">
            <v xml:space="preserve">Võ Kiều Minh Hoàng </v>
          </cell>
          <cell r="I157" t="str">
            <v>Cơ khí Chế tạo máy</v>
          </cell>
          <cell r="J157" t="str">
            <v>23144212</v>
          </cell>
          <cell r="K157" t="str">
            <v>Phạm Đức Toản 22144213
Trần Xuân Hoàng 22144098</v>
          </cell>
          <cell r="L157" t="str">
            <v>Nguyễn Văn Minh (THN)</v>
          </cell>
          <cell r="M157" t="str">
            <v>Khoa CKM</v>
          </cell>
          <cell r="N157" t="str">
            <v>minhngvan@hcmute.edu.vn</v>
          </cell>
          <cell r="O157" t="str">
            <v>- 02 Bài báo khoa học đăng trên tạp chí trong nước trong danh mục của HĐ GSNN tính từ 0,5 điểm trở lên</v>
          </cell>
        </row>
        <row r="158">
          <cell r="B158" t="str">
            <v>SV2026-162</v>
          </cell>
          <cell r="C158" t="str">
            <v>R</v>
          </cell>
          <cell r="D158" t="str">
            <v>X</v>
          </cell>
          <cell r="E158" t="str">
            <v>x</v>
          </cell>
          <cell r="F158" t="str">
            <v>Nghiên cứu thử nghiệm mô hình "Cơ nhân tạo" cho robot 4 chân</v>
          </cell>
          <cell r="G158" t="str">
            <v>Lê Hửu Tâm 21143388</v>
          </cell>
          <cell r="H158" t="str">
            <v xml:space="preserve">Lê Hửu Tâm </v>
          </cell>
          <cell r="I158" t="str">
            <v>Cơ khí Chế tạo máy</v>
          </cell>
          <cell r="J158" t="str">
            <v>21143388</v>
          </cell>
          <cell r="K158" t="str">
            <v>Lê Nguyễn Anh Khoa 21143063</v>
          </cell>
          <cell r="L158" t="str">
            <v>Đặng Hùng Sơn</v>
          </cell>
          <cell r="M158" t="str">
            <v>Khoa Giao thông và Năng lượng</v>
          </cell>
          <cell r="N158" t="str">
            <v>sondh@hcmute.edu.vn</v>
          </cell>
          <cell r="O158" t="str">
            <v>- 02 Bài báo khoa học đăng trên tạp chí trong nước trong danh mục của HĐ GSNN tính từ 0,5 điểm trở lên</v>
          </cell>
        </row>
        <row r="159">
          <cell r="B159" t="str">
            <v>SV2026-163</v>
          </cell>
          <cell r="C159" t="str">
            <v>R</v>
          </cell>
          <cell r="D159" t="str">
            <v>X</v>
          </cell>
          <cell r="E159" t="str">
            <v>x</v>
          </cell>
          <cell r="F159" t="str">
            <v>Giải thuật AI phát hiện chuyển động nhóm cơ, ứng dụng cho chi giả robot</v>
          </cell>
          <cell r="G159" t="str">
            <v>Nguyễn Quốc Trung  22134016</v>
          </cell>
          <cell r="H159" t="str">
            <v xml:space="preserve">Nguyễn Quốc Trung  </v>
          </cell>
          <cell r="I159" t="str">
            <v>Cơ khí Chế tạo máy</v>
          </cell>
          <cell r="J159" t="str">
            <v>22134016</v>
          </cell>
          <cell r="K159" t="str">
            <v>Bùi Huỳnh Phương Anh 23134002
Trương Hồng Lĩnh 23134035
Phạm Nguyễn Văn Đồng 23134013</v>
          </cell>
          <cell r="L159" t="str">
            <v>Cái Việt Anh Dũng</v>
          </cell>
          <cell r="M159" t="str">
            <v>Khoa CKM</v>
          </cell>
          <cell r="N159" t="str">
            <v>dungcva@hcmute.edu.vn</v>
          </cell>
          <cell r="O159" t="str">
            <v xml:space="preserve">01 Bài báo khoa học đăng trên tạp chí trong nước trong danh mục của HĐ GSNN tính từ 0,5 điểm trở lên
- Báo cáo tổng kết
</v>
          </cell>
        </row>
        <row r="160">
          <cell r="B160" t="str">
            <v>SV2026-165</v>
          </cell>
          <cell r="C160" t="str">
            <v>R</v>
          </cell>
          <cell r="D160" t="str">
            <v>X</v>
          </cell>
          <cell r="E160"/>
          <cell r="F160" t="str">
            <v>Chế tạo mô hình giảm chấn cho cán dao phay</v>
          </cell>
          <cell r="G160" t="str">
            <v>Nguyễn Xuân Hoà 23144213</v>
          </cell>
          <cell r="H160" t="str">
            <v xml:space="preserve">Nguyễn Xuân Hoà </v>
          </cell>
          <cell r="I160" t="str">
            <v>Cơ khí Chế tạo máy</v>
          </cell>
          <cell r="J160" t="str">
            <v>23144213</v>
          </cell>
          <cell r="K160" t="str">
            <v>Lê Nguyễn Nhật Luật	 21144396
Phạm Ngọc Thịnh	 21144412</v>
          </cell>
          <cell r="L160" t="str">
            <v>Trần Minh Thế Uyên</v>
          </cell>
          <cell r="M160" t="str">
            <v>Khoa CKM</v>
          </cell>
          <cell r="N160" t="str">
            <v>uyentmt@hcmute.edu.vn</v>
          </cell>
          <cell r="O160" t="str">
            <v>- 02 Bài báo khoa học đăng trên tạp chí trong nước trong danh mục của HĐ GSNN tính từ 0,5 điểm trở lên</v>
          </cell>
        </row>
        <row r="161">
          <cell r="B161" t="str">
            <v>SV2026-166</v>
          </cell>
          <cell r="C161" t="str">
            <v>R</v>
          </cell>
          <cell r="D161" t="str">
            <v>X</v>
          </cell>
          <cell r="E161"/>
          <cell r="F161" t="str">
            <v>Thực nghiệm khảo sát hiện tượng dao động của cán dao phay</v>
          </cell>
          <cell r="G161" t="str">
            <v>Nguyễn Hoàng Lam 22144134</v>
          </cell>
          <cell r="H161" t="str">
            <v xml:space="preserve">Nguyễn Hoàng Lam </v>
          </cell>
          <cell r="I161" t="str">
            <v>Cơ khí Chế tạo máy</v>
          </cell>
          <cell r="J161" t="str">
            <v>22144134</v>
          </cell>
          <cell r="K161" t="str">
            <v>Phan Trung Nghĩa 22144152
Huỳnh Huy Hoàng 22144096</v>
          </cell>
          <cell r="L161" t="str">
            <v>Lê Minh Tài</v>
          </cell>
          <cell r="M161" t="str">
            <v>Khoa CKM</v>
          </cell>
          <cell r="N161" t="str">
            <v>tailm@hcmute.edu.vn</v>
          </cell>
          <cell r="O161" t="str">
            <v>- 02 Bài báo khoa học đăng trên tạp chí trong nước trong danh mục của HĐ GSNN tính từ 0,5 điểm trở lên</v>
          </cell>
        </row>
        <row r="162">
          <cell r="B162" t="str">
            <v>SV2026-167</v>
          </cell>
          <cell r="C162" t="str">
            <v>R</v>
          </cell>
          <cell r="D162" t="str">
            <v>X</v>
          </cell>
          <cell r="E162"/>
          <cell r="F162" t="str">
            <v>Nghiên cứu, thiết kế, chế tạo Drone bay theo đội hình</v>
          </cell>
          <cell r="G162" t="str">
            <v>Trần Xuân Hoàng 22146311</v>
          </cell>
          <cell r="H162" t="str">
            <v xml:space="preserve">Trần Xuân Hoàng </v>
          </cell>
          <cell r="I162" t="str">
            <v>Cơ khí Chế tạo máy</v>
          </cell>
          <cell r="J162" t="str">
            <v>22146311</v>
          </cell>
          <cell r="K162" t="str">
            <v>Đặng Hữu Thắng 24146078</v>
          </cell>
          <cell r="L162" t="str">
            <v>Hà Lê Như Ngọc Thành</v>
          </cell>
          <cell r="M162" t="str">
            <v>Khoa CKM</v>
          </cell>
          <cell r="N162" t="str">
            <v>thanh.hlnn@hcmute.edu.vn</v>
          </cell>
          <cell r="O162" t="str">
            <v>- Mô hình Quadcopter
- Thuật toán điều khiển P-P, thuật toán điều khiển đội hình UAV
- Mô hình mô phỏng và điều khiển trên ROS2-Gazebo
- Báo cáo tổng kết</v>
          </cell>
        </row>
        <row r="163">
          <cell r="B163" t="str">
            <v>SV2026-168</v>
          </cell>
          <cell r="C163" t="str">
            <v>R</v>
          </cell>
          <cell r="D163"/>
          <cell r="E163"/>
          <cell r="F163" t="str">
            <v>Hệ thống định vị xe robot tự hành dùng UWB</v>
          </cell>
          <cell r="G163" t="str">
            <v>Phạm Văn Đệ 23134012</v>
          </cell>
          <cell r="H163" t="str">
            <v xml:space="preserve">Phạm Văn Đệ </v>
          </cell>
          <cell r="I163" t="str">
            <v>Cơ khí Chế tạo máy</v>
          </cell>
          <cell r="J163" t="str">
            <v>23134012</v>
          </cell>
          <cell r="K163" t="str">
            <v xml:space="preserve">Nguyễn Văn Nam 23134038
Vũ Trọng Tâm 23134051
Nguyễn Phương Duy 23134008
</v>
          </cell>
          <cell r="L163" t="str">
            <v>Nguyễn Lê Tường</v>
          </cell>
          <cell r="M163" t="str">
            <v>Khoa CKM</v>
          </cell>
          <cell r="N163" t="str">
            <v>tuongnl@hcmute.edu.vn</v>
          </cell>
          <cell r="O163" t="str">
            <v>- Mô hình hệ thống định vị xe robot tự hành dùng UWB
- Báo cáo tổng kết đề tài</v>
          </cell>
        </row>
        <row r="164">
          <cell r="B164" t="str">
            <v>SV2026-169</v>
          </cell>
          <cell r="C164" t="str">
            <v>R</v>
          </cell>
          <cell r="D164" t="str">
            <v>X</v>
          </cell>
          <cell r="E164" t="str">
            <v>x</v>
          </cell>
          <cell r="F164" t="str">
            <v xml:space="preserve">Nghiên cứu, thiết kế và chế tạo hệ thống điều khiển máy cân bằng động cỡ nhỏ </v>
          </cell>
          <cell r="G164" t="str">
            <v>Đỗ Hoàng Phụng 22143143</v>
          </cell>
          <cell r="H164" t="str">
            <v xml:space="preserve">Đỗ Hoàng Phụng </v>
          </cell>
          <cell r="I164" t="str">
            <v>Cơ khí Chế tạo máy</v>
          </cell>
          <cell r="J164" t="str">
            <v>22143143</v>
          </cell>
          <cell r="K164" t="str">
            <v xml:space="preserve">Phạm Hồng Dương 22143092
Nguyễn Minh Châu 23143006
Nguyễn Phước Tiến 23143040
Dương Văn Thông 23143037
</v>
          </cell>
          <cell r="L164" t="str">
            <v>Trần Thanh Lam</v>
          </cell>
          <cell r="M164" t="str">
            <v>Khoa CKM</v>
          </cell>
          <cell r="N164" t="str">
            <v>lamtt@hcmute.edu.vn</v>
          </cell>
          <cell r="O164" t="str">
            <v>- Mô hình hệ thống tủ điều khiển máy cân bằng động cỡ nhỏ
- 01 Báo cáo tổng kết</v>
          </cell>
        </row>
        <row r="165">
          <cell r="B165" t="str">
            <v>SV2026-170</v>
          </cell>
          <cell r="C165" t="str">
            <v>R</v>
          </cell>
          <cell r="D165" t="str">
            <v>X</v>
          </cell>
          <cell r="E165" t="str">
            <v>x</v>
          </cell>
          <cell r="F165" t="str">
            <v>Nghiên cứu qui trình phun ép ống composite</v>
          </cell>
          <cell r="G165" t="str">
            <v>Nguyễn Đình Nguyên 23144126</v>
          </cell>
          <cell r="H165" t="str">
            <v xml:space="preserve">Nguyễn Đình Nguyên </v>
          </cell>
          <cell r="I165" t="str">
            <v>Cơ khí Chế tạo máy</v>
          </cell>
          <cell r="J165" t="str">
            <v>23144126</v>
          </cell>
          <cell r="K165" t="str">
            <v>Ngô Trọng Đức 23144061</v>
          </cell>
          <cell r="L165" t="str">
            <v>Nguyễn Thị Ánh Tuyết</v>
          </cell>
          <cell r="M165" t="str">
            <v>Khoa CKM</v>
          </cell>
          <cell r="N165" t="str">
            <v>ntatuyet@hcmute.edu.vn</v>
          </cell>
          <cell r="O165" t="str">
            <v>- 02 Bài báo khoa học đăng trên tạp chí trong nước trong danh mục của HĐ GSNN tính từ 0,5 điểm trở lên</v>
          </cell>
        </row>
        <row r="166">
          <cell r="B166" t="str">
            <v>SV2026-171</v>
          </cell>
          <cell r="C166" t="str">
            <v>R</v>
          </cell>
          <cell r="D166" t="str">
            <v>X</v>
          </cell>
          <cell r="E166" t="str">
            <v>x</v>
          </cell>
          <cell r="F166" t="str">
            <v>Thiết kế và chế tạo máy Chấn thủy lực</v>
          </cell>
          <cell r="G166" t="str">
            <v>Phan Nhật Trường 21143412</v>
          </cell>
          <cell r="H166" t="str">
            <v xml:space="preserve">Phan Nhật Trường </v>
          </cell>
          <cell r="I166" t="str">
            <v>Cơ khí Chế tạo máy</v>
          </cell>
          <cell r="J166" t="str">
            <v>21143412</v>
          </cell>
          <cell r="K166" t="str">
            <v>Nguyễn Phi Thục 21143401
Đặng Phú Toàn 21143404</v>
          </cell>
          <cell r="L166" t="str">
            <v>Dương Thị Vân Anh</v>
          </cell>
          <cell r="M166" t="str">
            <v>Khoa CKM</v>
          </cell>
          <cell r="N166" t="str">
            <v>anhdtv@hcmute.edu.vn</v>
          </cell>
          <cell r="O166" t="str">
            <v>-Mô hình máy Chấn thủy lực
- Tập bản vẽ
- Báo cáo tổng kết</v>
          </cell>
        </row>
        <row r="167">
          <cell r="B167" t="str">
            <v>SV2026-172</v>
          </cell>
          <cell r="C167" t="str">
            <v>R</v>
          </cell>
          <cell r="D167" t="str">
            <v>X</v>
          </cell>
          <cell r="E167" t="str">
            <v>x</v>
          </cell>
          <cell r="F167" t="str">
            <v>Chế tạo mô hình giảm chấn cho cán dao tiện</v>
          </cell>
          <cell r="G167" t="str">
            <v>Nguyễn Tấn Đức 23144063</v>
          </cell>
          <cell r="H167" t="str">
            <v xml:space="preserve">Nguyễn Tấn Đức </v>
          </cell>
          <cell r="I167" t="str">
            <v>Cơ khí Chế tạo máy</v>
          </cell>
          <cell r="J167" t="str">
            <v>23144063</v>
          </cell>
          <cell r="K167" t="str">
            <v>Trần Quang Huy 22144017
Phạm Ngọc Thịnh 21144412
Lê Thế Duy 21144369</v>
          </cell>
          <cell r="L167" t="str">
            <v>Trần Minh Thế Uyên</v>
          </cell>
          <cell r="M167" t="str">
            <v>Khoa CKM</v>
          </cell>
          <cell r="N167" t="str">
            <v>uyentmt@hcmute.edu.vn</v>
          </cell>
          <cell r="O167" t="str">
            <v>- 02 Bài báo khoa học đăng trên tạp chí trong nước trong danh mục của HĐ GSNN tính từ 0,5 điểm trở lên</v>
          </cell>
        </row>
        <row r="168">
          <cell r="B168" t="str">
            <v>SV2026-173</v>
          </cell>
          <cell r="C168" t="str">
            <v>R</v>
          </cell>
          <cell r="D168" t="str">
            <v>X</v>
          </cell>
          <cell r="E168"/>
          <cell r="F168" t="str">
            <v>Nghiên cứu, thiết kế và chế tạo cơ cấu in 3D hai bậc tự do ứng dụng cơ cấu đàn hồi</v>
          </cell>
          <cell r="G168" t="str">
            <v>Hoàng Thị Thu 22143159</v>
          </cell>
          <cell r="H168" t="str">
            <v xml:space="preserve">Hoàng Thị Thu </v>
          </cell>
          <cell r="I168" t="str">
            <v>Cơ khí Chế tạo máy</v>
          </cell>
          <cell r="J168" t="str">
            <v>22143159</v>
          </cell>
          <cell r="K168" t="str">
            <v xml:space="preserve">Lê Đình Huy 22143109
Lê Anh Khoa 22143117
Trần Anh Quốc 22143151
Lê Anh Vũ 22143173
</v>
          </cell>
          <cell r="L168" t="str">
            <v xml:space="preserve">Đặng Quang Khoa                    </v>
          </cell>
          <cell r="M168" t="str">
            <v>Khoa CKM</v>
          </cell>
          <cell r="N168" t="str">
            <v>khoadq@hcmute.edu.vn</v>
          </cell>
          <cell r="O168" t="str">
            <v>- Mô hình cơ cấu đàn hồi
- Tập bản vẽ
- 01 Báo cáo tổng kết.</v>
          </cell>
        </row>
        <row r="169">
          <cell r="B169" t="str">
            <v>SV2026-174</v>
          </cell>
          <cell r="C169" t="str">
            <v>R</v>
          </cell>
          <cell r="D169" t="str">
            <v>X</v>
          </cell>
          <cell r="E169" t="str">
            <v>x</v>
          </cell>
          <cell r="F169" t="str">
            <v>Thực nghiệm đo dao động của cán dao phay ứng với các vật liệu cắt khác nhau</v>
          </cell>
          <cell r="G169" t="str">
            <v>Lê Phúc Khang 23144225</v>
          </cell>
          <cell r="H169" t="str">
            <v xml:space="preserve">Lê Phúc Khang </v>
          </cell>
          <cell r="I169" t="str">
            <v>Cơ khí Chế tạo máy</v>
          </cell>
          <cell r="J169" t="str">
            <v>23144225</v>
          </cell>
          <cell r="K169" t="str">
            <v>Phạm Đức Minh 23144258
Nguyễn Xuân Hòa 23144213</v>
          </cell>
          <cell r="L169" t="str">
            <v>Phạm Quân Anh</v>
          </cell>
          <cell r="M169" t="str">
            <v>Khoa CKM</v>
          </cell>
          <cell r="N169" t="str">
            <v>anhpq@hcmute.edu.vn</v>
          </cell>
          <cell r="O169" t="str">
            <v>- 02 Bài báo khoa học đăng trên tạp chí trong nước trong danh mục của HĐ GSNN tính từ 0,5 điểm trở lên</v>
          </cell>
        </row>
        <row r="170">
          <cell r="B170" t="str">
            <v>SV2026-175</v>
          </cell>
          <cell r="C170" t="str">
            <v>R</v>
          </cell>
          <cell r="D170"/>
          <cell r="E170" t="str">
            <v>x</v>
          </cell>
          <cell r="F170" t="str">
            <v>Nghiên cứu độ bên mẫu kim loại trong môi trường muối, AFM và Quang phổ</v>
          </cell>
          <cell r="G170" t="str">
            <v>Ngô Gia Huy 22144304</v>
          </cell>
          <cell r="H170" t="str">
            <v xml:space="preserve">Ngô Gia Huy </v>
          </cell>
          <cell r="I170" t="str">
            <v>Cơ khí Chế tạo máy</v>
          </cell>
          <cell r="J170" t="str">
            <v>22144304</v>
          </cell>
          <cell r="K170" t="str">
            <v>Trần Công Hữu 22144018
'Đoàn Hữu Lộc 22144026</v>
          </cell>
          <cell r="L170" t="str">
            <v>Phạm Sơn Minh</v>
          </cell>
          <cell r="M170" t="str">
            <v>Khoa CKM</v>
          </cell>
          <cell r="N170" t="str">
            <v>minhps@hcmute.edu.vn</v>
          </cell>
          <cell r="O170" t="str">
            <v>- Báo cáo tổng kết</v>
          </cell>
        </row>
        <row r="171">
          <cell r="B171" t="str">
            <v>SV2026-176</v>
          </cell>
          <cell r="C171" t="str">
            <v>r</v>
          </cell>
          <cell r="D171"/>
          <cell r="E171"/>
          <cell r="F171" t="str">
            <v xml:space="preserve">Thiết kế mô hình quấn băng keo tự động cho sản phẩm thương mại điện tử. </v>
          </cell>
          <cell r="G171" t="str">
            <v>Bạch Trần Anh Kiệt 22146159</v>
          </cell>
          <cell r="H171" t="str">
            <v xml:space="preserve">Bạch Trần Anh Kiệt </v>
          </cell>
          <cell r="I171" t="str">
            <v>Cơ khí Chế tạo máy</v>
          </cell>
          <cell r="J171" t="str">
            <v>22146159</v>
          </cell>
          <cell r="K171" t="str">
            <v>Nguyễn QuangMinh 22146171
Đậu Văn Tùng 22146250
Đỗ Hoàng Khang 22146138
Nguyễn Anh Phong 22146191</v>
          </cell>
          <cell r="L171" t="str">
            <v>Nguyễn Lê Tường</v>
          </cell>
          <cell r="M171" t="str">
            <v>Khoa CKM</v>
          </cell>
          <cell r="N171" t="str">
            <v>tuongnl@hcmute.edu.vn</v>
          </cell>
          <cell r="O171" t="str">
            <v xml:space="preserve">
- 01 Báo cáo tổng kết:Đạt yêu cầu của báo cáo khoa học.</v>
          </cell>
        </row>
        <row r="172">
          <cell r="B172" t="str">
            <v>SV2026-177</v>
          </cell>
          <cell r="C172" t="str">
            <v>r</v>
          </cell>
          <cell r="D172" t="str">
            <v>X</v>
          </cell>
          <cell r="E172"/>
          <cell r="F172" t="str">
            <v>Tính toán thiết kế chế tạo máy ép sáp</v>
          </cell>
          <cell r="G172" t="str">
            <v>Nguyễn Đăng Khoa 21144079</v>
          </cell>
          <cell r="H172" t="str">
            <v xml:space="preserve">Nguyễn Đăng Khoa </v>
          </cell>
          <cell r="I172" t="str">
            <v>Cơ khí Chế tạo máy</v>
          </cell>
          <cell r="J172" t="str">
            <v>21144079</v>
          </cell>
          <cell r="K172" t="str">
            <v>Trần Vũ Định 22144082
Đặng Trung Tín 22144210
Nguyễn Xuân Trường 22144218
Nguyễn Văn Hưng 22144112</v>
          </cell>
          <cell r="L172" t="str">
            <v>Nguyễn Thanh Tân</v>
          </cell>
          <cell r="M172" t="str">
            <v>Khoa CKM</v>
          </cell>
          <cell r="N172" t="str">
            <v>tannt@hcmute.edu.vn</v>
          </cell>
          <cell r="O172" t="str">
            <v>- Mô hình máy ép sáp 
- Bản vẽ chi tiết DWG
- Bản vẽ lắp DWG
- Báo cáo tổng kết</v>
          </cell>
        </row>
        <row r="173">
          <cell r="B173" t="str">
            <v>SV2026-178</v>
          </cell>
          <cell r="C173" t="str">
            <v>r</v>
          </cell>
          <cell r="D173" t="str">
            <v>X</v>
          </cell>
          <cell r="E173"/>
          <cell r="F173" t="str">
            <v>Nghiên cứu và thiết kế thiết bị Haptic phản hồi lực 3D với cấu trúc Delta</v>
          </cell>
          <cell r="G173" t="str">
            <v>Lê Thu Hoàng 24134025</v>
          </cell>
          <cell r="H173" t="str">
            <v xml:space="preserve">Lê Thu Hoàng </v>
          </cell>
          <cell r="I173" t="str">
            <v>Cơ khí Chế tạo máy</v>
          </cell>
          <cell r="J173" t="str">
            <v>24134025</v>
          </cell>
          <cell r="K173" t="str">
            <v>Phan Minh Gia Huy 24134028
Trần Lữ Phương Nam 24134048
Nguyễn Trần Hải Đăng 24134022
Nguyễn Khánh Duy 24134014</v>
          </cell>
          <cell r="L173" t="str">
            <v>Cái Việt Anh Dũng</v>
          </cell>
          <cell r="M173" t="str">
            <v>Khoa CKM</v>
          </cell>
          <cell r="N173" t="str">
            <v>dungcva@hcmute.edu.vn</v>
          </cell>
          <cell r="O173" t="str">
            <v xml:space="preserve">- Mô hình Thiết bị phản hồi lực 3 bậc tự do với cấu trúc song song
</v>
          </cell>
        </row>
        <row r="174">
          <cell r="B174" t="str">
            <v>SV2026-179</v>
          </cell>
          <cell r="C174" t="str">
            <v>r</v>
          </cell>
          <cell r="D174" t="str">
            <v>X</v>
          </cell>
          <cell r="E174"/>
          <cell r="F174" t="str">
            <v>Tối ưu hóa cấu trúc CDPR 3 bậc tự do</v>
          </cell>
          <cell r="G174" t="str">
            <v>Phan Văn Hoàng 23146244</v>
          </cell>
          <cell r="H174" t="str">
            <v xml:space="preserve">Phan Văn Hoàng </v>
          </cell>
          <cell r="I174" t="str">
            <v>Cơ khí Chế tạo máy</v>
          </cell>
          <cell r="J174" t="str">
            <v>23146244</v>
          </cell>
          <cell r="K174">
            <v>0</v>
          </cell>
          <cell r="L174" t="str">
            <v>Tưởng Phước Thọ</v>
          </cell>
          <cell r="M174" t="str">
            <v>Khoa CKM</v>
          </cell>
          <cell r="N174" t="str">
            <v>thotp@hcmute.edu.vn</v>
          </cell>
          <cell r="O174"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- 01 Báo cáo tổng kết</v>
          </cell>
        </row>
        <row r="175">
          <cell r="B175" t="str">
            <v>SV2026-180</v>
          </cell>
          <cell r="C175" t="str">
            <v>r</v>
          </cell>
          <cell r="D175" t="str">
            <v>X</v>
          </cell>
          <cell r="E175"/>
          <cell r="F175" t="str">
            <v>Nghiên cứu, tính toán và tối ưu dòng chảy cho khuôn đúc áp lực bằng phần mềm Magmasoft</v>
          </cell>
          <cell r="G175" t="str">
            <v>Phạm Toàn Cơ  22143084</v>
          </cell>
          <cell r="H175" t="str">
            <v xml:space="preserve">Phạm Toàn Cơ  </v>
          </cell>
          <cell r="I175" t="str">
            <v>Cơ khí Chế tạo máy</v>
          </cell>
          <cell r="J175" t="str">
            <v>22143084</v>
          </cell>
          <cell r="K175" t="str">
            <v>Phạm Nguyễn Hoàng Phúc 22143142
Nguyễn Trần Nguyên Phương 22143145
Trần Thành Vinh 22143296
Nguyễn Thành Nam 22143134</v>
          </cell>
          <cell r="L175" t="str">
            <v>Võ Xuân Tiến</v>
          </cell>
          <cell r="M175" t="str">
            <v>Khoa CKM</v>
          </cell>
          <cell r="N175" t="str">
            <v>tienvx@hcmute.edu.vn</v>
          </cell>
          <cell r="O175" t="str">
            <v>- Bài báo khoa học: đăng trên tạp chí không thuộc mục 1; hoặc bài báo đăng trên hội thảo khoa học quốc tế có chỉ số xuất bản ISSN/ISBN; hoặc sản phẩm mô hình, thiết bị (không có hợp đồng chuyển giao công nghệ).
- 01 Tập bản vẽ, 01 Tập thuyết minh
- 01 Báo cáo tổng kết</v>
          </cell>
        </row>
        <row r="176">
          <cell r="B176" t="str">
            <v>SV2026-181</v>
          </cell>
          <cell r="C176" t="str">
            <v>r</v>
          </cell>
          <cell r="D176"/>
          <cell r="E176"/>
          <cell r="F176" t="str">
            <v>Nghiên cứu và ứng dụng mô hình trí tuệ nhân tạo End-to-End trong nhận diện Bàn cờ và quy luật chơi cờ Vua</v>
          </cell>
          <cell r="G176" t="str">
            <v>Lưu Khắc Thảo Trang 23134056</v>
          </cell>
          <cell r="H176" t="str">
            <v xml:space="preserve">Lưu Khắc Thảo Trang </v>
          </cell>
          <cell r="I176" t="str">
            <v>Cơ khí Chế tạo máy</v>
          </cell>
          <cell r="J176" t="str">
            <v>23134056</v>
          </cell>
          <cell r="K176" t="str">
            <v>Phạm Gia Phong 23134045
Nguyễn Hữu Cát Tường 23134063
Trần Văn Tiến 22146417</v>
          </cell>
          <cell r="L176" t="str">
            <v>Trần Minh Thiên</v>
          </cell>
          <cell r="M176" t="str">
            <v>Khoa CKM</v>
          </cell>
          <cell r="N176" t="str">
            <v>thientm@hcmute.edu.vn</v>
          </cell>
          <cell r="O176" t="str">
            <v>- 01 Báo cáo tổng kết</v>
          </cell>
        </row>
        <row r="177">
          <cell r="B177" t="str">
            <v>SV2026-182</v>
          </cell>
          <cell r="C177" t="str">
            <v>r</v>
          </cell>
          <cell r="D177" t="str">
            <v>X</v>
          </cell>
          <cell r="E177"/>
          <cell r="F177" t="str">
            <v>Lập qui trình công nghệ gia công các chi tiết phi tiêu chuẩn cho băng truyền</v>
          </cell>
          <cell r="G177" t="str">
            <v>Lê Minh Quang 22147073</v>
          </cell>
          <cell r="H177" t="str">
            <v xml:space="preserve">Lê Minh Quang </v>
          </cell>
          <cell r="I177" t="str">
            <v>Cơ khí Chế tạo máy</v>
          </cell>
          <cell r="J177" t="str">
            <v>22147073</v>
          </cell>
          <cell r="K177" t="str">
            <v>Phan Hữu Quang Huy 22147056</v>
          </cell>
          <cell r="L177" t="str">
            <v>Phan Công Bình</v>
          </cell>
          <cell r="M177" t="str">
            <v>Khoa CKM</v>
          </cell>
          <cell r="N177" t="str">
            <v>binhpc@hcmute.edu.vn</v>
          </cell>
          <cell r="O177" t="str">
            <v>- 02 Bài báo khoa học đăng trên tạp chí trong nước trong danh mục của HĐ GSNN tính từ 0,5 điểm trở lên</v>
          </cell>
        </row>
        <row r="178">
          <cell r="B178" t="str">
            <v>SV2026-184</v>
          </cell>
          <cell r="C178" t="str">
            <v>r</v>
          </cell>
          <cell r="D178" t="str">
            <v>X</v>
          </cell>
          <cell r="E178"/>
          <cell r="F178" t="str">
            <v>Nghiên cứu ảnh hưởng thông số tạo hình theo lớp đến độ bền xoắn của chi tiết</v>
          </cell>
          <cell r="G178" t="str">
            <v>Trần Khánh Khoa	 21144395</v>
          </cell>
          <cell r="H178" t="str">
            <v xml:space="preserve">Trần Khánh Khoa	 </v>
          </cell>
          <cell r="I178" t="str">
            <v>Cơ khí Chế tạo máy</v>
          </cell>
          <cell r="J178" t="str">
            <v>21144395</v>
          </cell>
          <cell r="K178" t="str">
            <v>Nguyễn Quốc Kiệt 22144130</v>
          </cell>
          <cell r="L178" t="str">
            <v>Võ Kim Hằng</v>
          </cell>
          <cell r="M178" t="str">
            <v>Khoa Giao thông và Năng lượng</v>
          </cell>
          <cell r="N178" t="str">
            <v>hangvk@hcmute.edu.vn</v>
          </cell>
          <cell r="O178" t="str">
            <v>- 02 Bài báo khoa học đăng trên tạp chí trong nước trong danh mục của HĐ GSNN tính từ 0,5 điểm trở lên</v>
          </cell>
        </row>
        <row r="179">
          <cell r="B179" t="str">
            <v>SV2026-185</v>
          </cell>
          <cell r="C179" t="str">
            <v>r</v>
          </cell>
          <cell r="D179" t="str">
            <v>X</v>
          </cell>
          <cell r="E179" t="str">
            <v>x</v>
          </cell>
          <cell r="F179" t="str">
            <v>Thực nghiệm khả năng hoạt động của mô hình module 3 bậc tự do dùng cơ nhân tạo</v>
          </cell>
          <cell r="G179" t="str">
            <v>Nguyễn Đăng Thưởng 23144321</v>
          </cell>
          <cell r="H179" t="str">
            <v xml:space="preserve">Nguyễn Đăng Thưởng </v>
          </cell>
          <cell r="I179" t="str">
            <v>Cơ khí Chế tạo máy</v>
          </cell>
          <cell r="J179" t="str">
            <v>23144321</v>
          </cell>
          <cell r="K179" t="str">
            <v>Nguyễn Văn Trọng 23144037</v>
          </cell>
          <cell r="L179" t="str">
            <v>Phan Thị Đăng Thư</v>
          </cell>
          <cell r="M179" t="str">
            <v>Khoa CKM</v>
          </cell>
          <cell r="N179" t="str">
            <v>thuptd@hcmute.edu.vn</v>
          </cell>
          <cell r="O179" t="str">
            <v>- 02 Bài báo khoa học đăng trên tạp chí trong nước trong danh mục của HĐ GSNN tính từ 0,5 điểm trở lên</v>
          </cell>
        </row>
        <row r="180">
          <cell r="B180" t="str">
            <v>SV2026-186</v>
          </cell>
          <cell r="C180" t="str">
            <v>r</v>
          </cell>
          <cell r="D180" t="str">
            <v>X</v>
          </cell>
          <cell r="E180" t="str">
            <v>x</v>
          </cell>
          <cell r="F180" t="str">
            <v>Nghiên cứu chế tạo mô hình chân 3 bậc tự do cho robot dạng chó</v>
          </cell>
          <cell r="G180" t="str">
            <v>Lưu Thiên Bách 24144120</v>
          </cell>
          <cell r="H180" t="str">
            <v xml:space="preserve">Lưu Thiên Bách </v>
          </cell>
          <cell r="I180" t="str">
            <v>Cơ khí Chế tạo máy</v>
          </cell>
          <cell r="J180" t="str">
            <v>24144120</v>
          </cell>
          <cell r="K180" t="str">
            <v>Nguyễn Minh Duy 22144008
Hoàng Quang Dương 22144009</v>
          </cell>
          <cell r="L180" t="str">
            <v>Nguyễn Văn Minh (CNC)</v>
          </cell>
          <cell r="M180" t="str">
            <v>Khoa CKM</v>
          </cell>
          <cell r="N180" t="str">
            <v>minhngv@hcmute.edu.vn</v>
          </cell>
          <cell r="O180" t="str">
            <v>- 02 Bài báo khoa học đăng trên tạp chí trong nước trong danh mục của HĐ GSNN tính từ 0,5 điểm trở lên</v>
          </cell>
        </row>
        <row r="181">
          <cell r="B181" t="str">
            <v>SV2026-187</v>
          </cell>
          <cell r="C181" t="str">
            <v>r</v>
          </cell>
          <cell r="D181" t="str">
            <v>X</v>
          </cell>
          <cell r="E181"/>
          <cell r="F181" t="str">
            <v xml:space="preserve"> Xe robot tự cân bằng đa bậc tự do</v>
          </cell>
          <cell r="G181" t="str">
            <v>Trần Minh Cương 23134007</v>
          </cell>
          <cell r="H181" t="str">
            <v xml:space="preserve">Trần Minh Cương </v>
          </cell>
          <cell r="I181" t="str">
            <v>Cơ khí Chế tạo máy</v>
          </cell>
          <cell r="J181" t="str">
            <v>23134007</v>
          </cell>
          <cell r="K181" t="str">
            <v>Nguyễn Anh Hào 23134015
Nguyễn Đình Anh Khôi 21146256
Phùng Mạnh Thắng 21146316
Võ Hồng Quân 22134012</v>
          </cell>
          <cell r="L181" t="str">
            <v xml:space="preserve">Cái Việt Anh Dũng </v>
          </cell>
          <cell r="M181" t="str">
            <v>Khoa CKM</v>
          </cell>
          <cell r="N181" t="str">
            <v>dungcva@hcmute.edu.vn</v>
          </cell>
          <cell r="O181" t="str">
            <v>- Mô hình vật lý xe robot cân bằng đa bậc tự do. Bản vẽ mô hình
- 01 Báo cáo tổng kết</v>
          </cell>
        </row>
        <row r="182">
          <cell r="B182" t="str">
            <v>SV2026-188</v>
          </cell>
          <cell r="C182" t="str">
            <v>R (Thêm BM06 đổi tên đt và sửa tên trường mới)</v>
          </cell>
          <cell r="D182" t="str">
            <v>X</v>
          </cell>
          <cell r="E182" t="str">
            <v>x</v>
          </cell>
          <cell r="F182" t="str">
            <v>Thử nghiệm băng truyền phục vụ nghiên cứu về khả năng di chuyển của robot</v>
          </cell>
          <cell r="G182" t="str">
            <v>Vũ Trọng Luân 23144118</v>
          </cell>
          <cell r="H182" t="str">
            <v xml:space="preserve">Nguyễn Ngọc Lân </v>
          </cell>
          <cell r="I182" t="str">
            <v>Cơ khí Chế tạo máy</v>
          </cell>
          <cell r="J182" t="str">
            <v>22147064</v>
          </cell>
          <cell r="K182" t="str">
            <v>Nguyễn Ngọc Lân 22147064</v>
          </cell>
          <cell r="L182" t="str">
            <v>Nguyễn Thị Ánh Tuyết</v>
          </cell>
          <cell r="M182" t="str">
            <v>Khoa CKM</v>
          </cell>
          <cell r="N182" t="str">
            <v>ntatuyet@hcmute.edu.vn</v>
          </cell>
          <cell r="O182" t="str">
            <v>- 02 Bài báo khoa học đăng trên tạp chí trong nước trong danh mục của HĐ GSNN tính từ 0,5 điểm trở lên</v>
          </cell>
        </row>
        <row r="183">
          <cell r="B183" t="str">
            <v>SV2026-189</v>
          </cell>
          <cell r="C183" t="str">
            <v>R</v>
          </cell>
          <cell r="D183" t="str">
            <v>X</v>
          </cell>
          <cell r="E183"/>
          <cell r="F183" t="str">
            <v>Hệ thống đo lực dao động bể nước</v>
          </cell>
          <cell r="G183" t="str">
            <v>Lê Hữu Hùng 22146318</v>
          </cell>
          <cell r="H183" t="str">
            <v xml:space="preserve">Lê Hữu Hùng </v>
          </cell>
          <cell r="I183" t="str">
            <v>Cơ khí Chế tạo máy</v>
          </cell>
          <cell r="J183" t="str">
            <v>22146318</v>
          </cell>
          <cell r="K183" t="str">
            <v>Trần Nguyễn Gia Thọ 22146410
Nguyễn Bá Đức Thắng 22146403</v>
          </cell>
          <cell r="L183" t="str">
            <v>Nguyễn Văn Đoàn</v>
          </cell>
          <cell r="M183" t="str">
            <v>Khoa CKM</v>
          </cell>
          <cell r="N183" t="str">
            <v>nvdoan@hcmute.edu.vn</v>
          </cell>
          <cell r="O183" t="str">
            <v>- Mô hình hệ thống đo lực dao động của bể nước. Bản vẽ của hệ thống
- Báo cáo tổng kết</v>
          </cell>
        </row>
        <row r="184">
          <cell r="B184" t="str">
            <v>SV2026-190</v>
          </cell>
          <cell r="C184" t="str">
            <v>R (đổi chủ nhiệm thành Tài, làm lại 4 hđ)</v>
          </cell>
          <cell r="D184" t="str">
            <v>X</v>
          </cell>
          <cell r="E184" t="str">
            <v>x</v>
          </cell>
          <cell r="F184" t="str">
            <v>Thực nghiệm độ bền xoắn cho chi tiết được chế tạo bằng phương pháp phun ép nhựa</v>
          </cell>
          <cell r="G184" t="str">
            <v>Trịnh Minh Tài 22144181</v>
          </cell>
          <cell r="H184" t="str">
            <v xml:space="preserve">Trịnh Minh Tài </v>
          </cell>
          <cell r="I184" t="str">
            <v>Cơ khí Chế tạo máy</v>
          </cell>
          <cell r="J184" t="str">
            <v>22144181</v>
          </cell>
          <cell r="K184" t="str">
            <v>Nguyễn Gia Hưng 22144111
'Đỗ Trọng Quân 22144030</v>
          </cell>
          <cell r="L184" t="str">
            <v>Nguyễn Trần Phú</v>
          </cell>
          <cell r="M184" t="str">
            <v>Khoa Giao thông và Năng lượng</v>
          </cell>
          <cell r="N184" t="str">
            <v>phunt@hcmute.edu.vn</v>
          </cell>
          <cell r="O184" t="str">
            <v>- 02 Bài báo khoa học đăng trên tạp chí trong nước trong danh mục của HĐ GSNN tính từ 0,5 điểm trở lên</v>
          </cell>
        </row>
        <row r="185">
          <cell r="B185" t="str">
            <v>SV2026-191</v>
          </cell>
          <cell r="C185" t="str">
            <v>r</v>
          </cell>
          <cell r="D185" t="str">
            <v>X</v>
          </cell>
          <cell r="E185"/>
          <cell r="F185" t="str">
            <v>Nghiên cứu, đề xuất phương án và chế tạo mô hình bảo trì điện cơ bản.</v>
          </cell>
          <cell r="G185" t="str">
            <v>Trịnh Ngọc Hiếu 23143126</v>
          </cell>
          <cell r="H185" t="str">
            <v xml:space="preserve">Trịnh Ngọc Hiếu </v>
          </cell>
          <cell r="I185" t="str">
            <v>Cơ khí Chế tạo máy</v>
          </cell>
          <cell r="J185" t="str">
            <v>23143126</v>
          </cell>
          <cell r="K185" t="str">
            <v xml:space="preserve">Nguyễn Miêu Bách 23143100
Đỗ Tấn Duy 23143111
Trần Minh Tiến 23143205
Kim Hoàng Vũ 23143214
</v>
          </cell>
          <cell r="L185" t="str">
            <v>Đặng Quang Khoa</v>
          </cell>
          <cell r="M185" t="str">
            <v>Khoa CKM</v>
          </cell>
          <cell r="N185" t="str">
            <v>khoadq@hcmute.edu.vn</v>
          </cell>
          <cell r="O185" t="str">
            <v xml:space="preserve">- Mô hình bảo trì điện cơ bản
-Báo cáo tổng kết: Đạt yêu cầu báo cáo khoa học
- Tập bản vẽ
</v>
          </cell>
        </row>
        <row r="186">
          <cell r="B186" t="str">
            <v>SV2026-192</v>
          </cell>
          <cell r="C186" t="str">
            <v>r</v>
          </cell>
          <cell r="D186" t="str">
            <v>X</v>
          </cell>
          <cell r="E186" t="str">
            <v>x</v>
          </cell>
          <cell r="F186" t="str">
            <v>Thiết kế mô hình 3 bậc tự do dùng cơ nhân tạo</v>
          </cell>
          <cell r="G186" t="str">
            <v>Nguyễn Văn Trọng 23144328</v>
          </cell>
          <cell r="H186" t="str">
            <v xml:space="preserve">Nguyễn Văn Trọng </v>
          </cell>
          <cell r="I186" t="str">
            <v>Cơ khí Chế tạo máy</v>
          </cell>
          <cell r="J186" t="str">
            <v>23144328</v>
          </cell>
          <cell r="K186" t="str">
            <v>Nguyễn Văn Thương 23144320</v>
          </cell>
          <cell r="L186" t="str">
            <v>Phạm Sơn Minh</v>
          </cell>
          <cell r="M186" t="str">
            <v>Khoa CKM</v>
          </cell>
          <cell r="N186" t="str">
            <v>minhps@hcmute.edu.vn</v>
          </cell>
          <cell r="O186" t="str">
            <v>- 02 Bài báo khoa học đăng trên tạp chí trong nước trong danh mục của HĐ GSNN tính từ 0,5 điểm trở lên</v>
          </cell>
        </row>
        <row r="187">
          <cell r="B187" t="str">
            <v>SV2026-193</v>
          </cell>
          <cell r="C187" t="str">
            <v>r</v>
          </cell>
          <cell r="D187" t="str">
            <v>X</v>
          </cell>
          <cell r="E187" t="str">
            <v>x</v>
          </cell>
          <cell r="F187" t="str">
            <v>Mô phỏng phân bố nhiệt độ cho lòng khuôn phun ép</v>
          </cell>
          <cell r="G187" t="str">
            <v>Trần Nhất Long 23144116</v>
          </cell>
          <cell r="H187" t="str">
            <v xml:space="preserve">Trần Nhất Long </v>
          </cell>
          <cell r="I187" t="str">
            <v>Cơ khí Chế tạo máy</v>
          </cell>
          <cell r="J187" t="str">
            <v>23144116</v>
          </cell>
          <cell r="K187" t="str">
            <v>Đỗ Trần Nhật Minh 23144119</v>
          </cell>
          <cell r="L187" t="str">
            <v>Nguyễn Trọng Hiếu</v>
          </cell>
          <cell r="M187" t="str">
            <v>Khoa CKM</v>
          </cell>
          <cell r="N187" t="str">
            <v>hieunt@hcmute.edu.vn</v>
          </cell>
          <cell r="O187" t="str">
            <v>- 02 Bài báo khoa học đăng trên tạp chí trong nước trong danh mục của HĐ GSNN tính từ 0,5 điểm trở lên</v>
          </cell>
        </row>
        <row r="188">
          <cell r="B188" t="str">
            <v>SV2026-194</v>
          </cell>
          <cell r="C188" t="str">
            <v>r</v>
          </cell>
          <cell r="D188" t="str">
            <v>X</v>
          </cell>
          <cell r="E188" t="str">
            <v>x</v>
          </cell>
          <cell r="F188" t="str">
            <v>Thực nghiệm đo dao động của cán dao phay ứng với các thông số gia công khác nhau (S,T,V)</v>
          </cell>
          <cell r="G188" t="str">
            <v>Phạm Đức Minh 23144258</v>
          </cell>
          <cell r="H188" t="str">
            <v xml:space="preserve">Phạm Đức Minh </v>
          </cell>
          <cell r="I188" t="str">
            <v>Cơ khí Chế tạo máy</v>
          </cell>
          <cell r="J188" t="str">
            <v>23144258</v>
          </cell>
          <cell r="K188" t="str">
            <v>Nguyễn Minh Đạt 24143080
Thái Quách An 24143064</v>
          </cell>
          <cell r="L188" t="str">
            <v>Phan Thị Đăng Thư</v>
          </cell>
          <cell r="M188" t="str">
            <v>Khoa CKM</v>
          </cell>
          <cell r="N188" t="str">
            <v>thuptd@hcmute.edu.vn</v>
          </cell>
          <cell r="O188" t="str">
            <v>- 02 Bài báo khoa học đăng trên tạp chí trong nước trong danh mục của HĐ GSNN tính từ 0,5 điểm trở lên</v>
          </cell>
        </row>
        <row r="189">
          <cell r="B189" t="str">
            <v>SV2026-196</v>
          </cell>
          <cell r="C189" t="str">
            <v>r</v>
          </cell>
          <cell r="D189" t="str">
            <v>X</v>
          </cell>
          <cell r="E189"/>
          <cell r="F189" t="str">
            <v>Nghiên cứu, đề xuất giải pháp và chế tạo mô hình điều chỉnh khe hở bộ truyền bánh răng hộp số một cấp áp dụng trong lĩnh vực bảo trì, bảo dưỡng thiết bị công nghiệp</v>
          </cell>
          <cell r="G189" t="str">
            <v>Trần Đăng Nghiêm 22144151</v>
          </cell>
          <cell r="H189" t="str">
            <v xml:space="preserve">Trần Đăng Nghiêm </v>
          </cell>
          <cell r="I189" t="str">
            <v>Cơ khí Chế tạo máy</v>
          </cell>
          <cell r="J189" t="str">
            <v>22144151</v>
          </cell>
          <cell r="K189" t="str">
            <v>Nguyễn Huy Chương 2144066
Đặng Công Thiên Đức 22144083
Hồ Vĩnh Khang 22144117
Trần Quốc Việt 22144227</v>
          </cell>
          <cell r="L189" t="str">
            <v>Đặng Quang Khoa</v>
          </cell>
          <cell r="M189" t="str">
            <v>Khoa CKM</v>
          </cell>
          <cell r="N189" t="str">
            <v>khoadq@hcmute.edu.vn</v>
          </cell>
          <cell r="O189" t="str">
            <v>- Mô hình điều chỉnh khe hở bộ truyền bánh răng hộp số một cấp
- Báo cáo tổng kết: Đạt yêu cầu báo cáo khoa học</v>
          </cell>
        </row>
        <row r="190">
          <cell r="B190" t="str">
            <v>SV2026-197</v>
          </cell>
          <cell r="C190" t="str">
            <v>r</v>
          </cell>
          <cell r="D190" t="str">
            <v>X</v>
          </cell>
          <cell r="E190" t="str">
            <v>x</v>
          </cell>
          <cell r="F190" t="str">
            <v>Nghiên cứu độ bền của tấm composite được chế tạo bằng phương pháp phun ép</v>
          </cell>
          <cell r="G190" t="str">
            <v>Huỳnh Văn Hưỡng 23144091</v>
          </cell>
          <cell r="H190" t="str">
            <v xml:space="preserve">Huỳnh Văn Hưỡng </v>
          </cell>
          <cell r="I190" t="str">
            <v>Cơ khí Chế tạo máy</v>
          </cell>
          <cell r="J190" t="str">
            <v>23144091</v>
          </cell>
          <cell r="K190" t="str">
            <v>Nguyễn Đình Nguyên 23144126
Lê Phước Hoàng 23144080</v>
          </cell>
          <cell r="L190" t="str">
            <v>Nguyễn Trần Phú</v>
          </cell>
          <cell r="M190" t="str">
            <v>Khoa Giao thông và Năng lượng</v>
          </cell>
          <cell r="N190" t="str">
            <v>phunt@hcmute.edu.vn</v>
          </cell>
          <cell r="O190" t="str">
            <v>- 02 Bài báo khoa học đăng trên tạp chí trong nước trong danh mục của HĐ GSNN tính từ 0,5 điểm trở lên</v>
          </cell>
        </row>
        <row r="191">
          <cell r="B191" t="str">
            <v>SV2026-198</v>
          </cell>
          <cell r="C191" t="str">
            <v>r</v>
          </cell>
          <cell r="D191" t="str">
            <v>X</v>
          </cell>
          <cell r="E191" t="str">
            <v>x</v>
          </cell>
          <cell r="F191" t="str">
            <v>Nghiên cứu, thiết kế và chế tạo thiết bị nung dây bù kim loại trong quy trình hàn TIG tự động có bù dây</v>
          </cell>
          <cell r="G191" t="str">
            <v>Huỳnh Nguyễn Thái Anh 24143164</v>
          </cell>
          <cell r="H191" t="str">
            <v xml:space="preserve">Huỳnh Nguyễn Thái Anh </v>
          </cell>
          <cell r="I191" t="str">
            <v>Cơ khí Chế tạo máy</v>
          </cell>
          <cell r="J191" t="str">
            <v>24143164</v>
          </cell>
          <cell r="K191" t="str">
            <v>Trần Lê Anh Hào 24143216
Lê Công Danh 24143180
Vũ Hoàng Danh 24143185</v>
          </cell>
          <cell r="L191" t="str">
            <v>Võ Minh Tâm</v>
          </cell>
          <cell r="M191" t="str">
            <v>Khoa CKM</v>
          </cell>
          <cell r="N191" t="str">
            <v>tamvm@hcmute.edu.vn</v>
          </cell>
          <cell r="O191" t="str">
            <v>-Mô hình thiết bị gia nhiệt dây  bù kim loại 
- Tập bản vẽ
- 01 Báo cáo tổng kết: Đạt yêu cầu báo cáo khoa học</v>
          </cell>
        </row>
        <row r="192">
          <cell r="B192" t="str">
            <v>SV2026-199</v>
          </cell>
          <cell r="C192" t="str">
            <v>r</v>
          </cell>
          <cell r="D192" t="str">
            <v>X</v>
          </cell>
          <cell r="E192" t="str">
            <v>x</v>
          </cell>
          <cell r="F192" t="str">
            <v>Ứng dụng chuỗi kích thước để tính toán kích thước đường kính cho chi tiết dạng trục bậc ở dạng sản xuất hàng khối</v>
          </cell>
          <cell r="G192" t="str">
            <v>Trần Trung Tính 23143206</v>
          </cell>
          <cell r="H192" t="str">
            <v xml:space="preserve">Trần Trung Tính </v>
          </cell>
          <cell r="I192" t="str">
            <v>Cơ khí Chế tạo máy</v>
          </cell>
          <cell r="J192" t="str">
            <v>23143206</v>
          </cell>
          <cell r="K192" t="str">
            <v>Đinh Thành Luân 23143024
Phan Văn Phúc 23143031</v>
          </cell>
          <cell r="L192" t="str">
            <v>Nguyễn Hoài Nam</v>
          </cell>
          <cell r="M192" t="str">
            <v>Khoa CKM</v>
          </cell>
          <cell r="N192" t="str">
            <v>namnh@hcmute.edu.vn</v>
          </cell>
          <cell r="O192" t="str">
            <v>- Báo cáo tổng kết: 	Đạt yêu cầu báo cáo khoa học</v>
          </cell>
        </row>
        <row r="193">
          <cell r="B193" t="str">
            <v>SV2026-200</v>
          </cell>
          <cell r="C193" t="str">
            <v>r</v>
          </cell>
          <cell r="D193" t="str">
            <v>X</v>
          </cell>
          <cell r="E193"/>
          <cell r="F193" t="str">
            <v>Nghiên cứu thiết kế chế tạo máy bay không người lái bám theo đối tượng động dùng camera và xử lý ảnh</v>
          </cell>
          <cell r="G193" t="str">
            <v>Trần Nguyễn Ngọc Thành 22146401</v>
          </cell>
          <cell r="H193" t="str">
            <v xml:space="preserve">Trần Nguyễn Ngọc Thành </v>
          </cell>
          <cell r="I193" t="str">
            <v>Cơ khí Chế tạo máy</v>
          </cell>
          <cell r="J193" t="str">
            <v>22146401</v>
          </cell>
          <cell r="K193" t="str">
            <v>Lê Thế Hiển 24146027</v>
          </cell>
          <cell r="L193" t="str">
            <v>Hà Lê Như Ngọc Thành</v>
          </cell>
          <cell r="M193" t="str">
            <v>Khoa CKM</v>
          </cell>
          <cell r="N193" t="str">
            <v>thanh.hlnn@hcmute.edu.vn</v>
          </cell>
          <cell r="O193" t="str">
            <v>- Mô hình UAV 8 cánh đồng trục
- Thuật toán điều khiển máy bay UAV 8 cánh đồng trục
- Mô hình AI phát hiện đối tượng
- Báo cáo tổng kết</v>
          </cell>
        </row>
        <row r="194">
          <cell r="B194" t="str">
            <v>SV2026-203</v>
          </cell>
          <cell r="C194" t="str">
            <v>r</v>
          </cell>
          <cell r="D194" t="str">
            <v>X</v>
          </cell>
          <cell r="E194"/>
          <cell r="F194" t="str">
            <v>Thiết kế và chế tạo máy cấy ren ECU cho chi tiết dạng tấm</v>
          </cell>
          <cell r="G194" t="str">
            <v>Trần Đức Trung 22143283</v>
          </cell>
          <cell r="H194" t="str">
            <v xml:space="preserve">Trần Đức Trung </v>
          </cell>
          <cell r="I194" t="str">
            <v>Cơ khí Chế tạo máy</v>
          </cell>
          <cell r="J194" t="str">
            <v>22143283</v>
          </cell>
          <cell r="K194" t="str">
            <v>Võ Hoàng Phúc 22143261
Nguyễn Hồng Sơn 22143265</v>
          </cell>
          <cell r="L194" t="str">
            <v>Dương Thị Vân Anh</v>
          </cell>
          <cell r="M194" t="str">
            <v>Khoa CKM</v>
          </cell>
          <cell r="N194" t="str">
            <v>anhdtv@hcmute.edu.vn</v>
          </cell>
          <cell r="O194" t="str">
            <v>- Mô hình máy cấy ren ECU cho chi tiết dạng tấm
- Tập bản vẽ
- Báo cáo tổng kết</v>
          </cell>
        </row>
        <row r="195">
          <cell r="B195" t="str">
            <v>SV2026-204</v>
          </cell>
          <cell r="C195" t="str">
            <v>r</v>
          </cell>
          <cell r="D195" t="str">
            <v>X</v>
          </cell>
          <cell r="E195"/>
          <cell r="F195" t="str">
            <v>Thiết kế và chế tạo máy mài chép hình cho chi tiết dạng trục cam</v>
          </cell>
          <cell r="G195" t="str">
            <v>Đỗ Đại Quý 22144176</v>
          </cell>
          <cell r="H195" t="str">
            <v xml:space="preserve">Đỗ Đại Quý </v>
          </cell>
          <cell r="I195" t="str">
            <v>Cơ khí Chế tạo máy</v>
          </cell>
          <cell r="J195" t="str">
            <v>22144176</v>
          </cell>
          <cell r="K195" t="str">
            <v>Đinh Ngọc Quý 2214175
Huỳnh Thanh Phương 22144169</v>
          </cell>
          <cell r="L195" t="str">
            <v>Trần Chí Thiên</v>
          </cell>
          <cell r="M195" t="str">
            <v>Khoa CKM</v>
          </cell>
          <cell r="N195" t="str">
            <v>thientc@hcmute.edu.vn</v>
          </cell>
          <cell r="O195" t="str">
            <v>- Mô hình máy Mài Chép Hình Trục Cam cho chi tiết dạng trục cam
- Tập bản vẽ
- Báo cáo tổng kết</v>
          </cell>
        </row>
        <row r="196">
          <cell r="B196" t="str">
            <v>SV2026-205</v>
          </cell>
          <cell r="C196" t="str">
            <v>R</v>
          </cell>
          <cell r="D196" t="str">
            <v>X</v>
          </cell>
          <cell r="E196"/>
          <cell r="F196" t="str">
            <v>Nghiên cứu ảnh hưởng của nhiệt độ buồng in đến độ bền kéo của vật liệu PETG bằng phương pháp in 3D FDM.</v>
          </cell>
          <cell r="G196" t="str">
            <v>Nguyễn Cảnh Khánh 22143115</v>
          </cell>
          <cell r="H196" t="str">
            <v xml:space="preserve">Nguyễn Cảnh Khánh </v>
          </cell>
          <cell r="I196" t="str">
            <v>Cơ khí Chế tạo máy</v>
          </cell>
          <cell r="J196" t="str">
            <v>22143115</v>
          </cell>
          <cell r="K196" t="str">
            <v>Trịnh Hoàng Minh Trí 22143162
Nguyễn Nhật Thịnh 22143158
Nguyễn Trần Quốc Thắng 22143155
Đào Xuân Trường 22143165</v>
          </cell>
          <cell r="L196" t="str">
            <v>Phạm Thị Hồng Nga</v>
          </cell>
          <cell r="M196" t="str">
            <v>Khoa CKM</v>
          </cell>
          <cell r="N196" t="str">
            <v>hongnga@hcmute.edu.vn</v>
          </cell>
          <cell r="O196"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
- Báo cáo tổng kết</v>
          </cell>
        </row>
        <row r="197">
          <cell r="B197" t="str">
            <v>SV2026-206</v>
          </cell>
          <cell r="C197" t="str">
            <v>r</v>
          </cell>
          <cell r="D197" t="str">
            <v>X</v>
          </cell>
          <cell r="E197" t="str">
            <v>x</v>
          </cell>
          <cell r="F197" t="str">
            <v>Nghiên cứu cơ tính và cấu trúc lớp phủ Inconel chế tạo bằng laser cladding trên thép khuôn SKD61</v>
          </cell>
          <cell r="G197" t="str">
            <v>Trần Trung Hậu 23144070</v>
          </cell>
          <cell r="H197" t="str">
            <v xml:space="preserve">Trần Trung Hậu </v>
          </cell>
          <cell r="I197" t="str">
            <v>Cơ khí Chế tạo máy</v>
          </cell>
          <cell r="J197" t="str">
            <v>23144070</v>
          </cell>
          <cell r="K197" t="str">
            <v xml:space="preserve">Võ Nguyên Khả 23144096
Nguyễn Gia Huy 23144085
Trần Ngọc Minh Hân 23144068
Trần Hữu Kha 23144093
</v>
          </cell>
          <cell r="L197" t="str">
            <v>Phạm Thị Hồng Nga</v>
          </cell>
          <cell r="M197" t="str">
            <v>Khoa CKM</v>
          </cell>
          <cell r="N197" t="str">
            <v>hongnga@hcmute.edu.vn</v>
          </cell>
          <cell r="O197" t="str">
            <v>- 01 Bài báo khoa học (đăng trên tạp chí trong nước trong danh mục của Hội đồng Giáo sư Nhà nước tính 0,5 điểm trở lên) hoặc bài báo đăng trên tạp chí quốc tế có chỉ số xuất bản ISSN; hoặc SP mô hình có hợp đồng chuyển giao công nghệ phục vụ cộng đồng.</v>
          </cell>
        </row>
        <row r="198">
          <cell r="B198" t="str">
            <v>SV2026-207</v>
          </cell>
          <cell r="C198" t="str">
            <v>r</v>
          </cell>
          <cell r="D198" t="str">
            <v>X</v>
          </cell>
          <cell r="E198"/>
          <cell r="F198" t="str">
            <v>Ứng dụng Machine Learning và công nghệ QR Code trong kiểm tra chất lượng rau củ quả</v>
          </cell>
          <cell r="G198" t="str">
            <v>Trần Thị Thanh Xuân 24104070</v>
          </cell>
          <cell r="H198" t="str">
            <v xml:space="preserve">Trần Thị Thanh Xuân </v>
          </cell>
          <cell r="I198" t="str">
            <v>Cơ khí Chế tạo máy</v>
          </cell>
          <cell r="J198" t="str">
            <v>24104070</v>
          </cell>
          <cell r="K198" t="str">
            <v>Nguyễn Thị Kiều Vi 24104067</v>
          </cell>
          <cell r="L198" t="str">
            <v>Lê Minh Tài</v>
          </cell>
          <cell r="M198" t="str">
            <v>Khoa CKM</v>
          </cell>
          <cell r="N198" t="str">
            <v>tailm@hcmute.edu.vn</v>
          </cell>
          <cell r="O198" t="str">
            <v>-Bài báo khoa học: Bài báo khoa học đăng trên tạp chí không thuộc mục 1; hoặc bài báo đăng trên hội thảo quốc tế có chỉ số xuất bản ISBN/ISSN; hoặc sản phẩm mô hình, thiết bị (không có hợp đồng chuyển giao công nghệ).
- Báo cáo tổng kết</v>
          </cell>
        </row>
        <row r="199">
          <cell r="B199" t="str">
            <v>SV2026-208</v>
          </cell>
          <cell r="C199" t="str">
            <v>r</v>
          </cell>
          <cell r="D199" t="str">
            <v>X</v>
          </cell>
          <cell r="E199" t="str">
            <v>x</v>
          </cell>
          <cell r="F199" t="str">
            <v>Mô hình thí nghiệm và trạm điều khiển động cơ BLDC motor</v>
          </cell>
          <cell r="G199" t="str">
            <v>Võ Phước Thắng 22146229</v>
          </cell>
          <cell r="H199" t="str">
            <v xml:space="preserve">Võ Phước Thắng </v>
          </cell>
          <cell r="I199" t="str">
            <v>Cơ khí Chế tạo máy</v>
          </cell>
          <cell r="J199" t="str">
            <v>22146229</v>
          </cell>
          <cell r="K199" t="str">
            <v>Nguyễn Thị Ánh Ngọc 23134040
Nguyễn Chí Bình 22146084
Trần Văn Dương 21146079</v>
          </cell>
          <cell r="L199" t="str">
            <v>Trần Thụy Uyên Phương</v>
          </cell>
          <cell r="M199" t="str">
            <v>Khoa CKM</v>
          </cell>
          <cell r="N199" t="str">
            <v>phuongttu@hcmute.edu.vn</v>
          </cell>
          <cell r="O199" t="str">
            <v>- Mô hình thiết bị trạm điều khiển động cơ BLDC
- Bản vẽ mô hình
- Báo cáo tổng kết</v>
          </cell>
        </row>
        <row r="200">
          <cell r="B200" t="str">
            <v>SV2026-209</v>
          </cell>
          <cell r="C200" t="str">
            <v>r</v>
          </cell>
          <cell r="D200" t="str">
            <v>HỦY</v>
          </cell>
          <cell r="E200"/>
          <cell r="F200" t="str">
            <v>Chính sách xử lý hình sự đối với người từ đủ 14 tuổi đến dưới 16 tuổi – nghiên cứu so sánh và định hướng hoàn thiện pháp luật Việt Nam</v>
          </cell>
          <cell r="G200" t="str">
            <v>Nguyễn Lê Hoàng Uyên 23163055</v>
          </cell>
          <cell r="H200" t="str">
            <v xml:space="preserve">Nguyễn Lê Hoàng Uyên </v>
          </cell>
          <cell r="I200" t="str">
            <v>Chính trị và Luật</v>
          </cell>
          <cell r="J200" t="str">
            <v>23163055</v>
          </cell>
          <cell r="K200" t="str">
            <v>Nguyễn Ngọc Phương Linh 23163022
Nguyễn Thị Kim Phụng 24163078
Phạm Trịnh Thanh Bình 24163012
Võ Lê Thùy An 24163004</v>
          </cell>
          <cell r="L200" t="str">
            <v>Đoàn Trọng Chỉnh</v>
          </cell>
          <cell r="M200" t="str">
            <v>Khoa Chính trị và Luật</v>
          </cell>
          <cell r="N200" t="str">
            <v>chinhdt@hcmute.edu.vn</v>
          </cell>
          <cell r="O200" t="str">
            <v>01 Bài báo đăng trên tạp chí chuyên ngành trong nước được HĐ GSNN tính 0,5 điểm  
01 Báo cáo tổng kết</v>
          </cell>
        </row>
        <row r="201">
          <cell r="B201" t="str">
            <v>SV2026-210</v>
          </cell>
          <cell r="C201" t="str">
            <v>r</v>
          </cell>
          <cell r="D201" t="str">
            <v>X</v>
          </cell>
          <cell r="E201"/>
          <cell r="F201" t="str">
            <v>Tập quán pháp trong hoạt động kinh doanh thương mại</v>
          </cell>
          <cell r="G201" t="str">
            <v>Quách Hải Thọ 23142443</v>
          </cell>
          <cell r="H201" t="str">
            <v xml:space="preserve">Quách Hải Thọ </v>
          </cell>
          <cell r="I201" t="str">
            <v>Chính trị và Luật</v>
          </cell>
          <cell r="J201" t="str">
            <v>23142443</v>
          </cell>
          <cell r="K201" t="str">
            <v>Huỳnh Thị Kim Quyên 23126116</v>
          </cell>
          <cell r="L201" t="str">
            <v>Trương Thị Tường Vi</v>
          </cell>
          <cell r="M201" t="str">
            <v>Khoa Chính trị và Luật</v>
          </cell>
          <cell r="N201" t="str">
            <v>vittt@hcmute.edu.vn</v>
          </cell>
          <cell r="O201" t="str">
            <v>01 Báo cáo tổng kết
01 Bài báo đăng trên tạp chí chuyên ngành trong nước được HĐ GSNN tính 0,5 điểm</v>
          </cell>
        </row>
        <row r="202">
          <cell r="B202" t="str">
            <v>SV2026-211</v>
          </cell>
          <cell r="C202" t="str">
            <v>r</v>
          </cell>
          <cell r="D202" t="str">
            <v>X</v>
          </cell>
          <cell r="E202" t="str">
            <v>x</v>
          </cell>
          <cell r="F202" t="str">
            <v>Năng lực trách nhiệm hình sự của người dưới 18 tuổi trong vụ đồng phạm đối với tội phạm quy định người thực hành 18 tuổi trở lên</v>
          </cell>
          <cell r="G202" t="str">
            <v>Võ Huỳnh Khánh Vi 24163111</v>
          </cell>
          <cell r="H202" t="str">
            <v xml:space="preserve">Võ Huỳnh Khánh Vi </v>
          </cell>
          <cell r="I202" t="str">
            <v>Chính trị và Luật</v>
          </cell>
          <cell r="J202" t="str">
            <v>24163111</v>
          </cell>
          <cell r="K202" t="str">
            <v>Trần Thị Thanh Tuyền 24163104
Lê Thị Vy 24163113</v>
          </cell>
          <cell r="L202" t="str">
            <v>Đoàn Trọng Chỉnh</v>
          </cell>
          <cell r="M202" t="str">
            <v>Khoa Chính trị và Luật</v>
          </cell>
          <cell r="N202" t="str">
            <v>chinhdt@hcmute.edu.vn</v>
          </cell>
          <cell r="O202" t="str">
            <v>01 Bài báo khoa học đăng trên tạp chí
01 Báo cáo tổng kết</v>
          </cell>
        </row>
        <row r="203">
          <cell r="B203" t="str">
            <v>SV2026-212</v>
          </cell>
          <cell r="C203" t="str">
            <v>r</v>
          </cell>
          <cell r="D203"/>
          <cell r="E203" t="str">
            <v>x</v>
          </cell>
          <cell r="F203" t="str">
            <v>Tội phạm thực hiện dưới hình thức lợi dụng công nghệ trí tuệ nhân tạo</v>
          </cell>
          <cell r="G203" t="str">
            <v>Võ Thị Bảo Trân 24163101</v>
          </cell>
          <cell r="H203" t="str">
            <v xml:space="preserve">Võ Thị Bảo Trân </v>
          </cell>
          <cell r="I203" t="str">
            <v>Chính trị và Luật</v>
          </cell>
          <cell r="J203" t="str">
            <v>24163101</v>
          </cell>
          <cell r="K203" t="str">
            <v>Trần Lê Thảo Khuyên 24163038
Đinh Ngọc Mỹ Duyên 24163015
Phan Minh Thư 24163094
Trần Ngọc Như Ý 24163114</v>
          </cell>
          <cell r="L203" t="str">
            <v>Đoàn Trọng Chỉnh</v>
          </cell>
          <cell r="M203" t="str">
            <v>Khoa Chính trị và Luật</v>
          </cell>
          <cell r="N203" t="str">
            <v>chinhdt@hcmute.edu.vn</v>
          </cell>
          <cell r="O203" t="str">
            <v>01 Báo cáo tổng kết
01 Bài báo đăng trên tạp chí trong nước hoặc báo đăng trên hội thảo quốc tế có chỉ số xb ISBN/ISSN</v>
          </cell>
        </row>
        <row r="204">
          <cell r="B204" t="str">
            <v>SV2026-213</v>
          </cell>
          <cell r="C204" t="str">
            <v>r</v>
          </cell>
          <cell r="D204" t="str">
            <v>X</v>
          </cell>
          <cell r="E204" t="str">
            <v>x</v>
          </cell>
          <cell r="F204" t="str">
            <v>Phản ứng cảm xúc và hành vi của sinh viên Trường Đại học Công nghệ Kỹ thuật TP. HCM trước sai chuẩn đạo đức của người nổi tiếng thuộc thế hệ gen Z</v>
          </cell>
          <cell r="G204" t="str">
            <v>Lê Thị Kim Thùy 24163092</v>
          </cell>
          <cell r="H204" t="str">
            <v xml:space="preserve">Lê Thị Kim Thùy </v>
          </cell>
          <cell r="I204" t="str">
            <v>Chính trị và Luật</v>
          </cell>
          <cell r="J204" t="str">
            <v>24163092</v>
          </cell>
          <cell r="K204" t="str">
            <v>Huỳnh Thị Yến Nhi 24163065
Thái Minh Tuệ 22142443</v>
          </cell>
          <cell r="L204" t="str">
            <v>Nguyễn Thị Như Thúy</v>
          </cell>
          <cell r="M204" t="str">
            <v>Khoa Chính trị và Luật</v>
          </cell>
          <cell r="N204" t="str">
            <v>ntnthuy@hcmute.edu.vn</v>
          </cell>
          <cell r="O204" t="str">
            <v>01 Báo cáo tổng kết
01 Bài báo đăng trên tạp chí chuyên ngành trong nước được HĐ GSNN tính 0,5 điểm</v>
          </cell>
        </row>
        <row r="205">
          <cell r="B205" t="str">
            <v>SV2026-214</v>
          </cell>
          <cell r="C205" t="str">
            <v>r</v>
          </cell>
          <cell r="D205" t="str">
            <v>X</v>
          </cell>
          <cell r="E205" t="str">
            <v>x</v>
          </cell>
          <cell r="F205" t="str">
            <v>Nghiên cứu những yếu tố ảnh hưởng đến việc lựa chọn học ngành Luật tại Trường Đại học Công nghệ Kỹ thuật Thành phố Hồ Chí Minh của sinh viên</v>
          </cell>
          <cell r="G205" t="str">
            <v>Trương Phan Đăng Khoa 24163037</v>
          </cell>
          <cell r="H205" t="str">
            <v xml:space="preserve">Trương Phan Đăng Khoa </v>
          </cell>
          <cell r="I205" t="str">
            <v>Chính trị và Luật</v>
          </cell>
          <cell r="J205" t="str">
            <v>24163037</v>
          </cell>
          <cell r="K205" t="str">
            <v>Trần Gia Huy 24163030
Nguyễn Minh Khang 24163034</v>
          </cell>
          <cell r="L205" t="str">
            <v>Phạm Công
Thiên Đỉnh</v>
          </cell>
          <cell r="M205" t="str">
            <v>Khoa Chính trị và Luật</v>
          </cell>
          <cell r="N205" t="str">
            <v>dinhpct@hcmute.
edu.vn</v>
          </cell>
          <cell r="O205" t="str">
            <v>01 Bài báo đăng trên tạp chí chuyên ngành trong nước được HĐ GSNN tính 0,5 điểm
01 Báo cáo tổng kết</v>
          </cell>
        </row>
        <row r="206">
          <cell r="B206" t="str">
            <v>SV2026-215</v>
          </cell>
          <cell r="C206" t="str">
            <v>r</v>
          </cell>
          <cell r="D206" t="str">
            <v>X</v>
          </cell>
          <cell r="E206"/>
          <cell r="F206" t="str">
            <v>Bản sao số của cánh tay robot 6 bậc tự do trên Unity tích hợp với ROS 2</v>
          </cell>
          <cell r="G206" t="str">
            <v>Bùi  Hoàng Quang Khải 22151101</v>
          </cell>
          <cell r="H206" t="str">
            <v xml:space="preserve">Bùi  Hoàng Quang Khải </v>
          </cell>
          <cell r="I206" t="str">
            <v>Điện - Điện tử</v>
          </cell>
          <cell r="J206" t="str">
            <v>22151101</v>
          </cell>
          <cell r="K206" t="str">
            <v>Nguyễn Viết Nhật 22151127
Trần Trung Nghĩa 22151123</v>
          </cell>
          <cell r="L206" t="str">
            <v>Trịnh Quốc Thanh</v>
          </cell>
          <cell r="M206" t="str">
            <v>Khoa Điện - Điện tử</v>
          </cell>
          <cell r="N206" t="str">
            <v xml:space="preserve">tqthanh@hcmute.edu.vn </v>
          </cell>
          <cell r="O206" t="str">
            <v>Bài báo đăng trên hội thảo quốc tế có chỉ số ISSN/ISBN
Chương trình mô phỏng và điều khiển</v>
          </cell>
        </row>
        <row r="207">
          <cell r="B207" t="str">
            <v>SV2026-216</v>
          </cell>
          <cell r="C207" t="str">
            <v>r</v>
          </cell>
          <cell r="D207" t="str">
            <v>X</v>
          </cell>
          <cell r="E207"/>
          <cell r="F207" t="str">
            <v>So sánh các phương pháp điều khiển tuyến tính cho xe hai bánh tự cân bằng bám đường line</v>
          </cell>
          <cell r="G207" t="str">
            <v>Bùi Hồng Nhớ 21161345</v>
          </cell>
          <cell r="H207" t="str">
            <v xml:space="preserve">Bùi Hồng Nhớ </v>
          </cell>
          <cell r="I207" t="str">
            <v>Điện - Điện tử</v>
          </cell>
          <cell r="J207" t="str">
            <v>21161345</v>
          </cell>
          <cell r="K207" t="str">
            <v>Trần Nguyễn Thanh Lộc 23151277
Huỳnh Anh Khoa 23151128
Ma Văn Hải Đăng 23151079
Nguyễn Quang Thiện 23161196</v>
          </cell>
          <cell r="L207" t="str">
            <v>Nguyễn Đình Phú</v>
          </cell>
          <cell r="M207" t="str">
            <v>Khoa Điện - Điện tử</v>
          </cell>
          <cell r="N207" t="str">
            <v>phund@hcmute.edu.vn</v>
          </cell>
          <cell r="O207" t="str">
            <v>01 Bài báo được chấp nhận đăng trên tạp chí quốc tế, viết bằng tiếng Anh, có phản biện, có chỉ số ISSN
Chương trình mô phỏng
Chương trình nhúng thực nghiệm
Báo cáo tổng kết</v>
          </cell>
        </row>
        <row r="208">
          <cell r="B208" t="str">
            <v>SV2026-217</v>
          </cell>
          <cell r="C208" t="str">
            <v>r</v>
          </cell>
          <cell r="D208" t="str">
            <v>X</v>
          </cell>
          <cell r="E208" t="str">
            <v>x</v>
          </cell>
          <cell r="F208" t="str">
            <v>Ứng dụng Deep Learning vào cải tiến thuật toán ORB - SLAM3 trong môi trường động</v>
          </cell>
          <cell r="G208" t="str">
            <v>Bùi Nguyên Khang 24151170</v>
          </cell>
          <cell r="H208" t="str">
            <v xml:space="preserve">Bùi Nguyên Khang </v>
          </cell>
          <cell r="I208" t="str">
            <v>Điện - Điện tử</v>
          </cell>
          <cell r="J208" t="str">
            <v>24151170</v>
          </cell>
          <cell r="K208">
            <v>0</v>
          </cell>
          <cell r="L208" t="str">
            <v>Phạm Huỳnh Thế</v>
          </cell>
          <cell r="M208" t="str">
            <v>Khoa Điện - Điện tử</v>
          </cell>
          <cell r="N208" t="str">
            <v>theph@hcmute.edu.vn</v>
          </cell>
          <cell r="O208" t="str">
            <v>01 Báo cáo phân tích</v>
          </cell>
        </row>
        <row r="209">
          <cell r="B209" t="str">
            <v>SV2026-218</v>
          </cell>
          <cell r="C209" t="str">
            <v>r</v>
          </cell>
          <cell r="D209" t="str">
            <v>X</v>
          </cell>
          <cell r="E209" t="str">
            <v>x</v>
          </cell>
          <cell r="F209" t="str">
            <v>Xây dựng bộ điều khiển nhiệt độ dùng PLC</v>
          </cell>
          <cell r="G209" t="str">
            <v>Cao Trường An 22151165</v>
          </cell>
          <cell r="H209" t="str">
            <v xml:space="preserve">Cao Trường An </v>
          </cell>
          <cell r="I209" t="str">
            <v>Điện - Điện tử</v>
          </cell>
          <cell r="J209" t="str">
            <v>22151165</v>
          </cell>
          <cell r="K209" t="str">
            <v>Nguyễn Thanh Tùng 20161278
Trần Phú Duy 22142093
Nguyễn Bình Dương 22142088
Phạm Ngọc Hai 23151085</v>
          </cell>
          <cell r="L209" t="str">
            <v>Lê Thị Hồng Lam</v>
          </cell>
          <cell r="M209" t="str">
            <v>Khoa Điện - Điện tử</v>
          </cell>
          <cell r="N209" t="str">
            <v>lamlth@hcmute.edu.vn</v>
          </cell>
          <cell r="O209" t="str">
            <v>01 Chương trình thực nghiệm
01 Báo cáo tổng kết</v>
          </cell>
        </row>
        <row r="210">
          <cell r="B210" t="str">
            <v>SV2026-219</v>
          </cell>
          <cell r="C210" t="str">
            <v>r</v>
          </cell>
          <cell r="D210" t="str">
            <v>X</v>
          </cell>
          <cell r="E210" t="str">
            <v>x</v>
          </cell>
          <cell r="F210" t="str">
            <v>Nghiên cứu xây dựng mô hình hệ thống điện sử dụng năng lượng mặt trời kết hợp điện gió cho hộ gia đình</v>
          </cell>
          <cell r="G210" t="str">
            <v>Châu Ngọc Tính 23151187</v>
          </cell>
          <cell r="H210" t="str">
            <v xml:space="preserve">Châu Ngọc Tính </v>
          </cell>
          <cell r="I210" t="str">
            <v>Điện - Điện tử</v>
          </cell>
          <cell r="J210" t="str">
            <v>23151187</v>
          </cell>
          <cell r="K210" t="str">
            <v>Bùi Thái Vũ 23151207
Nguyễn Văn Trọng 23151194
Nguyễn Hoàng Duy 23142265
Huỳnh Tấn Hiếu 23142293</v>
          </cell>
          <cell r="L210" t="str">
            <v>Nguyễn Thới</v>
          </cell>
          <cell r="M210" t="str">
            <v>P.QHQT</v>
          </cell>
          <cell r="N210" t="str">
            <v>thoinguyen@hcmute.edu.vn</v>
          </cell>
          <cell r="O210" t="str">
            <v>01 Chương trình máy tính
01 Báo cáo tổng kết</v>
          </cell>
        </row>
        <row r="211">
          <cell r="B211" t="str">
            <v>SV2026-220</v>
          </cell>
          <cell r="C211" t="str">
            <v>r</v>
          </cell>
          <cell r="D211" t="str">
            <v>X</v>
          </cell>
          <cell r="E211"/>
          <cell r="F211" t="str">
            <v>Xây dựng và kiểm thử kiến trúc RISC-V trên nền tảng FPGA</v>
          </cell>
          <cell r="G211" t="str">
            <v>Đặng Hưng Thịnh 22119137</v>
          </cell>
          <cell r="H211" t="str">
            <v xml:space="preserve">Đặng Hưng Thịnh </v>
          </cell>
          <cell r="I211" t="str">
            <v>Điện - Điện tử</v>
          </cell>
          <cell r="J211" t="str">
            <v>22119137</v>
          </cell>
          <cell r="K211" t="str">
            <v>Phạm Phúc Gia Hiền 22119069
Nguyễn Khắc Luân 22119099
Đỗ Tam Khôi 22119092</v>
          </cell>
          <cell r="L211" t="str">
            <v>Trần Thị Quỳnh Như</v>
          </cell>
          <cell r="M211" t="str">
            <v>Khoa Điện - Điện tử</v>
          </cell>
          <cell r="N211" t="str">
            <v>nhuttq@hcmute.edu.vn</v>
          </cell>
          <cell r="O211" t="str">
            <v>01 Mô hình RISC - V single cycle trên FPGA
01 Báo cáo tổng kết</v>
          </cell>
        </row>
        <row r="212">
          <cell r="B212" t="str">
            <v>SV2026-221</v>
          </cell>
          <cell r="C212" t="str">
            <v>r</v>
          </cell>
          <cell r="D212" t="str">
            <v>X</v>
          </cell>
          <cell r="E212"/>
          <cell r="F212" t="str">
            <v>Hệ thống cân và đóng gói tự động giám sát từ xa</v>
          </cell>
          <cell r="G212" t="str">
            <v>Đào Anh Quân 21151321</v>
          </cell>
          <cell r="H212" t="str">
            <v xml:space="preserve">Đào Anh Quân </v>
          </cell>
          <cell r="I212" t="str">
            <v>Điện - Điện tử</v>
          </cell>
          <cell r="J212" t="str">
            <v>21151321</v>
          </cell>
          <cell r="K212" t="str">
            <v>Phạm Trần Gia Bảo 23143097
Lê Minh Chương 23143104
Nguyễn Minh Duy 23143112
Đặng Khải Danh 23143108</v>
          </cell>
          <cell r="L212" t="str">
            <v>Lê Thị Thanh Hoàng</v>
          </cell>
          <cell r="M212" t="str">
            <v>Khoa Điện - Điện tử</v>
          </cell>
          <cell r="N212" t="str">
            <v>hoangltt@hcmute.edu.vn</v>
          </cell>
          <cell r="O212" t="str">
            <v>01 Chương trình thực nghiệm
01 Báo cáo tổng kết</v>
          </cell>
        </row>
        <row r="213">
          <cell r="B213" t="str">
            <v>SV2026-222</v>
          </cell>
          <cell r="C213" t="str">
            <v>r</v>
          </cell>
          <cell r="D213" t="str">
            <v>X</v>
          </cell>
          <cell r="E213"/>
          <cell r="F213" t="str">
            <v>Nghiên cứu điều khiển thích nghi robot di động tự hành (AMR) sử dụng mạng Actor–Critic hồi tiếp giá trị PID</v>
          </cell>
          <cell r="G213" t="str">
            <v>Đào Nhất Huy 23151247</v>
          </cell>
          <cell r="H213" t="str">
            <v xml:space="preserve">Đào Nhất Huy </v>
          </cell>
          <cell r="I213" t="str">
            <v>Điện - Điện tử</v>
          </cell>
          <cell r="J213" t="str">
            <v>23151247</v>
          </cell>
          <cell r="K213" t="str">
            <v>Phan Viết Hai 23151241
Võ Trung Kiên 23151268</v>
          </cell>
          <cell r="L213" t="str">
            <v>Trần Vi Đô</v>
          </cell>
          <cell r="M213" t="str">
            <v>Khoa Điện - Điện tử</v>
          </cell>
          <cell r="N213" t="str">
            <v>dotv@hcmute.edu.vn</v>
          </cell>
          <cell r="O213" t="str">
            <v>01 Mô hình xe AMR tự hành
01 Báo cáo tổng kết</v>
          </cell>
        </row>
        <row r="214">
          <cell r="B214" t="str">
            <v>SV2026-223</v>
          </cell>
          <cell r="C214" t="str">
            <v>r</v>
          </cell>
          <cell r="D214" t="str">
            <v>X</v>
          </cell>
          <cell r="E214"/>
          <cell r="F214" t="str">
            <v>Ứng dụng điều khiển trượt siêu xoắn cho bộ chuyển đổi DC/DC hai chiều trong hệ thống DC Microgrid</v>
          </cell>
          <cell r="G214" t="str">
            <v>Đào Phước Hưng 23151113</v>
          </cell>
          <cell r="H214" t="str">
            <v xml:space="preserve">Đào Phước Hưng </v>
          </cell>
          <cell r="I214" t="str">
            <v>Điện - Điện tử</v>
          </cell>
          <cell r="J214" t="str">
            <v>23151113</v>
          </cell>
          <cell r="K214" t="str">
            <v>Nguyễn Trí Phát 23151155
Lâm Bảo Khang 23151119</v>
          </cell>
          <cell r="L214" t="str">
            <v>Phạm Hữu Thái</v>
          </cell>
          <cell r="M214" t="str">
            <v>Khoa Điện - Điện tử</v>
          </cell>
          <cell r="N214" t="str">
            <v>thaiph@hcmute.edu.vn</v>
          </cell>
          <cell r="O214" t="str">
            <v>01 Bài báo khoa học đăng toàn văn trong kỷ yếu hội nghị, hội thảo có chỉ số ISSN/ISBN
01 Báo cáo tổng kết</v>
          </cell>
        </row>
        <row r="215">
          <cell r="B215" t="str">
            <v>SV2026-224</v>
          </cell>
          <cell r="C215" t="str">
            <v>r</v>
          </cell>
          <cell r="D215" t="str">
            <v>X</v>
          </cell>
          <cell r="E215"/>
          <cell r="F215" t="str">
            <v>Điều khiển mờ thực nghiệm nhúng STM32F4 cho hệ cần trục 2D</v>
          </cell>
          <cell r="G215" t="str">
            <v>Đinh Đăng Khoa 22151232</v>
          </cell>
          <cell r="H215" t="str">
            <v xml:space="preserve">Đinh Đăng Khoa </v>
          </cell>
          <cell r="I215" t="str">
            <v>Điện - Điện tử</v>
          </cell>
          <cell r="J215" t="str">
            <v>22151232</v>
          </cell>
          <cell r="K215" t="str">
            <v>Huỳnh Trung Sơn 22151288
Nguyễn Hoàng Vĩ 23151206
Bùi Lê Anh Khoa 23151126
Nguyễn Hoàng Nhân 21146284</v>
          </cell>
          <cell r="L215" t="str">
            <v>Trần Đức Lợi</v>
          </cell>
          <cell r="M215" t="str">
            <v>Khoa Điện - Điện tử</v>
          </cell>
          <cell r="N215" t="str">
            <v>loitd@hcmute.edu.vn</v>
          </cell>
          <cell r="O215" t="str">
            <v>02 Bài báo được chấp nhận đăng trên tạp chí quốc tế, viết bằng tiếng Anh, có phản biện, có chỉ số ISSN
01 Chương trình mô phỏng
01 Chương trình thực nghiệm</v>
          </cell>
        </row>
        <row r="216">
          <cell r="B216" t="str">
            <v>SV2026-225</v>
          </cell>
          <cell r="C216" t="str">
            <v>r</v>
          </cell>
          <cell r="D216" t="str">
            <v>X</v>
          </cell>
          <cell r="E216" t="str">
            <v>x</v>
          </cell>
          <cell r="F216" t="str">
            <v>Thiết kế và vận hành hệ thống in nhãn ly nhựa tự động</v>
          </cell>
          <cell r="G216" t="str">
            <v>Đỗ Nguyên Sơn 18151113</v>
          </cell>
          <cell r="H216" t="str">
            <v xml:space="preserve">Đỗ Nguyên Sơn </v>
          </cell>
          <cell r="I216" t="str">
            <v>Điện - Điện tử</v>
          </cell>
          <cell r="J216" t="str">
            <v>18151113</v>
          </cell>
          <cell r="K216" t="str">
            <v>Lê Nguyễn Phước An 23151045
Bùi Hoàng Duy 23142094
Cao Thuỵ Tuyết Mai 23161066
Nguyễn Xuân Phúc 23142185</v>
          </cell>
          <cell r="L216" t="str">
            <v>Trần Đức Lợi</v>
          </cell>
          <cell r="M216" t="str">
            <v>Khoa Điện - Điện tử</v>
          </cell>
          <cell r="N216" t="str">
            <v>loitd@hcmute.edu.vn</v>
          </cell>
          <cell r="O216" t="str">
            <v>01 Chương trình thực nghiệm vận hành mô hình dán nhãn ly thực nghiệm
01 Báo cáo tổng kết</v>
          </cell>
        </row>
        <row r="217">
          <cell r="B217" t="str">
            <v>SV2026-226</v>
          </cell>
          <cell r="C217" t="str">
            <v>r</v>
          </cell>
          <cell r="D217" t="str">
            <v>X</v>
          </cell>
          <cell r="E217"/>
          <cell r="F217" t="str">
            <v>Thiết kế bộ điều khiển chuyển động Fuzzy - LQR cho Robot hai bánh tự cân bằng với tải trọng thay đổi trên ROS2</v>
          </cell>
          <cell r="G217" t="str">
            <v>Đoàn Văn Hây 21151103</v>
          </cell>
          <cell r="H217" t="str">
            <v xml:space="preserve">Đoàn Văn Hây </v>
          </cell>
          <cell r="I217" t="str">
            <v>Điện - Điện tử</v>
          </cell>
          <cell r="J217" t="str">
            <v>21151103</v>
          </cell>
          <cell r="K217" t="str">
            <v>Lương Hoàng Ân 21151071
Huỳnh Thanh Tuấn 23151198
Phạm Thanh Tùng 23151202</v>
          </cell>
          <cell r="L217" t="str">
            <v>Trần Đức Thiện</v>
          </cell>
          <cell r="M217" t="str">
            <v>Khoa Điện - Điện tử</v>
          </cell>
          <cell r="N217" t="str">
            <v>thientd@hcmute.edu.vn</v>
          </cell>
          <cell r="O217" t="str">
            <v>01 Bài báo đăng trên hội thảo quốc tế có chỉ số suất bản ISSN/ISBN
01 Chương trình máy tính</v>
          </cell>
        </row>
        <row r="218">
          <cell r="B218" t="str">
            <v>SV2026-227</v>
          </cell>
          <cell r="C218" t="str">
            <v>r</v>
          </cell>
          <cell r="D218" t="str">
            <v>X</v>
          </cell>
          <cell r="E218"/>
          <cell r="F218" t="str">
            <v>Phát triển mô hình Digital Twin cho Robot UR3 4 bậc tự do sử dụng ROS 2 và thị giác máy tính</v>
          </cell>
          <cell r="G218" t="str">
            <v>Hồ Lê Tuấn 22151158</v>
          </cell>
          <cell r="H218" t="str">
            <v xml:space="preserve">Hồ Lê Tuấn </v>
          </cell>
          <cell r="I218" t="str">
            <v>Điện - Điện tử</v>
          </cell>
          <cell r="J218" t="str">
            <v>22151158</v>
          </cell>
          <cell r="K218" t="str">
            <v>Trần Hải Nam 22151120</v>
          </cell>
          <cell r="L218" t="str">
            <v>Trần Đức Thiện</v>
          </cell>
          <cell r="M218" t="str">
            <v>Khoa Điện - Điện tử</v>
          </cell>
          <cell r="N218" t="str">
            <v>thientd@hcmute.edu.vn</v>
          </cell>
          <cell r="O218" t="str">
            <v>01 Bài báo khoa học đăng toàn văn trong kỷ yếu hội nghị, hội thảo có chỉ số ISSN/ISBN
01 Chương trình mô phỏng</v>
          </cell>
        </row>
        <row r="219">
          <cell r="B219" t="str">
            <v>SV2026-228</v>
          </cell>
          <cell r="C219" t="str">
            <v>r</v>
          </cell>
          <cell r="D219" t="str">
            <v>X</v>
          </cell>
          <cell r="E219"/>
          <cell r="F219" t="str">
            <v>Quản lý trạm sạc xe điện dùng công nghệ IoT</v>
          </cell>
          <cell r="G219" t="str">
            <v>Hồ Minh Quân 23161171</v>
          </cell>
          <cell r="H219" t="str">
            <v xml:space="preserve">Hồ Minh Quân </v>
          </cell>
          <cell r="I219" t="str">
            <v>Điện - Điện tử</v>
          </cell>
          <cell r="J219" t="str">
            <v>23161171</v>
          </cell>
          <cell r="K219" t="str">
            <v>Trần Anh Quân 23161172
Nguyễn Tiến Đức 23161122
Huỳnh Đăng KhôI 23161142</v>
          </cell>
          <cell r="L219" t="str">
            <v>Lê Minh Thành</v>
          </cell>
          <cell r="M219" t="str">
            <v>Khoa Điện - Điện tử</v>
          </cell>
          <cell r="N219" t="str">
            <v>thanhlm@hcmute.edu.vn</v>
          </cell>
          <cell r="O219" t="str">
            <v>Mô hình quản lý hệ thống
Giao diện phần mềm</v>
          </cell>
        </row>
        <row r="220">
          <cell r="B220" t="str">
            <v>SV2026-229</v>
          </cell>
          <cell r="C220" t="str">
            <v>r</v>
          </cell>
          <cell r="D220" t="str">
            <v>X</v>
          </cell>
          <cell r="E220" t="str">
            <v>x</v>
          </cell>
          <cell r="F220" t="str">
            <v>Ứng dụng PLC S7-1200 vào hệ thống chăn nuôi heo thông minh</v>
          </cell>
          <cell r="G220" t="str">
            <v>Hồ Thanh Phương 20151545</v>
          </cell>
          <cell r="H220" t="str">
            <v xml:space="preserve">Hồ Thanh Phương </v>
          </cell>
          <cell r="I220" t="str">
            <v>Điện - Điện tử</v>
          </cell>
          <cell r="J220" t="str">
            <v>20151545</v>
          </cell>
          <cell r="K220" t="str">
            <v>Nguyễn Hữu Việt 20151589
Nguyễn Quang Thiện 23161196
Nguyễn Hoàng Tuấn 23151199
Cao Trường An 22151165</v>
          </cell>
          <cell r="L220" t="str">
            <v>Lê Thị Thanh Hoàng</v>
          </cell>
          <cell r="M220" t="str">
            <v>Khoa Điện - Điện tử</v>
          </cell>
          <cell r="N220" t="str">
            <v>hoangltt@hcmute.edu.vn</v>
          </cell>
          <cell r="O220" t="str">
            <v>01 Bài báo khoa học được chấp nhận đăng trên tạp chí quốc tế có chỉ số xuất bản ISSN
0 Chương trình thực nghiệm</v>
          </cell>
        </row>
        <row r="221">
          <cell r="B221" t="str">
            <v>SV2026-230</v>
          </cell>
          <cell r="C221" t="str">
            <v>r</v>
          </cell>
          <cell r="D221" t="str">
            <v>X</v>
          </cell>
          <cell r="E221"/>
          <cell r="F221" t="str">
            <v>Triển khai thử nghiệm kĩ thuật OTA trên kit nhúng</v>
          </cell>
          <cell r="G221" t="str">
            <v>Hoàng Mạnh Hùng 23139017</v>
          </cell>
          <cell r="H221" t="str">
            <v xml:space="preserve">Hoàng Mạnh Hùng </v>
          </cell>
          <cell r="I221" t="str">
            <v>Điện - Điện tử</v>
          </cell>
          <cell r="J221" t="str">
            <v>23139017</v>
          </cell>
          <cell r="K221" t="str">
            <v>Phan Khắc Hùng 23139018
Nguyễn Trương Minh Quân 23139036
Lê Nguyễn Phú Tài 23119201</v>
          </cell>
          <cell r="L221" t="str">
            <v>Huỳnh Thị Thu Hiền</v>
          </cell>
          <cell r="M221" t="str">
            <v>Khoa Điện - Điện tử</v>
          </cell>
          <cell r="N221" t="str">
            <v>hienhtthu@hcmute.edu.vn</v>
          </cell>
          <cell r="O221" t="str">
            <v>01 Mô hình thử nghiệm cập nhật firmware qua mạng (OTA) trên kit nhúng
01 Báo cáo tổng kết</v>
          </cell>
        </row>
        <row r="222">
          <cell r="B222" t="str">
            <v>SV2026-231</v>
          </cell>
          <cell r="C222" t="str">
            <v>r</v>
          </cell>
          <cell r="D222" t="str">
            <v>X</v>
          </cell>
          <cell r="E222" t="str">
            <v>x</v>
          </cell>
          <cell r="F222" t="str">
            <v>Thiết kế, kết nối và vận hành mô hình hệ thống phân loại sản phẩm và lưu kho tự động theo mã QR code</v>
          </cell>
          <cell r="G222" t="str">
            <v>Huỳnh Anh Tuấn 23651033</v>
          </cell>
          <cell r="H222" t="str">
            <v xml:space="preserve">Huỳnh Anh Tuấn </v>
          </cell>
          <cell r="I222" t="str">
            <v>Điện - Điện tử</v>
          </cell>
          <cell r="J222" t="str">
            <v>23651033</v>
          </cell>
          <cell r="K222" t="str">
            <v>Lương Quang Minh 23851018
Lý Minh Khang 23151120
Đỗ Nguyễn Phương Thảo 22124111
Ngô Gia Huy 22151017</v>
          </cell>
          <cell r="L222" t="str">
            <v>Nguyễn Phong Lưu</v>
          </cell>
          <cell r="M222" t="str">
            <v>Khoa Điện - Điện tử</v>
          </cell>
          <cell r="N222" t="str">
            <v>luunp@hcmute.edu.vn</v>
          </cell>
          <cell r="O222" t="str">
            <v>02 Bài báo khoa học được chấp nhận đăng trên tạp chí quốc tế có chỉ số xuất bản ISSN
01 Chương trình thực nghiệm</v>
          </cell>
        </row>
        <row r="223">
          <cell r="B223" t="str">
            <v>SV2026-232</v>
          </cell>
          <cell r="C223" t="str">
            <v>R</v>
          </cell>
          <cell r="D223" t="str">
            <v>X</v>
          </cell>
          <cell r="E223" t="str">
            <v>x</v>
          </cell>
          <cell r="F223" t="str">
            <v>Thiết kế hệ thống quản lý năng lượng mặt trời cho tòa nhà</v>
          </cell>
          <cell r="G223" t="str">
            <v>Huỳnh Nhật Tân 23142203</v>
          </cell>
          <cell r="H223" t="str">
            <v xml:space="preserve">Huỳnh Nhật Tân </v>
          </cell>
          <cell r="I223" t="str">
            <v>Điện - Điện tử</v>
          </cell>
          <cell r="J223" t="str">
            <v>23142203</v>
          </cell>
          <cell r="K223" t="str">
            <v>Nguyễn Thanh Thành Đạt 23142108
Hồ Hoàng Phát 23142173
Lê Minh Sơn 23142199
Lê Phạm Minh Thắng 23142210</v>
          </cell>
          <cell r="L223" t="str">
            <v>Nguyễn Phan Thanh</v>
          </cell>
          <cell r="M223" t="str">
            <v>Khoa Điện - Điện tử</v>
          </cell>
          <cell r="N223" t="str">
            <v>thanhnp@hcmute.edu.vn</v>
          </cell>
          <cell r="O223" t="str">
            <v>01 Báo cáo tổng kết</v>
          </cell>
        </row>
        <row r="224">
          <cell r="B224" t="str">
            <v>SV2026-234</v>
          </cell>
          <cell r="C224" t="str">
            <v>r</v>
          </cell>
          <cell r="D224" t="str">
            <v>X</v>
          </cell>
          <cell r="E224"/>
          <cell r="F224" t="str">
            <v>Thiết kế thi công tủ thuốc thông minh cho người lớn tuổi</v>
          </cell>
          <cell r="G224" t="str">
            <v>Huỳnh Thế Vinh 22161336</v>
          </cell>
          <cell r="H224" t="str">
            <v xml:space="preserve">Huỳnh Thế Vinh </v>
          </cell>
          <cell r="I224" t="str">
            <v>Điện - Điện tử</v>
          </cell>
          <cell r="J224" t="str">
            <v>22161336</v>
          </cell>
          <cell r="K224" t="str">
            <v>Huỳnh Nguyễn Trọng Phúc 22161304</v>
          </cell>
          <cell r="L224" t="str">
            <v>Nguyễn Văn Hiệp</v>
          </cell>
          <cell r="M224" t="str">
            <v>Khoa Điện - Điện tử</v>
          </cell>
          <cell r="N224" t="str">
            <v>hiepspkt@hcmute.edu.vn</v>
          </cell>
          <cell r="O224" t="str">
            <v>01 Mô hình tủ thuốc thông minh
01 Báo cáo nghiên cứu khoa học</v>
          </cell>
        </row>
        <row r="225">
          <cell r="B225" t="str">
            <v>SV2026-235</v>
          </cell>
          <cell r="C225" t="str">
            <v>r</v>
          </cell>
          <cell r="D225" t="str">
            <v>X</v>
          </cell>
          <cell r="E225" t="str">
            <v>x</v>
          </cell>
          <cell r="F225" t="str">
            <v>Phát triển cánh tay Robot 5 bậc tự do tích hợp với phân loại sản phẩm dựa trên YOLO trên nền tảng ROS2</v>
          </cell>
          <cell r="G225" t="str">
            <v>Lại Đức Thuật 22151152</v>
          </cell>
          <cell r="H225" t="str">
            <v xml:space="preserve">Lại Đức Thuật </v>
          </cell>
          <cell r="I225" t="str">
            <v>Điện - Điện tử</v>
          </cell>
          <cell r="J225" t="str">
            <v>22151152</v>
          </cell>
          <cell r="K225" t="str">
            <v>Nguyễn Văn Vinh 22151161</v>
          </cell>
          <cell r="L225" t="str">
            <v>Phùng Sơn Thanh</v>
          </cell>
          <cell r="M225" t="str">
            <v>Khoa Điện - Điện tử</v>
          </cell>
          <cell r="N225" t="str">
            <v>thanhps@hcmute.edu.vn</v>
          </cell>
          <cell r="O225" t="str">
            <v>01 Bài báo đăng trên hội thảo quốc tế có chỉ số xuất bản ISBN/ISSN
01 Báo cáo tổng kết</v>
          </cell>
        </row>
        <row r="226">
          <cell r="B226" t="str">
            <v>SV2026-236</v>
          </cell>
          <cell r="C226" t="str">
            <v>r</v>
          </cell>
          <cell r="D226" t="str">
            <v>X</v>
          </cell>
          <cell r="E226" t="str">
            <v>x</v>
          </cell>
          <cell r="F226" t="str">
            <v>Thiết kế bộ điều khiển Backstepping bám quỹ đạo cho hệ con lắc ngược trên xe</v>
          </cell>
          <cell r="G226" t="str">
            <v>Lê Hoàng Linh 20151391</v>
          </cell>
          <cell r="H226" t="str">
            <v xml:space="preserve">Lê Hoàng Linh </v>
          </cell>
          <cell r="I226" t="str">
            <v>Điện - Điện tử</v>
          </cell>
          <cell r="J226" t="str">
            <v>20151391</v>
          </cell>
          <cell r="K226" t="str">
            <v>Nguyễn Quang Thiện 23161196
Đặng Phạm Thanh Tuấn 22151156
Ma Nguyễn Viên Mãn 22151113
Quách Văn Anh 23151048</v>
          </cell>
          <cell r="L226" t="str">
            <v>Lê Thị Hồng Lam</v>
          </cell>
          <cell r="M226" t="str">
            <v>Khoa Điện - Điện tử</v>
          </cell>
          <cell r="N226" t="str">
            <v>lamlth@hcmute.edu.vn</v>
          </cell>
          <cell r="O226" t="str">
            <v>02 Bài báo được chấp nhận đăng trên tạp chí quốc tế khác viết bằng tiếng Anh có chỉ số ISSN
01 Chương trình mô phỏng
01 Chương trình nhúng thực nghiệm</v>
          </cell>
        </row>
        <row r="227">
          <cell r="B227" t="str">
            <v>SV2026-237</v>
          </cell>
          <cell r="C227" t="str">
            <v>r</v>
          </cell>
          <cell r="D227"/>
          <cell r="E227"/>
          <cell r="F227" t="str">
            <v>Xây dựng hệ thống nhận dạng drone bằng xử lý ảnh và IoT để lưu trữ hình ảnh</v>
          </cell>
          <cell r="G227" t="str">
            <v>Lê Hữu Lộc 23161148</v>
          </cell>
          <cell r="H227" t="str">
            <v xml:space="preserve">Lê Hữu Lộc </v>
          </cell>
          <cell r="I227" t="str">
            <v>Điện - Điện tử</v>
          </cell>
          <cell r="J227" t="str">
            <v>23161148</v>
          </cell>
          <cell r="K227" t="str">
            <v>Mai Tuấn Anh 23161093
Hồ Gia Bảo 23161099
Võ Gia Bảo 23161102
Phan Canh Phương Nam 23161157</v>
          </cell>
          <cell r="L227" t="str">
            <v>Nguyễn Ngô Lâm</v>
          </cell>
          <cell r="M227" t="str">
            <v>Khoa Điện - Điện tử</v>
          </cell>
          <cell r="N227" t="str">
            <v>lamnn@hcmute.edu.vn</v>
          </cell>
          <cell r="O227" t="str">
            <v>01 Hệ thống phát hiện và cảnh báo drone 
01 Bản báo cáo tổng kết</v>
          </cell>
        </row>
        <row r="228">
          <cell r="B228" t="str">
            <v>SV2026-238</v>
          </cell>
          <cell r="C228" t="str">
            <v>r</v>
          </cell>
          <cell r="D228" t="str">
            <v>X</v>
          </cell>
          <cell r="E228" t="str">
            <v>x</v>
          </cell>
          <cell r="F228" t="str">
            <v>Triển khai và kiểm chứng thời gian thực thuật toán MPPT cho hệ thống PV/Battery trên nền tảng mô phỏng Hardware-In-the-Loop</v>
          </cell>
          <cell r="G228" t="str">
            <v>Nguyễn Duy Linh 23161146</v>
          </cell>
          <cell r="H228" t="str">
            <v xml:space="preserve">Nguyễn Duy Linh </v>
          </cell>
          <cell r="I228" t="str">
            <v>Điện - Điện tử</v>
          </cell>
          <cell r="J228" t="str">
            <v>23161146</v>
          </cell>
          <cell r="K228" t="str">
            <v>Đỗ Trần Anh Dũng 23161115
Trần Khả Hiệp 23161124
Lê Trần Tiến Minh 23161152</v>
          </cell>
          <cell r="L228" t="str">
            <v>Phạm Hữu Thái</v>
          </cell>
          <cell r="M228" t="str">
            <v>Khoa Điện - Điện tử</v>
          </cell>
          <cell r="N228" t="str">
            <v>thaiph@hcmute.edu.vn</v>
          </cell>
          <cell r="O228" t="str">
            <v>01 Bài báo khoa học đăng toàn văn trong kỷ yếu hội nghị, hội thảo có chỉ số ISSN/ISBN
01 Báo cáo tổng kết</v>
          </cell>
        </row>
        <row r="229">
          <cell r="B229" t="str">
            <v>SV2026-239</v>
          </cell>
          <cell r="C229" t="str">
            <v>r</v>
          </cell>
          <cell r="D229" t="str">
            <v>X</v>
          </cell>
          <cell r="E229"/>
          <cell r="F229" t="str">
            <v>Thiết kế và thi công công tắc điện thông minh</v>
          </cell>
          <cell r="G229" t="str">
            <v>Lê Trung Huy 23161125</v>
          </cell>
          <cell r="H229" t="str">
            <v xml:space="preserve">Lê Trung Huy </v>
          </cell>
          <cell r="I229" t="str">
            <v>Điện - Điện tử</v>
          </cell>
          <cell r="J229" t="str">
            <v>23161125</v>
          </cell>
          <cell r="K229" t="str">
            <v>Nguyễn Quang Huy 23161126
Trần Tiến Tài 23161183
Phan Minh Khoa 23161141
Phùng Thị Bảo Trâm 23161201</v>
          </cell>
          <cell r="L229" t="str">
            <v>Nguyễn Văn Phúc</v>
          </cell>
          <cell r="M229" t="str">
            <v>Khoa Điện - Điện tử</v>
          </cell>
          <cell r="N229" t="str">
            <v>phucnv@hcmute.edu.vn</v>
          </cell>
          <cell r="O229" t="str">
            <v xml:space="preserve">01 Mô hình công tắc điện thông minh 
01 Báo cáo tổng kết </v>
          </cell>
        </row>
        <row r="230">
          <cell r="B230" t="str">
            <v>SV2026-240</v>
          </cell>
          <cell r="C230" t="str">
            <v>r</v>
          </cell>
          <cell r="D230" t="str">
            <v>X</v>
          </cell>
          <cell r="E230" t="str">
            <v>x</v>
          </cell>
          <cell r="F230" t="str">
            <v>Hệ thống chiết rót nước và đóng nắp chai tự động</v>
          </cell>
          <cell r="G230" t="str">
            <v>Lê Văn An 23851010</v>
          </cell>
          <cell r="H230" t="str">
            <v xml:space="preserve">Lê Văn An </v>
          </cell>
          <cell r="I230" t="str">
            <v>Điện - Điện tử</v>
          </cell>
          <cell r="J230" t="str">
            <v>23851010</v>
          </cell>
          <cell r="K230" t="str">
            <v>Nguyễn Thành Nguyên Khang 23851016
Lê Đăng Khoa 23151129
Phạm Hữu Phúc 23147165
Nguyễn Quang Thiện 23161196</v>
          </cell>
          <cell r="L230" t="str">
            <v>Nguyễn Minh Tâm</v>
          </cell>
          <cell r="M230" t="str">
            <v>Khoa Điện - Điện tử</v>
          </cell>
          <cell r="N230" t="str">
            <v>tamnm@hcmute.edu.vn</v>
          </cell>
          <cell r="O230" t="str">
            <v>01 Bài báo khoa học được chấp nhận đăng trên tạp chí quốc tế có chỉ số xuất bản ISSN
01 Chương trình thực nghiệm</v>
          </cell>
        </row>
        <row r="231">
          <cell r="B231" t="str">
            <v>SV2026-241</v>
          </cell>
          <cell r="C231" t="str">
            <v>r</v>
          </cell>
          <cell r="D231" t="str">
            <v>X</v>
          </cell>
          <cell r="E231" t="str">
            <v>x</v>
          </cell>
          <cell r="F231" t="str">
            <v>Thiết kế hệ thống báo cháy cho xe điện</v>
          </cell>
          <cell r="G231" t="str">
            <v>Lê Văn Đức 23161121</v>
          </cell>
          <cell r="H231" t="str">
            <v xml:space="preserve">Lê Văn Đức </v>
          </cell>
          <cell r="I231" t="str">
            <v>Điện - Điện tử</v>
          </cell>
          <cell r="J231" t="str">
            <v>23161121</v>
          </cell>
          <cell r="K231" t="str">
            <v>Nguyễn Hoàng Minh Duy 23161113
Bùi Lê Đình 23161119</v>
          </cell>
          <cell r="L231" t="str">
            <v>Lê Minh Thành</v>
          </cell>
          <cell r="M231" t="str">
            <v>Khoa Điện - Điện tử</v>
          </cell>
          <cell r="N231" t="str">
            <v>thanhlm@hcmute.edu.vn</v>
          </cell>
          <cell r="O231" t="str">
            <v>01 mô hình Hệ thống báo cháy cho xe điện</v>
          </cell>
        </row>
        <row r="232">
          <cell r="B232" t="str">
            <v>SV2026-242</v>
          </cell>
          <cell r="C232" t="str">
            <v>r</v>
          </cell>
          <cell r="D232" t="str">
            <v>X</v>
          </cell>
          <cell r="E232" t="str">
            <v>x</v>
          </cell>
          <cell r="F232" t="str">
            <v>Thiết kế và vận hành hệ thống kiểm tra và phân loại linh kiện trên bo mạch dựa trên xử lí ảnh</v>
          </cell>
          <cell r="G232" t="str">
            <v>Phan Trường Nguyên 22851016</v>
          </cell>
          <cell r="H232" t="str">
            <v xml:space="preserve">Phan Trường Nguyên </v>
          </cell>
          <cell r="I232" t="str">
            <v>Điện - Điện tử</v>
          </cell>
          <cell r="J232" t="str">
            <v>22851016</v>
          </cell>
          <cell r="K232" t="str">
            <v>Thân Hoàng Thái Bảo 23151053
Nguyễn Minh Đức 23143119
Nguyễn Quang Thiện 23161196
Trần Ngọc Vũ 23151209</v>
          </cell>
          <cell r="L232" t="str">
            <v>Nguyễn Văn Đông Hải</v>
          </cell>
          <cell r="M232" t="str">
            <v>Khoa Điện - Điện tử</v>
          </cell>
          <cell r="N232" t="str">
            <v>hainvd@hcmute.edu.vn</v>
          </cell>
          <cell r="O232" t="str">
            <v>02 Bài báo được chấp nhận đăng trên tạp chí quốc tế viết bằng tiếng Anh, có phản biện, có chỉ số ISSN
01 Chương trình phần mềm xử lí ảnh
01 Chương trình phần mềm nhúng thực nghiệm</v>
          </cell>
        </row>
        <row r="233">
          <cell r="B233" t="str">
            <v>SV2026-243</v>
          </cell>
          <cell r="C233" t="str">
            <v>r</v>
          </cell>
          <cell r="D233"/>
          <cell r="E233"/>
          <cell r="F233" t="str">
            <v>Nghiên cứu phương pháp quản lý năng lượng tối ưu cho xe điện chạy bằng pin nhiên liệu hydrogen (FCEV)</v>
          </cell>
          <cell r="G233" t="str">
            <v>Lưu Công Thành 23151175</v>
          </cell>
          <cell r="H233" t="str">
            <v xml:space="preserve">Lưu Công Thành </v>
          </cell>
          <cell r="I233" t="str">
            <v>Điện - Điện tử</v>
          </cell>
          <cell r="J233" t="str">
            <v>23151175</v>
          </cell>
          <cell r="K233" t="str">
            <v>Đông Minh Hoàng 23151099
Nguyễn Lê Đức Hoàng 23151091</v>
          </cell>
          <cell r="L233" t="str">
            <v>Trịnh Hoài Ân</v>
          </cell>
          <cell r="M233" t="str">
            <v>Khoa Điện - Điện tử</v>
          </cell>
          <cell r="N233" t="str">
            <v>anth@hcmute.edu.vn</v>
          </cell>
          <cell r="O233" t="str">
            <v>01 Bài báo khoa học đăng toàn văn trong kỷ yếu hội nghị, hội thảo có chỉ số ISSN/ISBN
01 Báo cáo tổng kết</v>
          </cell>
        </row>
        <row r="234">
          <cell r="B234" t="str">
            <v>SV2026-244</v>
          </cell>
          <cell r="C234" t="str">
            <v>r</v>
          </cell>
          <cell r="D234" t="str">
            <v>X</v>
          </cell>
          <cell r="E234"/>
          <cell r="F234" t="str">
            <v>Thiết kế xe tự hành theo lộ trình định trước</v>
          </cell>
          <cell r="G234" t="str">
            <v>Lý Chí Kiện 22161145</v>
          </cell>
          <cell r="H234" t="str">
            <v xml:space="preserve">Lý Chí Kiện </v>
          </cell>
          <cell r="I234" t="str">
            <v>Điện - Điện tử</v>
          </cell>
          <cell r="J234" t="str">
            <v>22161145</v>
          </cell>
          <cell r="K234" t="str">
            <v>Võ Quang Triết 22161197
Trần Minh Nguyệt 22161161
Nguyễn Thị Phương Lan 22161147
Phạm Đăng Khoa 22161139</v>
          </cell>
          <cell r="L234" t="str">
            <v>Nguyễn Văn Phúc</v>
          </cell>
          <cell r="M234" t="str">
            <v>Khoa Điện - Điện tử</v>
          </cell>
          <cell r="N234" t="str">
            <v>phucnv@hcmute.edu.vn</v>
          </cell>
          <cell r="O234" t="str">
            <v xml:space="preserve">01 Mô hình xe tự hành theo lộ trình định trước
01 Báo cáo tổng kết </v>
          </cell>
        </row>
        <row r="235">
          <cell r="B235" t="str">
            <v>SV2026-245</v>
          </cell>
          <cell r="C235" t="str">
            <v>r</v>
          </cell>
          <cell r="D235" t="str">
            <v>X</v>
          </cell>
          <cell r="E235"/>
          <cell r="F235" t="str">
            <v>Phát triển mô hình robot di động chăm sóc người bệnh ứng dụng trí tuệ nhân tạo</v>
          </cell>
          <cell r="G235" t="str">
            <v>Mai Nhật Nam 22151118</v>
          </cell>
          <cell r="H235" t="str">
            <v xml:space="preserve">Mai Nhật Nam </v>
          </cell>
          <cell r="I235" t="str">
            <v>Điện - Điện tử</v>
          </cell>
          <cell r="J235" t="str">
            <v>22151118</v>
          </cell>
          <cell r="K235" t="str">
            <v>Nguyễn Tấn Dũng 22151065
Đặng Minh Hoàng 22151086
Phạm Lê Huy Trực 22151155</v>
          </cell>
          <cell r="L235" t="str">
            <v>Dương Minh Thiện</v>
          </cell>
          <cell r="M235" t="str">
            <v>Khoa Điện - Điện tử</v>
          </cell>
          <cell r="N235" t="str">
            <v>minhthien@hcmute.edu.vn</v>
          </cell>
          <cell r="O235" t="str">
            <v>01 Bài báo đăng trên hội thảo quốc tế có chỉ số xuất bản ISBN/ISSN
01 Báo cáo tổng kết</v>
          </cell>
        </row>
        <row r="236">
          <cell r="B236" t="str">
            <v>SV2026-246</v>
          </cell>
          <cell r="C236" t="str">
            <v>r</v>
          </cell>
          <cell r="D236" t="str">
            <v>X</v>
          </cell>
          <cell r="E236"/>
          <cell r="F236" t="str">
            <v>Thiết kế mô hình giám sát động cơ dc sử dụng công nghệ song sinh kỹ thuật số (Digital Twin)</v>
          </cell>
          <cell r="G236" t="str">
            <v>Mai Văn Hưng 23151116</v>
          </cell>
          <cell r="H236" t="str">
            <v xml:space="preserve">Mai Văn Hưng </v>
          </cell>
          <cell r="I236" t="str">
            <v>Điện - Điện tử</v>
          </cell>
          <cell r="J236" t="str">
            <v>23151116</v>
          </cell>
          <cell r="K236" t="str">
            <v>Nguyễn Quang Huy 23151104
Nguyễn Tuấn Kiệt 23151133
Nguyễn Thanh Sang 23151168
Nguyễn Đặng Vũ Hoàng 23151090</v>
          </cell>
          <cell r="L236" t="str">
            <v>Trịnh Hoài Ân</v>
          </cell>
          <cell r="M236" t="str">
            <v>Khoa Điện - Điện tử</v>
          </cell>
          <cell r="N236" t="str">
            <v>anth@hcmute.edu.vn</v>
          </cell>
          <cell r="O236" t="str">
            <v>01 Bài báo KH đăng trên tạp chí trong nước trong danh mục của HĐ GSNN tính từ 0,5 điểm trở lên; hoặc bài báo đăng trên tạp chí quốc tế có chỉ số xuất bản ISSN
01 Báo cáo tổng kết</v>
          </cell>
        </row>
        <row r="237">
          <cell r="B237" t="str">
            <v>SV2026-247</v>
          </cell>
          <cell r="C237" t="str">
            <v>r</v>
          </cell>
          <cell r="D237" t="str">
            <v>X</v>
          </cell>
          <cell r="E237" t="str">
            <v>x</v>
          </cell>
          <cell r="F237" t="str">
            <v>Triển khai quy trình build Linux nhúng trên nền tảng ARM từ U-boot đến rootfs</v>
          </cell>
          <cell r="G237" t="str">
            <v>Ngô Bốc Đô 22119060</v>
          </cell>
          <cell r="H237" t="str">
            <v xml:space="preserve">Ngô Bốc Đô </v>
          </cell>
          <cell r="I237" t="str">
            <v>Điện - Điện tử</v>
          </cell>
          <cell r="J237" t="str">
            <v>22119060</v>
          </cell>
          <cell r="K237" t="str">
            <v>Trần Châu Minh Đăng 22119059
Phạm Hoàng Duy 22119052
Hoàng Mạnh Hùng 23139017</v>
          </cell>
          <cell r="L237" t="str">
            <v>Huỳnh Thị Thu Hiền</v>
          </cell>
          <cell r="M237" t="str">
            <v>Khoa Điện - Điện tử</v>
          </cell>
          <cell r="N237" t="str">
            <v>hienhtthu@hcmute.edu.vn</v>
          </cell>
          <cell r="O237" t="str">
            <v>Kit nhúng U-Boot, kernel
Báo cáo tổng kết</v>
          </cell>
        </row>
        <row r="238">
          <cell r="B238" t="str">
            <v>SV2026-248</v>
          </cell>
          <cell r="C238" t="str">
            <v>r</v>
          </cell>
          <cell r="D238" t="str">
            <v>X</v>
          </cell>
          <cell r="E238"/>
          <cell r="F238" t="str">
            <v>Hệ thống phân loại sản phẩm và đóng gói</v>
          </cell>
          <cell r="G238" t="str">
            <v>Ngô Khả Vy 21151189</v>
          </cell>
          <cell r="H238" t="str">
            <v xml:space="preserve">Ngô Khả Vy </v>
          </cell>
          <cell r="I238" t="str">
            <v>Điện - Điện tử</v>
          </cell>
          <cell r="J238" t="str">
            <v>21151189</v>
          </cell>
          <cell r="K238" t="str">
            <v>Phan Hiển Đạt 21151092
Phạm Anh Kha 23151118
Phạm Hoàng Khang 23151121
Phan Hùng Lĩnh 23151137</v>
          </cell>
          <cell r="L238" t="str">
            <v>Nguyễn Tử Đức</v>
          </cell>
          <cell r="M238" t="str">
            <v>Khoa Điện - Điện tử</v>
          </cell>
          <cell r="N238" t="str">
            <v>ducnt@hcmute.edu.vn</v>
          </cell>
          <cell r="O238" t="str">
            <v>01 Bài báo khoa học được chấp nhận đăng trên tạp chí quốc tế có chỉ số xuất bản ISSN
01 Chương trình thực nghiệm</v>
          </cell>
        </row>
        <row r="239">
          <cell r="B239" t="str">
            <v>SV2026-249</v>
          </cell>
          <cell r="C239" t="str">
            <v>R (giảm SP xuống 5tr + BM 06)</v>
          </cell>
          <cell r="D239"/>
          <cell r="E239" t="str">
            <v>x</v>
          </cell>
          <cell r="F239" t="str">
            <v>Tối ưu hoá thông lượng trong mạng viễn thông bằng NOMA kết hợp RIS</v>
          </cell>
          <cell r="G239" t="str">
            <v>Ngô Phạm Quốc Anh 23161003</v>
          </cell>
          <cell r="H239" t="str">
            <v xml:space="preserve">Ngô Phạm Quốc Anh </v>
          </cell>
          <cell r="I239" t="str">
            <v>Điện - Điện tử</v>
          </cell>
          <cell r="J239" t="str">
            <v>23161003</v>
          </cell>
          <cell r="K239">
            <v>0</v>
          </cell>
          <cell r="L239" t="str">
            <v>Lê Minh Thành</v>
          </cell>
          <cell r="M239" t="str">
            <v>Khoa Điện - Điện tử</v>
          </cell>
          <cell r="N239" t="str">
            <v>thanhlm@hcmute.edu.vn</v>
          </cell>
          <cell r="O239" t="str">
            <v>Mô hình mô phỏng trên MATLAB</v>
          </cell>
        </row>
        <row r="240">
          <cell r="B240" t="str">
            <v>SV2026-250</v>
          </cell>
          <cell r="C240" t="str">
            <v>r</v>
          </cell>
          <cell r="D240" t="str">
            <v>X</v>
          </cell>
          <cell r="E240" t="str">
            <v>x</v>
          </cell>
          <cell r="F240" t="str">
            <v>Tối ưu hóa điều khiển cánh tay robot SCARA 2-DOF thông qua các chiến lược tiếp cận PD-Fuzzy, SMC-PID và Mạng nơ-ron</v>
          </cell>
          <cell r="G240" t="str">
            <v>Ngô Quang Hải 23151242</v>
          </cell>
          <cell r="H240" t="str">
            <v xml:space="preserve">Ngô Quang Hải </v>
          </cell>
          <cell r="I240" t="str">
            <v>Điện - Điện tử</v>
          </cell>
          <cell r="J240" t="str">
            <v>23151242</v>
          </cell>
          <cell r="K240" t="str">
            <v>Nguyễn Phú Tủy 23151333
Trần Quốc Thái 23151312
Nguyễn Văn Tấn Đạt 23151234</v>
          </cell>
          <cell r="L240" t="str">
            <v>Nguyễn Tử Đức</v>
          </cell>
          <cell r="M240" t="str">
            <v>Khoa Điện - Điện tử</v>
          </cell>
          <cell r="N240" t="str">
            <v>ducnt@hcmute.edu.vn</v>
          </cell>
          <cell r="O240" t="str">
            <v xml:space="preserve">01 Mô hình thực tế robot SCARA 2-DOF
01 Báo cáo phân tích </v>
          </cell>
        </row>
        <row r="241">
          <cell r="B241" t="str">
            <v>SV2026-252</v>
          </cell>
          <cell r="C241" t="str">
            <v>r</v>
          </cell>
          <cell r="D241" t="str">
            <v>X</v>
          </cell>
          <cell r="E241"/>
          <cell r="F241" t="str">
            <v>Xây dựng và kiểm thử hệ thống vi xử lý MIPS trên nền tảng FPGA</v>
          </cell>
          <cell r="G241" t="str">
            <v>Nguyễn Chí Tài 22119127</v>
          </cell>
          <cell r="H241" t="str">
            <v xml:space="preserve">Nguyễn Chí Tài </v>
          </cell>
          <cell r="I241" t="str">
            <v>Điện - Điện tử</v>
          </cell>
          <cell r="J241" t="str">
            <v>22119127</v>
          </cell>
          <cell r="K241" t="str">
            <v>Lương Bảo Thuận 22119138
Phùng Gia Huy 23161270
Lê Vĩnh Hà 22119062</v>
          </cell>
          <cell r="L241" t="str">
            <v>Trần Thị Quỳnh Như</v>
          </cell>
          <cell r="M241" t="str">
            <v>Khoa Điện - Điện tử</v>
          </cell>
          <cell r="N241" t="str">
            <v>nhuttq@hcmute.edu.vn</v>
          </cell>
          <cell r="O241" t="str">
            <v>01 Hệ thống vi xử lý MIPS trên FPGA
01 Báo cáo tổng kết</v>
          </cell>
        </row>
        <row r="242">
          <cell r="B242" t="str">
            <v>SV2026-253</v>
          </cell>
          <cell r="C242" t="str">
            <v>r</v>
          </cell>
          <cell r="D242" t="str">
            <v>X</v>
          </cell>
          <cell r="E242"/>
          <cell r="F242" t="str">
            <v>Xây dựng hệ thống quản lý ra vào thông minh cho nhà xưởng</v>
          </cell>
          <cell r="G242" t="str">
            <v>Nguyễn Công Nhật Minh 22161153</v>
          </cell>
          <cell r="H242" t="str">
            <v xml:space="preserve">Nguyễn Công Nhật Minh </v>
          </cell>
          <cell r="I242" t="str">
            <v>Điện - Điện tử</v>
          </cell>
          <cell r="J242" t="str">
            <v>22161153</v>
          </cell>
          <cell r="K242" t="str">
            <v>Nguyễn Hoàng Phát 22161163
Hoàng Thiên Ân 22161089
Lê Bình An 22161087</v>
          </cell>
          <cell r="L242" t="str">
            <v>Trương Quang Phúc</v>
          </cell>
          <cell r="M242" t="str">
            <v>Khoa Điện - Điện tử</v>
          </cell>
          <cell r="N242" t="str">
            <v>phuctq@hcmute.edu.vn</v>
          </cell>
          <cell r="O242" t="str">
            <v>01 Mô hình có chức năng ghi lại lịch sử ra vào và điều khiển được thiết bị từ xa
01 Báo cáo tổng kết</v>
          </cell>
        </row>
        <row r="243">
          <cell r="B243" t="str">
            <v>SV2026-254</v>
          </cell>
          <cell r="C243" t="str">
            <v>r</v>
          </cell>
          <cell r="D243" t="str">
            <v>X</v>
          </cell>
          <cell r="E243"/>
          <cell r="F243" t="str">
            <v xml:space="preserve">Thiết kế mô hình mặt nạ điều trị bệnh da liễu sử dụng trí tuệ nhân tạo </v>
          </cell>
          <cell r="G243" t="str">
            <v>Nguyễn Gia Huy 24119137</v>
          </cell>
          <cell r="H243" t="str">
            <v xml:space="preserve">Nguyễn Gia Huy </v>
          </cell>
          <cell r="I243" t="str">
            <v>Điện - Điện tử</v>
          </cell>
          <cell r="J243" t="str">
            <v>24119137</v>
          </cell>
          <cell r="K243" t="str">
            <v>Phạm Ngọc Công 24119116</v>
          </cell>
          <cell r="L243" t="str">
            <v>Dương Minh Thiện</v>
          </cell>
          <cell r="M243" t="str">
            <v>Khoa Điện - Điện tử</v>
          </cell>
          <cell r="N243" t="str">
            <v>minhthien@hcmute.edu.vn</v>
          </cell>
          <cell r="O243" t="str">
            <v>01 Bài báo khoa học đăng toàn văn trong kỷ yếu hội nghị, hội thảo có chỉ số ISSN/ISBN
01 Báo cáo tổng kết đề tài</v>
          </cell>
        </row>
        <row r="244">
          <cell r="B244" t="str">
            <v>SV2026-255</v>
          </cell>
          <cell r="C244" t="str">
            <v>r</v>
          </cell>
          <cell r="D244" t="str">
            <v>X</v>
          </cell>
          <cell r="E244" t="str">
            <v>x</v>
          </cell>
          <cell r="F244" t="str">
            <v>Nghiên cứu ứng dụng AI trên thiết bị biên</v>
          </cell>
          <cell r="G244" t="str">
            <v>Nguyễn Gia Khánh 23161280</v>
          </cell>
          <cell r="H244" t="str">
            <v xml:space="preserve">Nguyễn Gia Khánh </v>
          </cell>
          <cell r="I244" t="str">
            <v>Điện - Điện tử</v>
          </cell>
          <cell r="J244" t="str">
            <v>23161280</v>
          </cell>
          <cell r="K244" t="str">
            <v>Trần Ngọc Linh 23161289
Lê Ngọc Thanh 2439702
Võ Minh Nguyên 24161341
Trần Quốc Sĩ 19119215</v>
          </cell>
          <cell r="L244" t="str">
            <v>Võ Minh Huân</v>
          </cell>
          <cell r="M244" t="str">
            <v>Khoa Điện - Điện tử</v>
          </cell>
          <cell r="N244" t="str">
            <v>huanvm@hcmute.edu.vn</v>
          </cell>
          <cell r="O244" t="str">
            <v>01 Bài báo đăng trên hội thảo quốc tế có chỉ số xuất bản ISBN/ISSN
01 Báo cáo phân tích</v>
          </cell>
        </row>
        <row r="245">
          <cell r="B245" t="str">
            <v>SV2026-256</v>
          </cell>
          <cell r="C245" t="str">
            <v>r</v>
          </cell>
          <cell r="D245" t="str">
            <v>X</v>
          </cell>
          <cell r="E245" t="str">
            <v>x</v>
          </cell>
          <cell r="F245" t="str">
            <v>Thiết kế, ghép nối và vận hành robot cứu hỏa</v>
          </cell>
          <cell r="G245" t="str">
            <v>Nguyễn Hoàng Thông 21151354</v>
          </cell>
          <cell r="H245" t="str">
            <v xml:space="preserve">Nguyễn Hoàng Thông </v>
          </cell>
          <cell r="I245" t="str">
            <v>Điện - Điện tử</v>
          </cell>
          <cell r="J245" t="str">
            <v>21151354</v>
          </cell>
          <cell r="K245" t="str">
            <v>Nguyễn Quốc Thuận 21151356
Trần Minh Tú 23151203
Nguyễn Việt Hùng 23151112
Lê Quốc Hưng 22151097</v>
          </cell>
          <cell r="L245" t="str">
            <v>Lê Thị Thanh Hoàng</v>
          </cell>
          <cell r="M245" t="str">
            <v>Khoa Điện - Điện tử</v>
          </cell>
          <cell r="N245" t="str">
            <v>hoangltt@hcmute.edu.vn</v>
          </cell>
          <cell r="O245" t="str">
            <v>01 Bài báo được chấp nhận đăng trên tạp chí quốc tế, viết bằng tiếng Anh, có phản biện, có chỉ số ISSN
01 Chương trình thực nghiệm
01 Báo cáo tổng kết</v>
          </cell>
        </row>
        <row r="246">
          <cell r="B246" t="str">
            <v>SV2026-257</v>
          </cell>
          <cell r="C246" t="str">
            <v>r</v>
          </cell>
          <cell r="D246" t="str">
            <v>X</v>
          </cell>
          <cell r="E246" t="str">
            <v>x</v>
          </cell>
          <cell r="F246" t="str">
            <v>Phát triển hệ thống mô phỏng cụm đồng hồ hiển thị thông số xe ô tô</v>
          </cell>
          <cell r="G246" t="str">
            <v>Nguyễn Hồng Phúc 22119177</v>
          </cell>
          <cell r="H246" t="str">
            <v xml:space="preserve">Nguyễn Hồng Phúc </v>
          </cell>
          <cell r="I246" t="str">
            <v>Điện - Điện tử</v>
          </cell>
          <cell r="J246" t="str">
            <v>22119177</v>
          </cell>
          <cell r="K246" t="str">
            <v>Nguyễn Bá Cường 22119050
Nguyễn Chí Hào 22119063</v>
          </cell>
          <cell r="L246" t="str">
            <v>Trần Thị Quỳnh Như</v>
          </cell>
          <cell r="M246" t="str">
            <v>Khoa Điện - Điện tử</v>
          </cell>
          <cell r="N246" t="str">
            <v>nhuttq@hcmute.edu.vn</v>
          </cell>
          <cell r="O246" t="str">
            <v xml:space="preserve">01 Mô hình cụm đồng hồ hiển thị thông số xe ô tô
01 Báo cáo tổng kết </v>
          </cell>
        </row>
        <row r="247">
          <cell r="B247" t="str">
            <v>SV2026-258</v>
          </cell>
          <cell r="C247" t="str">
            <v>r</v>
          </cell>
          <cell r="D247" t="str">
            <v>X</v>
          </cell>
          <cell r="E247" t="str">
            <v>x</v>
          </cell>
          <cell r="F247" t="str">
            <v>Nguyên cứu và triển khai mô hình AI nhúng trên thiết bị phần cứng</v>
          </cell>
          <cell r="G247" t="str">
            <v>Nguyễn Hữu Khoa 22119191</v>
          </cell>
          <cell r="H247" t="str">
            <v xml:space="preserve">Nguyễn Hữu Khoa </v>
          </cell>
          <cell r="I247" t="str">
            <v>Điện - Điện tử</v>
          </cell>
          <cell r="J247" t="str">
            <v>22119191</v>
          </cell>
          <cell r="K247" t="str">
            <v>Văn Đình Nghĩa 23161300
Nghiêm Đại Ngân 22119201
Trần Minh Phước 23119098
Huỳnh Trí Đức 23161120</v>
          </cell>
          <cell r="L247" t="str">
            <v>Huỳnh Hoàng Hà</v>
          </cell>
          <cell r="M247" t="str">
            <v>Khoa Điện - Điện tử</v>
          </cell>
          <cell r="N247" t="str">
            <v>hahh@hcmute.edu.vn</v>
          </cell>
          <cell r="O247" t="str">
            <v>01 Mô hình AI tối ưu trên phần cứng
01 Báo cáo tổng kết</v>
          </cell>
        </row>
        <row r="248">
          <cell r="B248" t="str">
            <v>SV2026-259</v>
          </cell>
          <cell r="C248" t="str">
            <v>r</v>
          </cell>
          <cell r="D248" t="str">
            <v>X</v>
          </cell>
          <cell r="E248"/>
          <cell r="F248" t="str">
            <v>Nghiên cứu bộ chuyển đổi DC-DC tăng giảm áp không cách ly</v>
          </cell>
          <cell r="G248" t="str">
            <v>Nguyễn Khải Đạt 23142272</v>
          </cell>
          <cell r="H248" t="str">
            <v xml:space="preserve">Nguyễn Khải Đạt </v>
          </cell>
          <cell r="I248" t="str">
            <v>Điện - Điện tử</v>
          </cell>
          <cell r="J248" t="str">
            <v>23142272</v>
          </cell>
          <cell r="K248" t="str">
            <v>Lê Đình Vĩnh Hào 23142286</v>
          </cell>
          <cell r="L248" t="str">
            <v>Trương Việt Anh</v>
          </cell>
          <cell r="M248" t="str">
            <v>Khoa Điện - Điện tử</v>
          </cell>
          <cell r="N248" t="str">
            <v>anhtv@hcmute.edu.vn</v>
          </cell>
          <cell r="O248" t="str">
            <v>01 Bài báo khoa học đăng trên tạp chí trong nước trong danh mục của Hội đồng Giáo sư Nhà nước tính 0,5 điểm trở lên
01 Mô hình thực nghiệm</v>
          </cell>
        </row>
        <row r="249">
          <cell r="B249" t="str">
            <v>SV2026-260</v>
          </cell>
          <cell r="C249" t="str">
            <v>r</v>
          </cell>
          <cell r="D249" t="str">
            <v>X</v>
          </cell>
          <cell r="E249" t="str">
            <v>x</v>
          </cell>
          <cell r="F249" t="str">
            <v>Kết nối, hiệu chỉnh và vận hành mô hình điều khiển áp suất đường ống bằng PLC S7-1200 có giám sát qua Wincc Unified</v>
          </cell>
          <cell r="G249" t="str">
            <v>Nguyễn Lê Minh Quân 22151141</v>
          </cell>
          <cell r="H249" t="str">
            <v xml:space="preserve">Nguyễn Lê Minh Quân </v>
          </cell>
          <cell r="I249" t="str">
            <v>Điện - Điện tử</v>
          </cell>
          <cell r="J249" t="str">
            <v>22151141</v>
          </cell>
          <cell r="K249" t="str">
            <v>Phạm Minh Mẫn 23151140
Lê Nguyễn Minh Đức 23151082
Trần Nguyễn Thế Lộc 23145148
Lê Đặng Hoàng Đại 23142104</v>
          </cell>
          <cell r="L249" t="str">
            <v>Nguyễn Phong Lưu</v>
          </cell>
          <cell r="M249" t="str">
            <v>Khoa Điện - Điện tử</v>
          </cell>
          <cell r="N249" t="str">
            <v>luunp@hcmute.edu.vn</v>
          </cell>
          <cell r="O249" t="str">
            <v>02 Bài báo được chấp nhận đăng ở tạp chí quốc tế có chỉ số xuất bản ISSN
01 Chương trình mô phỏng trên WinCC 
01 Chương trình điều khiển PLC thực nghiệm</v>
          </cell>
        </row>
        <row r="250">
          <cell r="B250" t="str">
            <v>SV2026-261</v>
          </cell>
          <cell r="C250" t="str">
            <v>r</v>
          </cell>
          <cell r="D250" t="str">
            <v>X</v>
          </cell>
          <cell r="E250"/>
          <cell r="F250" t="str">
            <v>Điều khiển trượt thích nghi cho bộ chuyển đổi DC–DC tăng áp cấp cho tải công suất không đổi trong hệ thống DC microgrid</v>
          </cell>
          <cell r="G250" t="str">
            <v>Nguyễn Linh Tâm 23161185</v>
          </cell>
          <cell r="H250" t="str">
            <v xml:space="preserve">Nguyễn Linh Tâm </v>
          </cell>
          <cell r="I250" t="str">
            <v>Điện - Điện tử</v>
          </cell>
          <cell r="J250" t="str">
            <v>23161185</v>
          </cell>
          <cell r="K250" t="str">
            <v>Trần Lê Khánh Dung 23161112
Nguyễn Quang Sáng 23161176
Dương Quốc Thắng 23161037</v>
          </cell>
          <cell r="L250" t="str">
            <v>Phạm Hữu Thái</v>
          </cell>
          <cell r="M250" t="str">
            <v>Khoa Điện - Điện tử</v>
          </cell>
          <cell r="N250" t="str">
            <v>thaiph@hcmute.edu.vn</v>
          </cell>
          <cell r="O250" t="str">
            <v>01 Bài báo khoa học đăng toàn văn trong kỷ yếu hội nghị, hội thảo có chỉ số ISSN/ISBN
01 Báo cáo tổng kết</v>
          </cell>
        </row>
        <row r="251">
          <cell r="B251" t="str">
            <v>SV2026-262</v>
          </cell>
          <cell r="C251" t="str">
            <v>r</v>
          </cell>
          <cell r="D251"/>
          <cell r="E251"/>
          <cell r="F251" t="str">
            <v>Thiết kế và xây dựng mô hình Robot tự cân bằng hai bánh</v>
          </cell>
          <cell r="G251" t="str">
            <v>Nguyễn Minh Đăng 23151080</v>
          </cell>
          <cell r="H251" t="str">
            <v xml:space="preserve">Nguyễn Minh Đăng </v>
          </cell>
          <cell r="I251" t="str">
            <v>Điện - Điện tử</v>
          </cell>
          <cell r="J251" t="str">
            <v>23151080</v>
          </cell>
          <cell r="K251" t="str">
            <v>Ngô Huỳnh Anh Khôi 23151132
Võ Thành Việt 24151330
Trần Minh Nhật 24151225
Đặng Đình Trọng 24151303</v>
          </cell>
          <cell r="L251" t="str">
            <v>Huỳnh Hoàng Hà</v>
          </cell>
          <cell r="M251" t="str">
            <v>Khoa Điện - Điện tử</v>
          </cell>
          <cell r="N251" t="str">
            <v>hahh@hcmute.edu.vn</v>
          </cell>
          <cell r="O251" t="str">
            <v>01 Mô hình Robot tự cân bằng hai bánh
01 Báo cáo tổng kết</v>
          </cell>
        </row>
        <row r="252">
          <cell r="B252" t="str">
            <v>SV2026-263</v>
          </cell>
          <cell r="C252" t="str">
            <v>r</v>
          </cell>
          <cell r="D252" t="str">
            <v>X</v>
          </cell>
          <cell r="E252"/>
          <cell r="F252" t="str">
            <v>Thiết kế hệ thống điều khiển và giám sát đèn giao thông từ RTL đến GDSII</v>
          </cell>
          <cell r="G252" t="str">
            <v>Nguyễn Phan Thái Sơn 23161177</v>
          </cell>
          <cell r="H252" t="str">
            <v xml:space="preserve">Nguyễn Phan Thái Sơn </v>
          </cell>
          <cell r="I252" t="str">
            <v>Điện - Điện tử</v>
          </cell>
          <cell r="J252" t="str">
            <v>23161177</v>
          </cell>
          <cell r="K252" t="str">
            <v>Nguyễn Nhật Hào 23161123
Nguyễn Hữu Bình 23161106
Lý Hoàng Khang 23161133
Lý Vĩnh Khang 23161134</v>
          </cell>
          <cell r="L252" t="str">
            <v>Trương Quang Phúc</v>
          </cell>
          <cell r="M252" t="str">
            <v>Khoa Điện - Điện tử</v>
          </cell>
          <cell r="N252" t="str">
            <v>phuctq@hcmute.edu.vn</v>
          </cell>
          <cell r="O252" t="str">
            <v>01 File RTL và file layout đầy đủ của hệ thống điều khiển đèn giao thông hoàn chỉnh
01 Bản báo cáo tổng kết</v>
          </cell>
        </row>
        <row r="253">
          <cell r="B253" t="str">
            <v>SV2026-264</v>
          </cell>
          <cell r="C253" t="str">
            <v>r</v>
          </cell>
          <cell r="D253" t="str">
            <v>X</v>
          </cell>
          <cell r="E253"/>
          <cell r="F253" t="str">
            <v>Chế tạo một mô hình drone nhỏ gọn phục vụ đào tạo</v>
          </cell>
          <cell r="G253" t="str">
            <v>Nguyễn Phúc Quân 25161381</v>
          </cell>
          <cell r="H253" t="str">
            <v xml:space="preserve">Nguyễn Phúc Quân </v>
          </cell>
          <cell r="I253" t="str">
            <v>Điện - Điện tử</v>
          </cell>
          <cell r="J253" t="str">
            <v>25161381</v>
          </cell>
          <cell r="K253">
            <v>0</v>
          </cell>
          <cell r="L253" t="str">
            <v>Đặng Xuân Ba</v>
          </cell>
          <cell r="M253" t="str">
            <v>Khoa Điện - Điện tử</v>
          </cell>
          <cell r="N253" t="str">
            <v>badx@hcmute.edu.vn</v>
          </cell>
          <cell r="O253" t="str">
            <v>01 Máy bay drone nhỏ gọn</v>
          </cell>
        </row>
        <row r="254">
          <cell r="B254" t="str">
            <v>SV2026-265</v>
          </cell>
          <cell r="C254" t="str">
            <v>r</v>
          </cell>
          <cell r="D254" t="str">
            <v>X</v>
          </cell>
          <cell r="E254"/>
          <cell r="F254" t="str">
            <v>Thiết kế và thi công mô hình đăng kí khám bệnh dựa trên mã QR của Căn cước công dân</v>
          </cell>
          <cell r="G254" t="str">
            <v>Nguyễn Phúc Thiện 22129038</v>
          </cell>
          <cell r="H254" t="str">
            <v xml:space="preserve">Nguyễn Phúc Thiện </v>
          </cell>
          <cell r="I254" t="str">
            <v>Điện - Điện tử</v>
          </cell>
          <cell r="J254" t="str">
            <v>22129038</v>
          </cell>
          <cell r="K254" t="str">
            <v>Nguyễn Thị Huyền Trân 22129043
Bùi Đắc Thắng 2590707</v>
          </cell>
          <cell r="L254" t="str">
            <v>Nguyễn Thanh Nghĩa</v>
          </cell>
          <cell r="M254" t="str">
            <v>Khoa Điện - Điện tử</v>
          </cell>
          <cell r="N254" t="str">
            <v>nghiant@hcmute.edu.vn</v>
          </cell>
          <cell r="O254" t="str">
            <v>01 Kiosk đăng kí khám bệnh dùng mã QR trên thẻ CCCD tích hợp web và ứng dụng di động</v>
          </cell>
        </row>
        <row r="255">
          <cell r="B255" t="str">
            <v>SV2026-267</v>
          </cell>
          <cell r="C255" t="str">
            <v>r</v>
          </cell>
          <cell r="D255" t="str">
            <v>X</v>
          </cell>
          <cell r="E255"/>
          <cell r="F255" t="str">
            <v>Thiết kế bộ điều khiển mờ–neuron ứng dụng bám quỹ đạo cho cánh tay robot một bậc</v>
          </cell>
          <cell r="G255" t="str">
            <v>Nguyễn Quang Thiện 23161196</v>
          </cell>
          <cell r="H255" t="str">
            <v xml:space="preserve">Nguyễn Quang Thiện </v>
          </cell>
          <cell r="I255" t="str">
            <v>Điện - Điện tử</v>
          </cell>
          <cell r="J255" t="str">
            <v>23161196</v>
          </cell>
          <cell r="K255" t="str">
            <v>Lê Hoàng Linh 20151391
Đặng Nguyễn Thanh Phong 22151133
Kiều Ngọc Trung 23151197
Nguyễn Phan Khang  23142138</v>
          </cell>
          <cell r="L255" t="str">
            <v>Nguyễn Phong Lưu</v>
          </cell>
          <cell r="M255" t="str">
            <v>Khoa Điện - Điện tử</v>
          </cell>
          <cell r="N255" t="str">
            <v>luunp@hcmute.edu.vn</v>
          </cell>
          <cell r="O255" t="str">
            <v>02 Bài báo được chấp nhận đăng trên tạp chí quốc tế được viết bằng tiếng Anh, có phản biện, có chỉ số ISSN
01 Chương trình mô phỏng
01 Chương trình thực nghiệm</v>
          </cell>
        </row>
        <row r="256">
          <cell r="B256" t="str">
            <v>SV2026-268</v>
          </cell>
          <cell r="C256" t="str">
            <v>r</v>
          </cell>
          <cell r="D256" t="str">
            <v>X</v>
          </cell>
          <cell r="E256"/>
          <cell r="F256" t="str">
            <v>Thiết kế chiến lược quản lý năng lượng trên xe điện hydrogen (FCEV) sử dụng thuật toán mờ loại 2</v>
          </cell>
          <cell r="G256" t="str">
            <v>Nguyễn Quốc Sang 23151166</v>
          </cell>
          <cell r="H256" t="str">
            <v xml:space="preserve">Nguyễn Quốc Sang </v>
          </cell>
          <cell r="I256" t="str">
            <v>Điện - Điện tử</v>
          </cell>
          <cell r="J256" t="str">
            <v>23151166</v>
          </cell>
          <cell r="K256" t="str">
            <v>Trương Quốc Khánh 23151125
Trần Lê Huy 23151107
Đặng Trần Nhật 23151152</v>
          </cell>
          <cell r="L256" t="str">
            <v>Lê Trọng Hiếu</v>
          </cell>
          <cell r="M256" t="str">
            <v>Khoa Giao thông và Năng lượng</v>
          </cell>
          <cell r="N256" t="str">
            <v>tronghieu@hcmute.edu.vn</v>
          </cell>
          <cell r="O256" t="str">
            <v>01 Bài báo khoa học đăng toàn văn trong kỷ yếu hội nghị, hội thảo có chỉ số ISSN/ISBN
01 Báo cáo tổng kết</v>
          </cell>
        </row>
        <row r="257">
          <cell r="B257" t="str">
            <v>SV2026-269</v>
          </cell>
          <cell r="C257" t="str">
            <v>r</v>
          </cell>
          <cell r="D257" t="str">
            <v>X</v>
          </cell>
          <cell r="E257"/>
          <cell r="F257" t="str">
            <v>Thiết kế mô hình xe tự hành hoạt động trong môi trường ánh sáng yếu</v>
          </cell>
          <cell r="G257" t="str">
            <v>Nguyễn Tấn Hậu 22151077</v>
          </cell>
          <cell r="H257" t="str">
            <v xml:space="preserve">Nguyễn Tấn Hậu </v>
          </cell>
          <cell r="I257" t="str">
            <v>Điện - Điện tử</v>
          </cell>
          <cell r="J257" t="str">
            <v>22151077</v>
          </cell>
          <cell r="K257" t="str">
            <v>Lương Trần Trung Đức 22151074
Huỳnh Trọng Ơn 22151129
Nguyễn Tuấn Dương 22151066
Đào Thanh Tùng 22151159</v>
          </cell>
          <cell r="L257" t="str">
            <v>Dương Minh Thiện</v>
          </cell>
          <cell r="M257" t="str">
            <v>Khoa Điện - Điện tử</v>
          </cell>
          <cell r="N257" t="str">
            <v>minhthien@hcmute.edu.vn</v>
          </cell>
          <cell r="O257" t="str">
            <v>01 Báo cáo tổng kết</v>
          </cell>
        </row>
        <row r="258">
          <cell r="B258" t="str">
            <v>SV2026-270</v>
          </cell>
          <cell r="C258" t="str">
            <v>r</v>
          </cell>
          <cell r="D258" t="str">
            <v>X</v>
          </cell>
          <cell r="E258"/>
          <cell r="F258" t="str">
            <v>Thiết kế bộ truyền nhận UART tự động điều chỉnh cấu hình truyền</v>
          </cell>
          <cell r="G258" t="str">
            <v>Nguyễn Thái An 23119045</v>
          </cell>
          <cell r="H258" t="str">
            <v xml:space="preserve">Nguyễn Thái An </v>
          </cell>
          <cell r="I258" t="str">
            <v>Điện - Điện tử</v>
          </cell>
          <cell r="J258" t="str">
            <v>23119045</v>
          </cell>
          <cell r="K258" t="str">
            <v>Phạm Thanh Phúc 23119096
Nguyễn Quốc Khôi 23119075
Trần Minh Phước 23119098
Dương Minh Thông 23119111</v>
          </cell>
          <cell r="L258" t="str">
            <v>Đỗ Duy Tân</v>
          </cell>
          <cell r="M258" t="str">
            <v>Khoa Điện - Điện tử</v>
          </cell>
          <cell r="N258" t="str">
            <v>tandd@hcmute.edu.vn</v>
          </cell>
          <cell r="O258" t="str">
            <v>01 Báo cáo tổng kết</v>
          </cell>
        </row>
        <row r="259">
          <cell r="B259" t="str">
            <v>SV2026-271</v>
          </cell>
          <cell r="C259" t="str">
            <v>r</v>
          </cell>
          <cell r="D259" t="str">
            <v>X</v>
          </cell>
          <cell r="E259" t="str">
            <v>x</v>
          </cell>
          <cell r="F259" t="str">
            <v xml:space="preserve">Xây dựng hệ thống quản lý mượn và trả sách tại thư viện </v>
          </cell>
          <cell r="G259" t="str">
            <v>Nguyễn Thanh Tân 23161188</v>
          </cell>
          <cell r="H259" t="str">
            <v xml:space="preserve">Nguyễn Thanh Tân </v>
          </cell>
          <cell r="I259" t="str">
            <v>Điện - Điện tử</v>
          </cell>
          <cell r="J259" t="str">
            <v>23161188</v>
          </cell>
          <cell r="K259" t="str">
            <v>Nguyễn Hoàng Trọng Phúc 23161166
Nguyễn Mạnh Quang 23161170
Phạm Hoàng Khánh Duy 23161114
Võ Như Thế 23161194</v>
          </cell>
          <cell r="L259" t="str">
            <v>Nguyễn Văn Phúc</v>
          </cell>
          <cell r="M259" t="str">
            <v>Khoa Điện - Điện tử</v>
          </cell>
          <cell r="N259" t="str">
            <v>phucnv@hcmute.edu.vn</v>
          </cell>
          <cell r="O259" t="str">
            <v>01 Mô hình hệ thống quản lý mượn và trả sách tại thư viện
01 Báo cáo tổng kết</v>
          </cell>
        </row>
        <row r="260">
          <cell r="B260" t="str">
            <v>SV2026-272</v>
          </cell>
          <cell r="C260" t="str">
            <v>r (làm lại TM và BM 06 đôi xe lăn thành Tbị)</v>
          </cell>
          <cell r="D260" t="str">
            <v>X</v>
          </cell>
          <cell r="E260" t="str">
            <v>x</v>
          </cell>
          <cell r="F260" t="str">
            <v>Thiết kế hệ thống nhận diện thông minh điều khiển xe lăn điện hỗ trợ bệnh nhân bại liệt</v>
          </cell>
          <cell r="G260" t="str">
            <v>Nguyễn Thị Mỹ Thường 23129052</v>
          </cell>
          <cell r="H260" t="str">
            <v xml:space="preserve">Nguyễn Thị Mỹ Thường </v>
          </cell>
          <cell r="I260" t="str">
            <v>Điện - Điện tử</v>
          </cell>
          <cell r="J260" t="str">
            <v>23129052</v>
          </cell>
          <cell r="K260" t="str">
            <v>Cao Quang Thái 23129047
Thượng Thị Thanh Vân 23129064</v>
          </cell>
          <cell r="L260" t="str">
            <v>Ngô Bá Việt</v>
          </cell>
          <cell r="M260" t="str">
            <v>Khoa Điện - Điện tử</v>
          </cell>
          <cell r="N260" t="str">
            <v>vietnb@hcmute.edu.vn</v>
          </cell>
          <cell r="O260" t="str">
            <v xml:space="preserve">01 thiết bị thu thập dữ liệu từ hoạt động mắt 
01 Báo cáo tổng kết </v>
          </cell>
        </row>
        <row r="261">
          <cell r="B261" t="str">
            <v>SV2026-273</v>
          </cell>
          <cell r="C261" t="str">
            <v>r</v>
          </cell>
          <cell r="D261" t="str">
            <v>X</v>
          </cell>
          <cell r="E261"/>
          <cell r="F261" t="str">
            <v>Nghiên cứu phương pháp Modulation Dynamical Systems tránh vật cản cho hệ thống cánh tay Robot</v>
          </cell>
          <cell r="G261" t="str">
            <v>Nguyễn Thị Tuyết Mai 22151112</v>
          </cell>
          <cell r="H261" t="str">
            <v xml:space="preserve">Nguyễn Thị Tuyết Mai </v>
          </cell>
          <cell r="I261" t="str">
            <v>Điện - Điện tử</v>
          </cell>
          <cell r="J261" t="str">
            <v>22151112</v>
          </cell>
          <cell r="K261" t="str">
            <v>Phạm Võ Khải Anh 22151049
Lê Nam Châu 22151054
Phạm Trương Phương Nam 22151119</v>
          </cell>
          <cell r="L261" t="str">
            <v>Nguyễn Trần Minh Nguyệt</v>
          </cell>
          <cell r="M261" t="str">
            <v>Khoa Điện - Điện tử</v>
          </cell>
          <cell r="N261" t="str">
            <v>nguyetntm@hcmute.edu.vn</v>
          </cell>
          <cell r="O261" t="str">
            <v>01 Bài báo hội thảo quốc tế
01 Chương trình mô phỏng trên MATLAB</v>
          </cell>
        </row>
        <row r="262">
          <cell r="B262" t="str">
            <v>SV2026-274</v>
          </cell>
          <cell r="C262" t="str">
            <v>r</v>
          </cell>
          <cell r="D262" t="str">
            <v>X</v>
          </cell>
          <cell r="E262"/>
          <cell r="F262" t="str">
            <v>Thiết kế chiến lược tối thiểu mức nhiên liệu tiêu thụ tương đương (ECMS) cho xe máy điện chạy bằng pin nhiên liệu hydrogen</v>
          </cell>
          <cell r="G262" t="str">
            <v>Nguyễn Thiên Phú 22161169</v>
          </cell>
          <cell r="H262" t="str">
            <v xml:space="preserve">Nguyễn Thiên Phú </v>
          </cell>
          <cell r="I262" t="str">
            <v>Điện - Điện tử</v>
          </cell>
          <cell r="J262" t="str">
            <v>22161169</v>
          </cell>
          <cell r="K262" t="str">
            <v>Dương Quang Lộc 22161149</v>
          </cell>
          <cell r="L262" t="str">
            <v>Trịnh Hoài Ân</v>
          </cell>
          <cell r="M262" t="str">
            <v>Khoa Điện - Điện tử</v>
          </cell>
          <cell r="N262" t="str">
            <v>anth@hcmute.edu.vn</v>
          </cell>
          <cell r="O262" t="str">
            <v>01 Bài báo khoa học đăng trên tạp chí trong nước trong danh mục của HĐ GSNN tính từ 0,5 điểm trở lên
01 Báo cáo tổng kết</v>
          </cell>
        </row>
        <row r="263">
          <cell r="B263" t="str">
            <v>SV2026-275</v>
          </cell>
          <cell r="C263" t="str">
            <v>r</v>
          </cell>
          <cell r="D263" t="str">
            <v>X</v>
          </cell>
          <cell r="E263"/>
          <cell r="F263" t="str">
            <v>Nghiên cứu, thiết kế và thi công thiết bị đo đường huyết dựa vào tín hiệu cận hồng ngoại</v>
          </cell>
          <cell r="G263" t="str">
            <v>Nguyễn Văn Ngọc Trình 23129055</v>
          </cell>
          <cell r="H263" t="str">
            <v xml:space="preserve">Nguyễn Văn Ngọc Trình </v>
          </cell>
          <cell r="I263" t="str">
            <v>Điện - Điện tử</v>
          </cell>
          <cell r="J263" t="str">
            <v>23129055</v>
          </cell>
          <cell r="K263" t="str">
            <v>Nguyễn Anh Kiệt 23129014
Nguyễn Đức Tài 23129045
Nguyễn Bá Anh Tùng 23129060</v>
          </cell>
          <cell r="L263" t="str">
            <v>Nguyễn Thanh Nghĩa</v>
          </cell>
          <cell r="M263" t="str">
            <v>Khoa Điện - Điện tử</v>
          </cell>
          <cell r="N263" t="str">
            <v>nghiant@hcmute.edu.vn</v>
          </cell>
          <cell r="O263" t="str">
            <v>01 Mô hình thiết bị đo đường huyết bằng tín hiệu hồng ngoại
01 Báo cáo phân tích</v>
          </cell>
        </row>
        <row r="264">
          <cell r="B264" t="str">
            <v>SV2026-276</v>
          </cell>
          <cell r="C264" t="str">
            <v>r</v>
          </cell>
          <cell r="D264" t="str">
            <v>X</v>
          </cell>
          <cell r="E264"/>
          <cell r="F264" t="str">
            <v xml:space="preserve">Nghiên cứu, thiết kế và chế tạo máy bán hàng tự động dùng cho các sản phẩm nông nghiệp </v>
          </cell>
          <cell r="G264" t="str">
            <v>Nguyễn Văn Nguyên 22142175</v>
          </cell>
          <cell r="H264" t="str">
            <v xml:space="preserve">Nguyễn Văn Nguyên </v>
          </cell>
          <cell r="I264" t="str">
            <v>Điện - Điện tử</v>
          </cell>
          <cell r="J264" t="str">
            <v>22142175</v>
          </cell>
          <cell r="K264" t="str">
            <v>Nguyễn Thanh Sang 22142212
Dương Minh Đức 22142107
Trần Quang Minh 24151208
Võ Trung Nguyên 24151219</v>
          </cell>
          <cell r="L264" t="str">
            <v>Đào Văn Phượng</v>
          </cell>
          <cell r="M264" t="str">
            <v>Khoa Điện - Điện tử</v>
          </cell>
          <cell r="N264" t="str">
            <v>phuongdv@hcmute.edu.vn</v>
          </cell>
          <cell r="O264" t="str">
            <v>01 Hệ thống bán sản phẩm nông nghiệp tự động
01 Chương trình của hệ thống
01 Bản vẽ thiết kế</v>
          </cell>
        </row>
        <row r="265">
          <cell r="B265" t="str">
            <v>SV2026-277</v>
          </cell>
          <cell r="C265" t="str">
            <v>r</v>
          </cell>
          <cell r="D265" t="str">
            <v>X</v>
          </cell>
          <cell r="E265"/>
          <cell r="F265" t="str">
            <v xml:space="preserve">Thiết kế bộ điều khiển cân bằng cho robot hai chân bánh xe thay đổi chiều cao </v>
          </cell>
          <cell r="G265" t="str">
            <v>Nguyễn Văn Tấn Đạt 23151234</v>
          </cell>
          <cell r="H265" t="str">
            <v xml:space="preserve">Nguyễn Văn Tấn Đạt </v>
          </cell>
          <cell r="I265" t="str">
            <v>Điện - Điện tử</v>
          </cell>
          <cell r="J265" t="str">
            <v>23151234</v>
          </cell>
          <cell r="K265" t="str">
            <v>Nguyễn Chế Thiện 23151313</v>
          </cell>
          <cell r="L265" t="str">
            <v>Trần Vi Đô</v>
          </cell>
          <cell r="M265" t="str">
            <v>Khoa Điện - Điện tử</v>
          </cell>
          <cell r="N265" t="str">
            <v>dotv@hcmute.edu.vn</v>
          </cell>
          <cell r="O265" t="str">
            <v>01 Mô hình robot hai chân bánh xe thay đổi được chiều cao
01 Báo cáo phân tích tính hiệu quả của bộ điều khiển</v>
          </cell>
        </row>
        <row r="266">
          <cell r="B266" t="str">
            <v>SV2026-278</v>
          </cell>
          <cell r="C266" t="str">
            <v>r</v>
          </cell>
          <cell r="D266" t="str">
            <v>X</v>
          </cell>
          <cell r="E266"/>
          <cell r="F266" t="str">
            <v>Ứng dụng 1D CNN accelerator để xử lí tín hiệu ECG cho chẩn đoán bệnh tim trên nền tảng FPGA</v>
          </cell>
          <cell r="G266" t="str">
            <v>Nguyễn Việt Anh 22119164</v>
          </cell>
          <cell r="H266" t="str">
            <v xml:space="preserve">Nguyễn Việt Anh </v>
          </cell>
          <cell r="I266" t="str">
            <v>Điện - Điện tử</v>
          </cell>
          <cell r="J266" t="str">
            <v>22119164</v>
          </cell>
          <cell r="K266" t="str">
            <v>Nguyễn Tấn An 22119161
Nguyễn Hoàng Đăng Duy 22119171
Hoàng Duy Hướng 22119187</v>
          </cell>
          <cell r="L266" t="str">
            <v>Đỗ Duy Tân</v>
          </cell>
          <cell r="M266" t="str">
            <v>Khoa Điện - Điện tử</v>
          </cell>
          <cell r="N266" t="str">
            <v>tandd@hcmute.edu.vn</v>
          </cell>
          <cell r="O266" t="str">
            <v>01 Báo cáo tổng kết</v>
          </cell>
        </row>
        <row r="267">
          <cell r="B267" t="str">
            <v>SV2026-279</v>
          </cell>
          <cell r="C267" t="str">
            <v>r</v>
          </cell>
          <cell r="D267" t="str">
            <v>X</v>
          </cell>
          <cell r="E267" t="str">
            <v>x</v>
          </cell>
          <cell r="F267" t="str">
            <v>Khảo sát các công nghệ đốt và xử lí rác thải</v>
          </cell>
          <cell r="G267" t="str">
            <v>Phạm Gia Kiệt 23151134</v>
          </cell>
          <cell r="H267" t="str">
            <v xml:space="preserve">Phạm Gia Kiệt </v>
          </cell>
          <cell r="I267" t="str">
            <v>Điện - Điện tử</v>
          </cell>
          <cell r="J267" t="str">
            <v>23151134</v>
          </cell>
          <cell r="K267" t="str">
            <v>Nguyễn Văn Đức 25147084
Văn Thiên Vũ 23151210
Trần Viết Minh 23151142
Nguyễn Thái Hòa 23159020</v>
          </cell>
          <cell r="L267" t="str">
            <v>Nguyễn Thị Ngọc Thảo</v>
          </cell>
          <cell r="M267" t="str">
            <v>Khoa Điện - Điện tử</v>
          </cell>
          <cell r="N267" t="str">
            <v>hoangltt@hcmute.edu.vn</v>
          </cell>
          <cell r="O267" t="str">
            <v>01 Báo cáo tổng kết</v>
          </cell>
        </row>
        <row r="268">
          <cell r="B268" t="str">
            <v>SV2026-280</v>
          </cell>
          <cell r="C268" t="str">
            <v>r</v>
          </cell>
          <cell r="D268" t="str">
            <v>X</v>
          </cell>
          <cell r="E268" t="str">
            <v>x</v>
          </cell>
          <cell r="F268" t="str">
            <v>Nghiên cứu kỹ thuật nạp firmware từ xa cho vi điều khiển</v>
          </cell>
          <cell r="G268" t="str">
            <v>Phạm Quốc Thắng 23161193</v>
          </cell>
          <cell r="H268" t="str">
            <v xml:space="preserve">Phạm Quốc Thắng </v>
          </cell>
          <cell r="I268" t="str">
            <v>Điện - Điện tử</v>
          </cell>
          <cell r="J268" t="str">
            <v>23161193</v>
          </cell>
          <cell r="K268" t="str">
            <v>Nguyễn Thuý Hiền 22129014
Đặng Thành Dương 23161117</v>
          </cell>
          <cell r="L268" t="str">
            <v>Lê Minh Thành</v>
          </cell>
          <cell r="M268" t="str">
            <v>Khoa Điện - Điện tử</v>
          </cell>
          <cell r="N268" t="str">
            <v>thanhlm@hcmute.edu.vn</v>
          </cell>
          <cell r="O268" t="str">
            <v xml:space="preserve">01 Mô hình thử nghiệm nạp firmware từ xa cho vi điều khiển
01 phần mềm Gateway trên ESP32 </v>
          </cell>
        </row>
        <row r="269">
          <cell r="B269" t="str">
            <v>SV2026-281</v>
          </cell>
          <cell r="C269" t="str">
            <v>r</v>
          </cell>
          <cell r="D269" t="str">
            <v>X</v>
          </cell>
          <cell r="E269"/>
          <cell r="F269" t="str">
            <v>Nghiên cứu và thiết kế bộ gia tốc mật mã nhẹ, hiệu năng cao dựa trên công nghệ FPGA</v>
          </cell>
          <cell r="G269" t="str">
            <v>Phạm Trọng Hoàng	 22147054</v>
          </cell>
          <cell r="H269" t="str">
            <v xml:space="preserve">Phạm Trọng Hoàng	 </v>
          </cell>
          <cell r="I269" t="str">
            <v>Điện - Điện tử</v>
          </cell>
          <cell r="J269" t="str">
            <v>22147054</v>
          </cell>
          <cell r="K269" t="str">
            <v>Đỗ Lê Hữu Trí 22161198
Nguyễn Việt Anh 22119164
Văn Đình Nghĩa 23161300</v>
          </cell>
          <cell r="L269" t="str">
            <v>Đỗ Duy Tân</v>
          </cell>
          <cell r="M269" t="str">
            <v>Khoa Điện - Điện tử</v>
          </cell>
          <cell r="N269" t="str">
            <v>tandd@hcmute.edu.vn</v>
          </cell>
          <cell r="O269" t="str">
            <v>01 Báo cáo tổng kết</v>
          </cell>
        </row>
        <row r="270">
          <cell r="B270" t="str">
            <v>SV2026-282</v>
          </cell>
          <cell r="C270" t="str">
            <v>r</v>
          </cell>
          <cell r="D270" t="str">
            <v>X</v>
          </cell>
          <cell r="E270"/>
          <cell r="F270" t="str">
            <v>Điều khiển mờ thực nghiệm cho hệ con lắc ngược trên xe hai bậc</v>
          </cell>
          <cell r="G270" t="str">
            <v>Phạm Trương Phương Nam 22151119</v>
          </cell>
          <cell r="H270" t="str">
            <v xml:space="preserve">Phạm Trương Phương Nam </v>
          </cell>
          <cell r="I270" t="str">
            <v>Điện - Điện tử</v>
          </cell>
          <cell r="J270" t="str">
            <v>22151119</v>
          </cell>
          <cell r="K270" t="str">
            <v>Nguyễn Gia Bảo 23151051
Trương Gia Bảo 23151054
Phan Thế Phong 23142181
Lê Trọng Tuấn Anh 22142068</v>
          </cell>
          <cell r="L270" t="str">
            <v>Trần Đức Lợi</v>
          </cell>
          <cell r="M270" t="str">
            <v>Khoa Điện - Điện tử</v>
          </cell>
          <cell r="N270" t="str">
            <v>loitd@hcmute.edu.vn</v>
          </cell>
          <cell r="O270" t="str">
            <v>02 Bài báo được chấp nhận đăng trên tạp chí quốc tế có chỉ số xuất bản ISSN hoặc tạp chí có trong danh mục SCOPUS
01 Chương trình mô phỏng mờ
01 Chương trình điều khiển mờ nhúng thực nghiệm</v>
          </cell>
        </row>
        <row r="271">
          <cell r="B271" t="str">
            <v>SV2026-283</v>
          </cell>
          <cell r="C271" t="str">
            <v>r</v>
          </cell>
          <cell r="D271" t="str">
            <v>X</v>
          </cell>
          <cell r="E271"/>
          <cell r="F271" t="str">
            <v>Nghiên cứu và phát triển gậy thông minh đa chức năng: định vị – phát hiện vật cản – cảnh báo an toàn</v>
          </cell>
          <cell r="G271" t="str">
            <v>Phạm Võ Thiện Bảo 23161101</v>
          </cell>
          <cell r="H271" t="str">
            <v xml:space="preserve">Phạm Võ Thiện Bảo </v>
          </cell>
          <cell r="I271" t="str">
            <v>Điện - Điện tử</v>
          </cell>
          <cell r="J271" t="str">
            <v>23161101</v>
          </cell>
          <cell r="K271" t="str">
            <v>Cao Văn Tài 23161179
Nguyễn Tuấn Cường 23161109
Lê Quang Trung 23161206</v>
          </cell>
          <cell r="L271" t="str">
            <v>Đặng Phước Hải Trang</v>
          </cell>
          <cell r="M271" t="str">
            <v>Khoa Điện - Điện tử</v>
          </cell>
          <cell r="N271" t="str">
            <v>trangdph@hcmute.edu.vn</v>
          </cell>
          <cell r="O271" t="str">
            <v>01 Mô hình gậy thông minh hoạt động được</v>
          </cell>
        </row>
        <row r="272">
          <cell r="B272" t="str">
            <v>SV2026-284</v>
          </cell>
          <cell r="C272" t="str">
            <v>r</v>
          </cell>
          <cell r="D272" t="str">
            <v>X</v>
          </cell>
          <cell r="E272"/>
          <cell r="F272" t="str">
            <v>Điều khiển thực nghiệm PID/Fuzzy vận tốc cho hệ băng tải</v>
          </cell>
          <cell r="G272" t="str">
            <v>Phan Minh Nam 22151261</v>
          </cell>
          <cell r="H272" t="str">
            <v xml:space="preserve">Phan Minh Nam </v>
          </cell>
          <cell r="I272" t="str">
            <v>Điện - Điện tử</v>
          </cell>
          <cell r="J272" t="str">
            <v>22151261</v>
          </cell>
          <cell r="K272" t="str">
            <v>Nguyễn Văn Thao 22151296
Quách Nguyễn Triệu Vỹ 22149208
Lê Minh Khoa 22149111
Nguyễn Đình Khánh 23151122</v>
          </cell>
          <cell r="L272" t="str">
            <v>Lê Thị Thanh Hoàng</v>
          </cell>
          <cell r="M272" t="str">
            <v>Khoa Điện - Điện tử</v>
          </cell>
          <cell r="N272" t="str">
            <v>hoangltt@hcmute.edu.vn</v>
          </cell>
          <cell r="O272" t="str">
            <v>01 Bài báo được chấp nhận đăng trên tạp chí quốc tế được viết bằng tiếng Anh, có phản biện, có chỉ số ISSN
01 Chương trình PID thực nghiệm
01 Chương trình mờ thực nghiệm</v>
          </cell>
        </row>
        <row r="273">
          <cell r="B273" t="str">
            <v>SV2026-285</v>
          </cell>
          <cell r="C273" t="str">
            <v>r</v>
          </cell>
          <cell r="D273" t="str">
            <v>X</v>
          </cell>
          <cell r="E273" t="str">
            <v>x</v>
          </cell>
          <cell r="F273" t="str">
            <v>Ước lượng công suất hoạt động của động cơ xe điện tự hành dựa vào nhận dạng môi trường vận hành sử dụng công nghệ xử lý ảnh và cảm biến IMU</v>
          </cell>
          <cell r="G273" t="str">
            <v>Phan Thị Liệu 23151136</v>
          </cell>
          <cell r="H273" t="str">
            <v xml:space="preserve">Phan Thị Liệu </v>
          </cell>
          <cell r="I273" t="str">
            <v>Điện - Điện tử</v>
          </cell>
          <cell r="J273" t="str">
            <v>23151136</v>
          </cell>
          <cell r="K273" t="str">
            <v>Nguyễn Văn Hùng 23151111
Đào Nguyễn Quốc Kha 22151229
Lê Minh Tân 23119033</v>
          </cell>
          <cell r="L273" t="str">
            <v>Phùng Sơn Thanh</v>
          </cell>
          <cell r="M273" t="str">
            <v>Khoa Điện - Điện tử</v>
          </cell>
          <cell r="N273" t="str">
            <v>thanhps@hcmute.edu.vn</v>
          </cell>
          <cell r="O273" t="str">
            <v>01 Bài báo khoa học đăng toàn văn trong kỷ yếu hội nghị, hội thảo có chỉ số ISSN/ ISBN
01 Báo cáo tổng kết</v>
          </cell>
        </row>
        <row r="274">
          <cell r="B274" t="str">
            <v>SV2026-286</v>
          </cell>
          <cell r="C274" t="str">
            <v>rr</v>
          </cell>
          <cell r="D274" t="str">
            <v>X</v>
          </cell>
          <cell r="E274"/>
          <cell r="F274" t="str">
            <v>Điều khiển bám quỹ đạo cho robot tự hành sử dụng PID – Mạng nơ-ron nhân tạo</v>
          </cell>
          <cell r="G274" t="str">
            <v>Phùng Anh Tuấn 23151201</v>
          </cell>
          <cell r="H274" t="str">
            <v xml:space="preserve">Phùng Anh Tuấn </v>
          </cell>
          <cell r="I274" t="str">
            <v>Điện - Điện tử</v>
          </cell>
          <cell r="J274" t="str">
            <v>23151201</v>
          </cell>
          <cell r="K274" t="str">
            <v>Lê Trần Minh Trí 23151190
Nguyễn Lê Thanh Trọng 23151192
Trần Văn Vinh 23151205</v>
          </cell>
          <cell r="L274" t="str">
            <v>Nguyễn Minh Tâm</v>
          </cell>
          <cell r="M274" t="str">
            <v>Khoa Điện - Điện tử</v>
          </cell>
          <cell r="N274" t="str">
            <v>tamnm@hcmute.edu.vn</v>
          </cell>
          <cell r="O274" t="str">
            <v>01 Chương trình máy tính
01 Báo cáo tổng kết</v>
          </cell>
        </row>
        <row r="275">
          <cell r="B275" t="str">
            <v>SV2026-287</v>
          </cell>
          <cell r="C275" t="str">
            <v>rr</v>
          </cell>
          <cell r="D275" t="str">
            <v>X</v>
          </cell>
          <cell r="E275" t="str">
            <v>x</v>
          </cell>
          <cell r="F275" t="str">
            <v>Nghiên cứu và xây dựng hệ thống cảnh báo trẻ em bị bỏ quên trên xe ô tô ứng dụng Trí tuệ nhân tạo (AI) và cơ chế cập nhật firmware từ xa (FOTA)</v>
          </cell>
          <cell r="G275" t="str">
            <v>Tạ Phú Thành 22144188</v>
          </cell>
          <cell r="H275" t="str">
            <v xml:space="preserve">Tạ Phú Thành </v>
          </cell>
          <cell r="I275" t="str">
            <v>Điện - Điện tử</v>
          </cell>
          <cell r="J275" t="str">
            <v>22144188</v>
          </cell>
          <cell r="K275" t="str">
            <v>Trần Nguyễn Thành Tài 22119129
Trần Đoàn Trung 22119144
Bùi Huỳnh Nhật Quang 22119121</v>
          </cell>
          <cell r="L275" t="str">
            <v>Nguyễn Ngô Lâm</v>
          </cell>
          <cell r="M275" t="str">
            <v>Khoa Điện - Điện tử</v>
          </cell>
          <cell r="N275" t="str">
            <v>lamnn@hcmute.edu.vn</v>
          </cell>
          <cell r="O275" t="str">
            <v>01 Mô hình Hệ thống Child Presence Detection trên xe Oto
01 Bản báo cáo tổng kết</v>
          </cell>
        </row>
        <row r="276">
          <cell r="B276" t="str">
            <v>SV2026-288</v>
          </cell>
          <cell r="C276" t="str">
            <v>rr</v>
          </cell>
          <cell r="D276" t="str">
            <v>X</v>
          </cell>
          <cell r="E276"/>
          <cell r="F276" t="str">
            <v>Nghiên cứu và chế tạo thiết bị nhận biết mệnh giá tiền với các chức năng phục vụ cho người khiếm thị</v>
          </cell>
          <cell r="G276" t="str">
            <v>Thái Gia Bảo	 24119113</v>
          </cell>
          <cell r="H276" t="str">
            <v xml:space="preserve">Thái Gia Bảo	 </v>
          </cell>
          <cell r="I276" t="str">
            <v>Điện - Điện tử</v>
          </cell>
          <cell r="J276" t="str">
            <v>24119113</v>
          </cell>
          <cell r="K276" t="str">
            <v>Từ Lễ An 24119106
Bùi Ngọc Đăng Khoa 24119147
Đậu Đình Khánh 24119145</v>
          </cell>
          <cell r="L276" t="str">
            <v>Phùng Sơn Thanh</v>
          </cell>
          <cell r="M276" t="str">
            <v>Khoa Điện - Điện tử</v>
          </cell>
          <cell r="N276" t="str">
            <v>thanhps@hcmute.edu.vn</v>
          </cell>
          <cell r="O276" t="str">
            <v>01 Báo cáo tổng kết</v>
          </cell>
        </row>
        <row r="277">
          <cell r="B277" t="str">
            <v>SV2026-289</v>
          </cell>
          <cell r="C277" t="str">
            <v>rr</v>
          </cell>
          <cell r="D277" t="str">
            <v>X</v>
          </cell>
          <cell r="E277"/>
          <cell r="F277" t="str">
            <v>Thiết kế SoC RISC-V tích hợp bộ gia tốc trí tuệ nhân tạo, tối ưu hóa toán tử GEMM/Convolution trong Deep Learning</v>
          </cell>
          <cell r="G277" t="str">
            <v>Thái Hoàng Phi 23119091</v>
          </cell>
          <cell r="H277" t="str">
            <v xml:space="preserve">Thái Hoàng Phi </v>
          </cell>
          <cell r="I277" t="str">
            <v>Điện - Điện tử</v>
          </cell>
          <cell r="J277" t="str">
            <v>23119091</v>
          </cell>
          <cell r="K277" t="str">
            <v>Nguyễn Xuân Khôi 23119076
Nguyễn Chính Ân 23119047</v>
          </cell>
          <cell r="L277" t="str">
            <v>Phạm Văn Khoa</v>
          </cell>
          <cell r="M277" t="str">
            <v>Khoa Đào tạo tiên tiến</v>
          </cell>
          <cell r="N277" t="str">
            <v>khoapv@hcmute.edu.vn</v>
          </cell>
          <cell r="O277" t="str">
            <v>01 Bài báo khoa học đăng trên tạp chí trong nước trong danh mục của HĐ GSNN tính từ 0,5 điểm trở lên</v>
          </cell>
        </row>
        <row r="278">
          <cell r="B278" t="str">
            <v>SV2026-290</v>
          </cell>
          <cell r="C278" t="str">
            <v>rr</v>
          </cell>
          <cell r="D278" t="str">
            <v>X</v>
          </cell>
          <cell r="E278"/>
          <cell r="F278" t="str">
            <v>Điều khiển bộ chuyển đổi DC – DC converter tăng áp cho thiết bị nghịch lưu một pha dựa trên học tăng cường sâu</v>
          </cell>
          <cell r="G278" t="str">
            <v>Trần Anh Khôi 23151267</v>
          </cell>
          <cell r="H278" t="str">
            <v xml:space="preserve">Trần Anh Khôi </v>
          </cell>
          <cell r="I278" t="str">
            <v>Điện - Điện tử</v>
          </cell>
          <cell r="J278" t="str">
            <v>23151267</v>
          </cell>
          <cell r="K278" t="str">
            <v>Nguyễn Minh Đức 23151238
Mai Đình Phong 23151294</v>
          </cell>
          <cell r="L278" t="str">
            <v>Trần Vi Đô</v>
          </cell>
          <cell r="M278" t="str">
            <v>Khoa Điện - Điện tử</v>
          </cell>
          <cell r="N278" t="str">
            <v>dotv@hcmute.edu.vn</v>
          </cell>
          <cell r="O278" t="str">
            <v>01 Bộ mô hình mạch nghịch lưu tăng áp công suất nhỏ phục vụ thí nghiệm
01 Báo cáo phân tích so sánh các thuật toán</v>
          </cell>
        </row>
        <row r="279">
          <cell r="B279" t="str">
            <v>SV2026-291</v>
          </cell>
          <cell r="C279" t="str">
            <v>rr</v>
          </cell>
          <cell r="D279" t="str">
            <v>X</v>
          </cell>
          <cell r="E279" t="str">
            <v>x</v>
          </cell>
          <cell r="F279" t="str">
            <v>Thiết kế và thi công hệ thống IoT điều khiển và giám sát thiết bị điện qua Website</v>
          </cell>
          <cell r="G279" t="str">
            <v>Trần Đức Tài 22119226</v>
          </cell>
          <cell r="H279" t="str">
            <v xml:space="preserve">Trần Đức Tài </v>
          </cell>
          <cell r="I279" t="str">
            <v>Điện - Điện tử</v>
          </cell>
          <cell r="J279" t="str">
            <v>22119226</v>
          </cell>
          <cell r="K279" t="str">
            <v>Nguyễn Đình Thống 22119236
Lưu Phúc Khang 22119188
Ngô Xuân Thọ 21119376
Nguyễn Minh Quân 20144197</v>
          </cell>
          <cell r="L279" t="str">
            <v>Huỳnh Hoàng Hà</v>
          </cell>
          <cell r="M279" t="str">
            <v>Khoa Điện - Điện tử</v>
          </cell>
          <cell r="N279" t="str">
            <v>hahh@hcmute.edu.vn</v>
          </cell>
          <cell r="O279" t="str">
            <v>01 Mô hình Panel điều khiển IoT
01 Báo cáo tổng kết</v>
          </cell>
        </row>
        <row r="280">
          <cell r="B280" t="str">
            <v>SV2026-292</v>
          </cell>
          <cell r="C280" t="str">
            <v>rr</v>
          </cell>
          <cell r="D280"/>
          <cell r="E280"/>
          <cell r="F280" t="str">
            <v>Nghiên cứu phương pháp cải thiện công suất cho hệ thống pin quang điện trong đô thị dưới ảnh hưởng của bóng che</v>
          </cell>
          <cell r="G280" t="str">
            <v>Trần Khánh Quân 23142193</v>
          </cell>
          <cell r="H280" t="str">
            <v xml:space="preserve">Trần Khánh Quân </v>
          </cell>
          <cell r="I280" t="str">
            <v>Điện - Điện tử</v>
          </cell>
          <cell r="J280" t="str">
            <v>23142193</v>
          </cell>
          <cell r="K280" t="str">
            <v>Lê Cao Kiên 23142145</v>
          </cell>
          <cell r="L280" t="str">
            <v>Trương Việt Anh</v>
          </cell>
          <cell r="M280" t="str">
            <v>Khoa Điện - Điện tử</v>
          </cell>
          <cell r="N280" t="str">
            <v>anhtv@hcmute.edu.vn</v>
          </cell>
          <cell r="O280" t="str">
            <v>01 Bài báo khoa học đăng trên tạp chí trong nước trong danh mục của Hội đồng Giáo sư Nhà nước tính 0,5 điểm trở lên</v>
          </cell>
        </row>
        <row r="281">
          <cell r="B281" t="str">
            <v>SV2026-293</v>
          </cell>
          <cell r="C281" t="str">
            <v>rr</v>
          </cell>
          <cell r="D281" t="str">
            <v>X</v>
          </cell>
          <cell r="E281"/>
          <cell r="F281" t="str">
            <v>Thiết kế và thi công thiết bị bàn đạp phục hồi chức năng chi dưới</v>
          </cell>
          <cell r="G281" t="str">
            <v>Trần Mỹ Duyên 22129009</v>
          </cell>
          <cell r="H281" t="str">
            <v xml:space="preserve">Trần Mỹ Duyên </v>
          </cell>
          <cell r="I281" t="str">
            <v>Điện - Điện tử</v>
          </cell>
          <cell r="J281" t="str">
            <v>22129009</v>
          </cell>
          <cell r="K281" t="str">
            <v>Nguyễn Thị Thùy Dương 22129010
Nguyễn Huỳnh Bình Minh 21129020</v>
          </cell>
          <cell r="L281" t="str">
            <v>Nguyễn Thanh Nghĩa</v>
          </cell>
          <cell r="M281" t="str">
            <v>Khoa Điện - Điện tử</v>
          </cell>
          <cell r="N281" t="str">
            <v>nghiant@hcmute.edu.vn</v>
          </cell>
          <cell r="O281" t="str">
            <v>01 Thiết bị bàn đạp phục hồi chức năng chi dưới
01 Báo cáo tổng kết</v>
          </cell>
        </row>
        <row r="282">
          <cell r="B282" t="str">
            <v>SV2026-295</v>
          </cell>
          <cell r="C282" t="str">
            <v>rr</v>
          </cell>
          <cell r="D282" t="str">
            <v>X</v>
          </cell>
          <cell r="E282"/>
          <cell r="F282" t="str">
            <v>Thiết kế và thi công hệ thống giữ xe ô tô tự động</v>
          </cell>
          <cell r="G282" t="str">
            <v>Trần Quang Bình 22161095</v>
          </cell>
          <cell r="H282" t="str">
            <v xml:space="preserve">Trần Quang Bình </v>
          </cell>
          <cell r="I282" t="str">
            <v>Điện - Điện tử</v>
          </cell>
          <cell r="J282" t="str">
            <v>22161095</v>
          </cell>
          <cell r="K282" t="str">
            <v>Lê Khắc Duy 22161104
Dương Ngọc Vinh 22161214
Vũ Tiến Lực 22161151
Trương Minh Khôi 22161143</v>
          </cell>
          <cell r="L282" t="str">
            <v>Nguyễn Văn Phúc</v>
          </cell>
          <cell r="M282" t="str">
            <v>Khoa Điện - Điện tử</v>
          </cell>
          <cell r="N282" t="str">
            <v>phucnv@hcmute.edu.vn</v>
          </cell>
          <cell r="O282" t="str">
            <v>01 Mô hình bãi giữ xe tự động
01 Báo cáo tổng kết</v>
          </cell>
        </row>
        <row r="283">
          <cell r="B283" t="str">
            <v>SV2026-296</v>
          </cell>
          <cell r="C283" t="str">
            <v>rr</v>
          </cell>
          <cell r="D283" t="str">
            <v>X</v>
          </cell>
          <cell r="E283"/>
          <cell r="F283" t="str">
            <v>Nghiên cứu hệ thống dự đoán trạng thái bất thường của động cơ xe điện dựa trên kỹ thuật song sinh kỹ thuật số</v>
          </cell>
          <cell r="G283" t="str">
            <v>Trần Thái Sơn 23151172</v>
          </cell>
          <cell r="H283" t="str">
            <v xml:space="preserve">Trần Thái Sơn </v>
          </cell>
          <cell r="I283" t="str">
            <v>Điện - Điện tử</v>
          </cell>
          <cell r="J283" t="str">
            <v>23151172</v>
          </cell>
          <cell r="K283" t="str">
            <v>Nguyễn Minh Huy 23151102
Dương Cường Sáng 23151169
Tăng Đàm Song 23151170
Lâm Hoàng Vũ 23151208</v>
          </cell>
          <cell r="L283" t="str">
            <v>Lê Trọng Hiếu</v>
          </cell>
          <cell r="M283" t="str">
            <v>Khoa Điện - Điện tử</v>
          </cell>
          <cell r="N283" t="str">
            <v>tronghieu@hcmute.edu.vn</v>
          </cell>
          <cell r="O283" t="str">
            <v xml:space="preserve">01 Bài báo khoa học đăng toàn văn trong kỷ yếu hội nghị, hội thảo có chỉ số ISSN/ISBN
01 Báo cáo tổng kết </v>
          </cell>
        </row>
        <row r="284">
          <cell r="B284" t="str">
            <v>SV2026-297</v>
          </cell>
          <cell r="C284" t="str">
            <v>rr</v>
          </cell>
          <cell r="D284" t="str">
            <v>X</v>
          </cell>
          <cell r="E284" t="str">
            <v>x</v>
          </cell>
          <cell r="F284" t="str">
            <v>Hệ thống trồng cây gia đình tự động</v>
          </cell>
          <cell r="G284" t="str">
            <v>Trịnh Xuân Nam 21151136</v>
          </cell>
          <cell r="H284" t="str">
            <v xml:space="preserve">Trịnh Xuân Nam </v>
          </cell>
          <cell r="I284" t="str">
            <v>Điện - Điện tử</v>
          </cell>
          <cell r="J284" t="str">
            <v>21151136</v>
          </cell>
          <cell r="K284" t="str">
            <v>Trần Việt Cường 21151081
Nguyễn Tiến Ninh 22151034
Võ Văn Thành 23151178
Đỗ Nguyễn Phương Thảo 22124111</v>
          </cell>
          <cell r="L284" t="str">
            <v>Nguyễn Trần Minh Nguyệt</v>
          </cell>
          <cell r="M284" t="str">
            <v>Khoa Điện - Điện tử</v>
          </cell>
          <cell r="N284" t="str">
            <v>nguyetntm@hcmute.edu.vn</v>
          </cell>
          <cell r="O284" t="str">
            <v>01 Chương trình thực nghiệm
01 Báo cáo tổng kết</v>
          </cell>
        </row>
        <row r="285">
          <cell r="B285" t="str">
            <v>SV2026-299</v>
          </cell>
          <cell r="C285" t="str">
            <v>rr</v>
          </cell>
          <cell r="D285"/>
          <cell r="E285" t="str">
            <v>x</v>
          </cell>
          <cell r="F285" t="str">
            <v>Thiết kế và thi công hệ thống quản lý thiết bị y tế trong bệnh viện bằng công nghệ không dây</v>
          </cell>
          <cell r="G285" t="str">
            <v>Trương Đông Quân 23129040</v>
          </cell>
          <cell r="H285" t="str">
            <v xml:space="preserve">Trương Đông Quân </v>
          </cell>
          <cell r="I285" t="str">
            <v>Điện - Điện tử</v>
          </cell>
          <cell r="J285" t="str">
            <v>23129040</v>
          </cell>
          <cell r="K285" t="str">
            <v>Trần Huỳnh Như 23129031</v>
          </cell>
          <cell r="L285" t="str">
            <v>Ngô Bá Việt</v>
          </cell>
          <cell r="M285" t="str">
            <v>Khoa Điện - Điện tử</v>
          </cell>
          <cell r="N285" t="str">
            <v>vietnb@hcmute.edu.vn</v>
          </cell>
          <cell r="O285" t="str">
            <v>01 mô hình Hệ thống quản lý thiết bị y tế bằng công nghệ không dây
01 Báo cáo tổng kết</v>
          </cell>
        </row>
        <row r="286">
          <cell r="B286" t="str">
            <v>SV2026-300</v>
          </cell>
          <cell r="C286" t="str">
            <v>rr</v>
          </cell>
          <cell r="D286" t="str">
            <v>X</v>
          </cell>
          <cell r="E286"/>
          <cell r="F286" t="str">
            <v>Phát triển các chiến lược điều khiển FOC cho động cơ PMSM ứng dụng trên xe điện</v>
          </cell>
          <cell r="G286" t="str">
            <v>Từ Thái Đạt 22161238</v>
          </cell>
          <cell r="H286" t="str">
            <v xml:space="preserve">Từ Thái Đạt </v>
          </cell>
          <cell r="I286" t="str">
            <v>Điện - Điện tử</v>
          </cell>
          <cell r="J286" t="str">
            <v>22161238</v>
          </cell>
          <cell r="K286" t="str">
            <v>Nguyễn Minh Hiển 22161251</v>
          </cell>
          <cell r="L286" t="str">
            <v>Trịnh Hoài Ân</v>
          </cell>
          <cell r="M286" t="str">
            <v>Khoa Điện - Điện tử</v>
          </cell>
          <cell r="N286" t="str">
            <v>anth@hcmute.edu.vn</v>
          </cell>
          <cell r="O286" t="str">
            <v>01 Bài báo khoa học đăng trên tạp chí trong nước trong danh mục của HĐ GSNN tính từ 0,5 điểm trở lên
01 Báo cáo tổng kết</v>
          </cell>
        </row>
        <row r="287">
          <cell r="B287" t="str">
            <v>SV2026-301</v>
          </cell>
          <cell r="C287" t="str">
            <v>rr</v>
          </cell>
          <cell r="D287" t="str">
            <v>X</v>
          </cell>
          <cell r="E287"/>
          <cell r="F287" t="str">
            <v>Phân tích và thử nghiệm một số kĩ thuật tối ưu thuật toán trên FPGA</v>
          </cell>
          <cell r="G287" t="str">
            <v>Văn Đình Nghĩa 23161300</v>
          </cell>
          <cell r="H287" t="str">
            <v xml:space="preserve">Văn Đình Nghĩa </v>
          </cell>
          <cell r="I287" t="str">
            <v>Điện - Điện tử</v>
          </cell>
          <cell r="J287" t="str">
            <v>23161300</v>
          </cell>
          <cell r="K287" t="str">
            <v>Bùi Hoàng Thái Sơn 23161323
Nguyễn Hữu Khoa 22119191
Nguyễn Nguyễn Phúc Khang 25151050</v>
          </cell>
          <cell r="L287" t="str">
            <v>Huỳnh Hoàng Hà</v>
          </cell>
          <cell r="M287" t="str">
            <v>Khoa Điện - Điện tử</v>
          </cell>
          <cell r="N287" t="str">
            <v>hahh@hcmute.edu.vn</v>
          </cell>
          <cell r="O287" t="str">
            <v>01 Mô hình FPGA thực nghiệm
01 Báo cáo tổng kết</v>
          </cell>
        </row>
        <row r="288">
          <cell r="B288" t="str">
            <v>SV2026-302</v>
          </cell>
          <cell r="C288" t="str">
            <v>rr</v>
          </cell>
          <cell r="D288" t="str">
            <v>X</v>
          </cell>
          <cell r="E288"/>
          <cell r="F288" t="str">
            <v>Ứng dụng thuật toán tối ưu hóa phi tuyến để tối ưu quỹ đạo cục bộ cho Robot Mecanum</v>
          </cell>
          <cell r="G288" t="str">
            <v>Văng Công Quỳnh 23151305</v>
          </cell>
          <cell r="H288" t="str">
            <v xml:space="preserve">Văng Công Quỳnh </v>
          </cell>
          <cell r="I288" t="str">
            <v>Điện - Điện tử</v>
          </cell>
          <cell r="J288" t="str">
            <v>23151305</v>
          </cell>
          <cell r="K288" t="str">
            <v>Trần Nhật Phúc 23151299
Nguyễn Phúc Qui 23151304</v>
          </cell>
          <cell r="L288" t="str">
            <v>Phạm Huỳnh Thế</v>
          </cell>
          <cell r="M288" t="str">
            <v>Khoa Điện - Điện tử</v>
          </cell>
          <cell r="N288" t="str">
            <v>theph@hcmute.edu.vn</v>
          </cell>
          <cell r="O288" t="str">
            <v>Báo cáo phân tích, so sánh, ứng dụng thuật toán tối ưu hóa phi tuyến để tối ưu quỹ đạo cục bộ</v>
          </cell>
        </row>
        <row r="289">
          <cell r="B289" t="str">
            <v>SV2026-303</v>
          </cell>
          <cell r="C289" t="str">
            <v>rr</v>
          </cell>
          <cell r="D289" t="str">
            <v>X</v>
          </cell>
          <cell r="E289" t="str">
            <v>x</v>
          </cell>
          <cell r="F289" t="str">
            <v>Thiết kế và vận hành cánh tay robot song song phân loại sản phẩm</v>
          </cell>
          <cell r="G289" t="str">
            <v>Võ Kim Thành 20151045</v>
          </cell>
          <cell r="H289" t="str">
            <v xml:space="preserve">Võ Kim Thành </v>
          </cell>
          <cell r="I289" t="str">
            <v>Điện - Điện tử</v>
          </cell>
          <cell r="J289" t="str">
            <v>20151045</v>
          </cell>
          <cell r="K289" t="str">
            <v>Nguyễn Ngô Hương Giang 23142114
Nguyễn Học Lễ 23142149
Phan Đình Mạnh Tùng 23142228
Nguyễn Quang Thiện 23161196</v>
          </cell>
          <cell r="L289" t="str">
            <v>Nguyễn Trần Minh Nguyệt</v>
          </cell>
          <cell r="M289" t="str">
            <v>Khoa Điện - Điện tử</v>
          </cell>
          <cell r="N289" t="str">
            <v>nguyetntm@hcmute.edu.vn</v>
          </cell>
          <cell r="O289" t="str">
            <v>02 Bài báo khoa học được chấp nhận đăng trên tạp chí quốc tế có chỉ số xuất bản ISSN
01 Chương trình phần mềm
01 Báo cáo tổng kết</v>
          </cell>
        </row>
        <row r="290">
          <cell r="B290" t="str">
            <v>SV2026-304</v>
          </cell>
          <cell r="C290" t="str">
            <v>rr</v>
          </cell>
          <cell r="D290" t="str">
            <v>X</v>
          </cell>
          <cell r="E290" t="str">
            <v>x</v>
          </cell>
          <cell r="F290" t="str">
            <v>Ứng dụng trí tuệ nhân tạo phát hiện hành vi bất thường của động vật hoang dã</v>
          </cell>
          <cell r="G290" t="str">
            <v>Võ Minh Nguyên 24161341</v>
          </cell>
          <cell r="H290" t="str">
            <v xml:space="preserve">Võ Minh Nguyên </v>
          </cell>
          <cell r="I290" t="str">
            <v>Điện - Điện tử</v>
          </cell>
          <cell r="J290" t="str">
            <v>24161341</v>
          </cell>
          <cell r="K290" t="str">
            <v>Võ Can Huy 24161087
Lê Ngọc Thanh 2439702
Nguyễn Thị Thu Thủy 24161416
Nguyễn Hoàng Công Tấn 23161077</v>
          </cell>
          <cell r="L290" t="str">
            <v>Võ Minh Huân</v>
          </cell>
          <cell r="M290" t="str">
            <v>Khoa Điện - Điện tử</v>
          </cell>
          <cell r="N290" t="str">
            <v>huanvm@hcmute.edu.vn</v>
          </cell>
          <cell r="O290" t="str">
            <v>01 Bài báo đăng trên tạp chí trong nước trong danh mục HĐ GSNN tính 0.5 điểm hoặc bài báo đăng trên tạp chí khoa quốc tế có chỉ số xuất bản ISSN</v>
          </cell>
        </row>
        <row r="291">
          <cell r="B291" t="str">
            <v>SV2026-305</v>
          </cell>
          <cell r="C291" t="str">
            <v>rr</v>
          </cell>
          <cell r="D291" t="str">
            <v>X</v>
          </cell>
          <cell r="E291"/>
          <cell r="F291" t="str">
            <v>Nghiên cứu và triển khai điều khiển bộ chuyển đổi DC–DC hai chiều trong hệ vi lưới sử dụng phương pháp trượt siêu xoắn kết hợp mạng nơ-ron</v>
          </cell>
          <cell r="G291" t="str">
            <v>Võ Minh Thành 23151177</v>
          </cell>
          <cell r="H291" t="str">
            <v xml:space="preserve">Võ Minh Thành </v>
          </cell>
          <cell r="I291" t="str">
            <v>Điện - Điện tử</v>
          </cell>
          <cell r="J291" t="str">
            <v>23151177</v>
          </cell>
          <cell r="K291" t="str">
            <v>Đỗ Đình Thắng 23151179
Lê Đức Tấn 23151174</v>
          </cell>
          <cell r="L291" t="str">
            <v>Phạm Hữu Thái</v>
          </cell>
          <cell r="M291" t="str">
            <v>Khoa Điện - Điện tử</v>
          </cell>
          <cell r="N291" t="str">
            <v>thaiph@hcmute.edu.vn</v>
          </cell>
          <cell r="O291" t="str">
            <v>01 Bài báo khoa học đăng toàn văn trong kỷ yếu hội nghị, hội thảo có chỉ số ISSN/ISBN
01 Báo cáo tổng kết</v>
          </cell>
        </row>
        <row r="292">
          <cell r="B292" t="str">
            <v>SV2026-306</v>
          </cell>
          <cell r="C292" t="str">
            <v>rr</v>
          </cell>
          <cell r="D292" t="str">
            <v>X</v>
          </cell>
          <cell r="E292" t="str">
            <v>x</v>
          </cell>
          <cell r="F292" t="str">
            <v>Nghiên cứu hệ thống giám sát và cảnh báo hành vi trái quy định tại trường học</v>
          </cell>
          <cell r="G292" t="str">
            <v>Võ Ngọc Trai 24119206</v>
          </cell>
          <cell r="H292" t="str">
            <v xml:space="preserve">Võ Ngọc Trai </v>
          </cell>
          <cell r="I292" t="str">
            <v>Điện - Điện tử</v>
          </cell>
          <cell r="J292" t="str">
            <v>24119206</v>
          </cell>
          <cell r="K292" t="str">
            <v>Lê Tiến Thịnh 24119200</v>
          </cell>
          <cell r="L292" t="str">
            <v>Lê Mỹ Hà</v>
          </cell>
          <cell r="M292" t="str">
            <v>Khoa Điện - Điện tử</v>
          </cell>
          <cell r="N292" t="str">
            <v>halm@hcmute.edu.vn</v>
          </cell>
          <cell r="O292" t="str">
            <v>01 Chương trình máy tính mô phỏng, mô hình camera nhận diện hành vi.
01 Báo cáo tổng kết</v>
          </cell>
        </row>
        <row r="293">
          <cell r="B293" t="str">
            <v>SV2026-307</v>
          </cell>
          <cell r="C293" t="str">
            <v>rr</v>
          </cell>
          <cell r="D293" t="str">
            <v>X</v>
          </cell>
          <cell r="E293"/>
          <cell r="F293" t="str">
            <v>Thiết kế thi công bãi giữ xe quy mô nhỏ (áp dụng RFID, smartphone…)</v>
          </cell>
          <cell r="G293" t="str">
            <v>Võ Tấn Hưng 22161264</v>
          </cell>
          <cell r="H293" t="str">
            <v xml:space="preserve">Võ Tấn Hưng </v>
          </cell>
          <cell r="I293" t="str">
            <v>Điện - Điện tử</v>
          </cell>
          <cell r="J293" t="str">
            <v>22161264</v>
          </cell>
          <cell r="K293" t="str">
            <v>Lê Văn Hoàn 22142305</v>
          </cell>
          <cell r="L293" t="str">
            <v>Nguyễn Văn Hiệp</v>
          </cell>
          <cell r="M293" t="str">
            <v>Khoa Điện - Điện tử</v>
          </cell>
          <cell r="N293" t="str">
            <v>hiepspkt@hcmute.edu.vn</v>
          </cell>
          <cell r="O293" t="str">
            <v>01 Mô hình bãi giữ xe
01 Báo cáo nghiên cứu</v>
          </cell>
        </row>
        <row r="294">
          <cell r="B294" t="str">
            <v>SV2026-308</v>
          </cell>
          <cell r="C294" t="str">
            <v>rr</v>
          </cell>
          <cell r="D294" t="str">
            <v>X</v>
          </cell>
          <cell r="E294"/>
          <cell r="F294" t="str">
            <v>Ảnh hưởng của spirulina đến chất lượng sữa đậu nành lên men</v>
          </cell>
          <cell r="G294" t="str">
            <v>Cao Đăng Huy 23116059</v>
          </cell>
          <cell r="H294" t="str">
            <v xml:space="preserve">Cao Đăng Huy </v>
          </cell>
          <cell r="I294" t="str">
            <v>CN Hóa học &amp; Thực phẩm</v>
          </cell>
          <cell r="J294" t="str">
            <v>23116059</v>
          </cell>
          <cell r="K294" t="str">
            <v>Nguyễn Đặng Nguyên Chương 23116046
Lê Trần Gia Hân 23116055
Võ Ngọc Linh 23116071</v>
          </cell>
          <cell r="L294" t="str">
            <v>Phạm Thị Hoàn</v>
          </cell>
          <cell r="M294" t="str">
            <v>Khoa CNHH&amp;TP</v>
          </cell>
          <cell r="N294" t="str">
            <v>hoanpt@hcmute.edu.vn</v>
          </cell>
          <cell r="O294" t="str">
            <v>01 Báo cáo tổng kết</v>
          </cell>
        </row>
        <row r="295">
          <cell r="B295" t="str">
            <v>SV2026-309</v>
          </cell>
          <cell r="C295" t="str">
            <v>rr</v>
          </cell>
          <cell r="D295" t="str">
            <v>X</v>
          </cell>
          <cell r="E295" t="str">
            <v>x</v>
          </cell>
          <cell r="F295" t="str">
            <v>Phân tách protein tách từ bã cà phê</v>
          </cell>
          <cell r="G295" t="str">
            <v>Diệp Thế Vinh 23128080</v>
          </cell>
          <cell r="H295" t="str">
            <v xml:space="preserve">Diệp Thế Vinh </v>
          </cell>
          <cell r="I295" t="str">
            <v>CN Hóa học &amp; Thực phẩm</v>
          </cell>
          <cell r="J295" t="str">
            <v>23128080</v>
          </cell>
          <cell r="K295" t="str">
            <v>Nguyễn An Hưng 23128017
Lê Thanh Toàn 23128067</v>
          </cell>
          <cell r="L295" t="str">
            <v>Phan Thị Anh Đào</v>
          </cell>
          <cell r="M295" t="str">
            <v>Khoa CNHH&amp;TP</v>
          </cell>
          <cell r="N295" t="str">
            <v>daopta@hcmute.edu.vn</v>
          </cell>
          <cell r="O295" t="str">
            <v>01 Báo cáo tổng kết</v>
          </cell>
        </row>
        <row r="296">
          <cell r="B296" t="str">
            <v>SV2026-310</v>
          </cell>
          <cell r="C296" t="str">
            <v>rr</v>
          </cell>
          <cell r="D296" t="str">
            <v>X</v>
          </cell>
          <cell r="E296"/>
          <cell r="F296" t="str">
            <v>Tổng hợp vật liệu carbon dots phát quang màu xanh lá bằng phương pháp solvothermal ứng dụng nhận biết ion Mn (VII)</v>
          </cell>
          <cell r="G296" t="str">
            <v>Lâm Minh Thư 23128177</v>
          </cell>
          <cell r="H296" t="str">
            <v xml:space="preserve">Lâm Minh Thư </v>
          </cell>
          <cell r="I296" t="str">
            <v>CN Hóa học &amp; Thực phẩm</v>
          </cell>
          <cell r="J296" t="str">
            <v>23128177</v>
          </cell>
          <cell r="K296">
            <v>0</v>
          </cell>
          <cell r="L296" t="str">
            <v>Nguyễn Thiên Phúc</v>
          </cell>
          <cell r="M296" t="str">
            <v>Khoa CNHH&amp;TP</v>
          </cell>
          <cell r="N296" t="str">
            <v>phucnt@hcmute.edu.vn</v>
          </cell>
          <cell r="O296" t="str">
            <v>01 Báo cáo tổng kết</v>
          </cell>
        </row>
        <row r="297">
          <cell r="B297" t="str">
            <v>SV2026-311</v>
          </cell>
          <cell r="C297" t="str">
            <v>rr</v>
          </cell>
          <cell r="D297" t="str">
            <v>X</v>
          </cell>
          <cell r="E297"/>
          <cell r="F297" t="str">
            <v>Tổng hợp vật liệu nano silica cầu rỗng bằng phương pháp khuôn cứng polystyrene từ nguồn xốp bao bì thải</v>
          </cell>
          <cell r="G297" t="str">
            <v>Lê Minh Hoàng Lân 23128125</v>
          </cell>
          <cell r="H297" t="str">
            <v xml:space="preserve">Lê Minh Hoàng Lân </v>
          </cell>
          <cell r="I297" t="str">
            <v>CN Hóa học &amp; Thực phẩm</v>
          </cell>
          <cell r="J297" t="str">
            <v>23128125</v>
          </cell>
          <cell r="K297" t="str">
            <v>Phan Thị Lan Thanh 23128168</v>
          </cell>
          <cell r="L297" t="str">
            <v>Nguyễn Văn Quý</v>
          </cell>
          <cell r="M297" t="str">
            <v>Khoa CNHH&amp;TP</v>
          </cell>
          <cell r="N297" t="str">
            <v>quynv@hcmute.edu.vn</v>
          </cell>
          <cell r="O297" t="str">
            <v>01 Báo cáo tổng kết</v>
          </cell>
        </row>
        <row r="298">
          <cell r="B298" t="str">
            <v>SV2026-312</v>
          </cell>
          <cell r="C298" t="str">
            <v>rr</v>
          </cell>
          <cell r="D298" t="str">
            <v>X</v>
          </cell>
          <cell r="E298"/>
          <cell r="F298" t="str">
            <v>Khảo sát điều kiện chiết siêu âm các yếu tố TPC, TSC, TFC và FRAP của cây trà hoa trắng Camellia hoaana</v>
          </cell>
          <cell r="G298" t="str">
            <v>Lê Nhật Yến 22128093</v>
          </cell>
          <cell r="H298" t="str">
            <v xml:space="preserve">Lê Nhật Yến </v>
          </cell>
          <cell r="I298" t="str">
            <v>CN Hóa học &amp; Thực phẩm</v>
          </cell>
          <cell r="J298" t="str">
            <v>22128093</v>
          </cell>
          <cell r="K298" t="str">
            <v>Nguyễn Đinh Gia Huy 22128026</v>
          </cell>
          <cell r="L298" t="str">
            <v>Nguyễn Linh Nhâm</v>
          </cell>
          <cell r="M298" t="str">
            <v>Khoa CNHH&amp;TP</v>
          </cell>
          <cell r="N298" t="str">
            <v>nhamnl@hcmute.edu.vn</v>
          </cell>
          <cell r="O298" t="str">
            <v>01 Báo cáo tổng kết</v>
          </cell>
        </row>
        <row r="299">
          <cell r="B299" t="str">
            <v>SV2026-313</v>
          </cell>
          <cell r="C299" t="str">
            <v>rr</v>
          </cell>
          <cell r="D299" t="str">
            <v>X</v>
          </cell>
          <cell r="E299"/>
          <cell r="F299" t="str">
            <v>Tổng hợp vật liệu graphene oxide khử</v>
          </cell>
          <cell r="G299" t="str">
            <v>Lê Tấn Tài 23128055</v>
          </cell>
          <cell r="H299" t="str">
            <v xml:space="preserve">Lê Tấn Tài </v>
          </cell>
          <cell r="I299" t="str">
            <v>CN Hóa học &amp; Thực phẩm</v>
          </cell>
          <cell r="J299" t="str">
            <v>23128055</v>
          </cell>
          <cell r="K299" t="str">
            <v>Trần Lê Thanh Tuấn 23128074</v>
          </cell>
          <cell r="L299" t="str">
            <v>Lý Tấn Nhiệm</v>
          </cell>
          <cell r="M299" t="str">
            <v>Khoa CNHH&amp;TP</v>
          </cell>
          <cell r="N299" t="str">
            <v>nhiemlt@hcmute.edu.vn</v>
          </cell>
          <cell r="O299" t="str">
            <v>01 Báo cáo tổng kết</v>
          </cell>
        </row>
        <row r="300">
          <cell r="B300" t="str">
            <v>SV2026-314</v>
          </cell>
          <cell r="C300" t="str">
            <v>rr</v>
          </cell>
          <cell r="D300" t="str">
            <v>X</v>
          </cell>
          <cell r="E300"/>
          <cell r="F300" t="str">
            <v>Nghiên cứu tổng hợp biochar từ thân cây bắp được hoạt hóa bằng FeCl3 định hướng ứng dụng làm chất hấp phụ tetracycline</v>
          </cell>
          <cell r="G300" t="str">
            <v>Lê Thiện Phú 23128045</v>
          </cell>
          <cell r="H300" t="str">
            <v xml:space="preserve">Lê Thiện Phú </v>
          </cell>
          <cell r="I300" t="str">
            <v>CN Hóa học &amp; Thực phẩm</v>
          </cell>
          <cell r="J300" t="str">
            <v>23128045</v>
          </cell>
          <cell r="K300" t="str">
            <v>Võ Hữu Nhân 24128128
Nguyễn Trung Tín 24128188
Nguyễn Khánh Đăng 23128010
Đặng Hoàng Anh 23128002</v>
          </cell>
          <cell r="L300" t="str">
            <v>Huỳnh Nguyễn Anh Tuấn</v>
          </cell>
          <cell r="M300" t="str">
            <v>Khoa CNHH&amp;TP</v>
          </cell>
          <cell r="N300" t="str">
            <v>tuanhna@hcmute.edu.vn</v>
          </cell>
          <cell r="O300" t="str">
            <v>01 Báo cáo tổng kết</v>
          </cell>
        </row>
        <row r="301">
          <cell r="B301" t="str">
            <v>SV2026-315</v>
          </cell>
          <cell r="C301" t="str">
            <v>rr</v>
          </cell>
          <cell r="D301" t="str">
            <v>X</v>
          </cell>
          <cell r="E301"/>
          <cell r="F301" t="str">
            <v>Nghiên cứu tích hợp hạt carbon dots lên màng polymer chitosan/ gelatin ứng dụng làm màng bọc thực phẩm.</v>
          </cell>
          <cell r="G301" t="str">
            <v>Lê Văn Thi 23128058</v>
          </cell>
          <cell r="H301" t="str">
            <v xml:space="preserve">Lê Văn Thi </v>
          </cell>
          <cell r="I301" t="str">
            <v>CN Hóa học &amp; Thực phẩm</v>
          </cell>
          <cell r="J301" t="str">
            <v>23128058</v>
          </cell>
          <cell r="K301" t="str">
            <v>Nguyễn Công Nguyên 22128152
Huỳnh Thanh Khương 22128141
Trương Quỳnh Như 23128042</v>
          </cell>
          <cell r="L301" t="str">
            <v>Trần Thị Nhung</v>
          </cell>
          <cell r="M301" t="str">
            <v>Khoa CNHH&amp;TP</v>
          </cell>
          <cell r="N301" t="str">
            <v>nhungtt@hcmute.edu.vn</v>
          </cell>
          <cell r="O301" t="str">
            <v>01 Báo cáo tổng kết</v>
          </cell>
        </row>
        <row r="302">
          <cell r="B302" t="str">
            <v>SV2026-316</v>
          </cell>
          <cell r="C302" t="str">
            <v>rr</v>
          </cell>
          <cell r="D302" t="str">
            <v>X</v>
          </cell>
          <cell r="E302"/>
          <cell r="F302" t="str">
            <v>Chế tạo micelle vận chuyển thuốc kỵ nước từ polysaccharide biến tính octenyl succinic anhydride</v>
          </cell>
          <cell r="G302" t="str">
            <v>Lý Trung Hiếu 23128114</v>
          </cell>
          <cell r="H302" t="str">
            <v xml:space="preserve">Lý Trung Hiếu </v>
          </cell>
          <cell r="I302" t="str">
            <v>CN Hóa học &amp; Thực phẩm</v>
          </cell>
          <cell r="J302" t="str">
            <v>23128114</v>
          </cell>
          <cell r="K302" t="str">
            <v>Thái Bửu Uyên 23128191
Lê Nguyễn Phương Thảo 23128169
Trần Quốc Duy 24128037</v>
          </cell>
          <cell r="L302" t="str">
            <v>Nguyễn Văn Quý</v>
          </cell>
          <cell r="M302" t="str">
            <v>Khoa CNHH&amp;TP</v>
          </cell>
          <cell r="N302" t="str">
            <v>quynv@hcmute.edu.vn</v>
          </cell>
          <cell r="O302" t="str">
            <v>01 Báo cáo tổng kết</v>
          </cell>
        </row>
        <row r="303">
          <cell r="B303" t="str">
            <v>SV2026-317</v>
          </cell>
          <cell r="C303" t="str">
            <v>rr</v>
          </cell>
          <cell r="D303"/>
          <cell r="E303"/>
          <cell r="F303" t="str">
            <v>Khảo sát sự ảnh hưởng của các yếu tố chiết xuất đến hiệu suất chiết, tổng hàm lượng polyphenol (TPC) và tổng hàm lượng flavonoid (TFC) từ cây Diệp Hạ Châu Phyllanthus amarus Schum. et Thonn.</v>
          </cell>
          <cell r="G303" t="str">
            <v>Nguyễn Đặng Gia Phúc 22128167</v>
          </cell>
          <cell r="H303" t="str">
            <v xml:space="preserve">Nguyễn Đặng Gia Phúc </v>
          </cell>
          <cell r="I303" t="str">
            <v>CN Hóa học &amp; Thực phẩm</v>
          </cell>
          <cell r="J303" t="str">
            <v>22128167</v>
          </cell>
          <cell r="K303" t="str">
            <v>Đồng Thị Ngọc Điệp 23128011
Phùng Thị Hà 23128012
Lê Huỳnh Như 23128040</v>
          </cell>
          <cell r="L303" t="str">
            <v>Nguyễn Thanh Sang</v>
          </cell>
          <cell r="M303" t="str">
            <v>Khoa CNHH&amp;TP</v>
          </cell>
          <cell r="N303" t="str">
            <v>ntsang@hcmute.edu.vn</v>
          </cell>
          <cell r="O303" t="str">
            <v>01 Báo cáo tổng kết</v>
          </cell>
        </row>
        <row r="304">
          <cell r="B304" t="str">
            <v>SV2026-318</v>
          </cell>
          <cell r="C304" t="str">
            <v>rr</v>
          </cell>
          <cell r="D304" t="str">
            <v>X</v>
          </cell>
          <cell r="E304"/>
          <cell r="F304" t="str">
            <v>Đánh giá tác động của Sodium Alginate đến đặc tính của double network hydrogel trên cơ sở PVA định hướng ứng dụng làm chất mang Urea</v>
          </cell>
          <cell r="G304" t="str">
            <v>Nguyễn Đinh Phước Kỳ 23128124</v>
          </cell>
          <cell r="H304" t="str">
            <v xml:space="preserve">Nguyễn Đinh Phước Kỳ </v>
          </cell>
          <cell r="I304" t="str">
            <v>CN Hóa học &amp; Thực phẩm</v>
          </cell>
          <cell r="J304" t="str">
            <v>23128124</v>
          </cell>
          <cell r="K304" t="str">
            <v>Phạm Đình Huy 23128120
Vũ Kim Ngọc Tuyết 23128189
Nguyễn Trọng Tỷ 23128190</v>
          </cell>
          <cell r="L304" t="str">
            <v>Huỳnh Nguyễn Anh Tuấn</v>
          </cell>
          <cell r="M304" t="str">
            <v>Khoa CNHH&amp;TP</v>
          </cell>
          <cell r="N304" t="str">
            <v>tuanhna@hcmute.edu.vn</v>
          </cell>
          <cell r="O304" t="str">
            <v>01 Báo cáo tổng kết</v>
          </cell>
        </row>
        <row r="305">
          <cell r="B305" t="str">
            <v>SV2026-319</v>
          </cell>
          <cell r="C305" t="str">
            <v>R</v>
          </cell>
          <cell r="D305" t="str">
            <v>X</v>
          </cell>
          <cell r="E305"/>
          <cell r="F305" t="str">
            <v>Tổng hợp vật liệu carbon dots bằng phương pháp sử dụng microwave hỗ trợ ứng dụng làm cảm biến hóa học để phát hiện chất màu hữu cơ Safranin O</v>
          </cell>
          <cell r="G305" t="str">
            <v>Nguyễn Hoàng Thái 24128172</v>
          </cell>
          <cell r="H305" t="str">
            <v xml:space="preserve">Nguyễn Hoàng Thái </v>
          </cell>
          <cell r="I305" t="str">
            <v>CN Hóa học &amp; Thực phẩm</v>
          </cell>
          <cell r="J305" t="str">
            <v>24128172</v>
          </cell>
          <cell r="K305" t="str">
            <v>Phạm Nguyễn Việt Anh 24128012</v>
          </cell>
          <cell r="L305" t="str">
            <v>Đặng Đình Khôi</v>
          </cell>
          <cell r="M305" t="str">
            <v>Khoa CNHH&amp;TP</v>
          </cell>
          <cell r="N305" t="str">
            <v>khoidd@hcmute.edu.vn</v>
          </cell>
          <cell r="O305" t="str">
            <v>01 Báo cáo tổng kết</v>
          </cell>
        </row>
        <row r="306">
          <cell r="B306" t="str">
            <v>SV2026-320</v>
          </cell>
          <cell r="C306" t="str">
            <v>r</v>
          </cell>
          <cell r="D306" t="str">
            <v>X</v>
          </cell>
          <cell r="E306" t="str">
            <v>x</v>
          </cell>
          <cell r="F306" t="str">
            <v>Khảo sát và so sánh thành phần hóa học của quả cây vả (Ficus auriculata) thu hái tại Đồng Nai, Dak Lak, Huế</v>
          </cell>
          <cell r="G306" t="str">
            <v>Nguyễn Khắc Duy 22128009</v>
          </cell>
          <cell r="H306" t="str">
            <v xml:space="preserve">Nguyễn Khắc Duy </v>
          </cell>
          <cell r="I306" t="str">
            <v>CN Hóa học &amp; Thực phẩm</v>
          </cell>
          <cell r="J306" t="str">
            <v>22128009</v>
          </cell>
          <cell r="K306" t="str">
            <v>Nguyễn Phạm Phương Anh 22128003
Lê Ngọc Minh Thư 22128072</v>
          </cell>
          <cell r="L306" t="str">
            <v>Nguyễn Linh Nhâm</v>
          </cell>
          <cell r="M306" t="str">
            <v>Khoa CNHH&amp;TP</v>
          </cell>
          <cell r="N306" t="str">
            <v>nhamnl@hcmute.edu.vn</v>
          </cell>
          <cell r="O306" t="str">
            <v>01 Báo cáo tổng kết</v>
          </cell>
        </row>
        <row r="307">
          <cell r="B307" t="str">
            <v>SV2026-321</v>
          </cell>
          <cell r="C307" t="str">
            <v>v</v>
          </cell>
          <cell r="D307" t="str">
            <v>X</v>
          </cell>
          <cell r="E307"/>
          <cell r="F307" t="str">
            <v>Tổng hợp vật liệu carbon dots bằng phương pháp nhiệt phân pha rắn ứng dụng làm cảm biến hóa học để phát hiện chất màu hữu cơ Neutral Red</v>
          </cell>
          <cell r="G307" t="str">
            <v>Nguyễn Kiều Lan 23128023</v>
          </cell>
          <cell r="H307" t="str">
            <v xml:space="preserve">Nguyễn Kiều Lan </v>
          </cell>
          <cell r="I307" t="str">
            <v>CN Hóa học &amp; Thực phẩm</v>
          </cell>
          <cell r="J307" t="str">
            <v>23128023</v>
          </cell>
          <cell r="K307">
            <v>0</v>
          </cell>
          <cell r="L307" t="str">
            <v>Nguyễn Thiên Phúc</v>
          </cell>
          <cell r="M307" t="str">
            <v>Khoa CNHH&amp;TP</v>
          </cell>
          <cell r="N307" t="str">
            <v>phucnt@hcmute.edu.vn</v>
          </cell>
          <cell r="O307" t="str">
            <v>01 Báo cáo tổng kết</v>
          </cell>
        </row>
        <row r="308">
          <cell r="B308" t="str">
            <v>SV2026-322</v>
          </cell>
          <cell r="C308" t="str">
            <v>v</v>
          </cell>
          <cell r="D308" t="str">
            <v>X</v>
          </cell>
          <cell r="E308"/>
          <cell r="F308" t="str">
            <v>Khảo sát và so sánh thành phần hóa học của thân cây vả (Ficus auriculata) thu hái tại Đồng Nai, Đắk Lắk, Huế</v>
          </cell>
          <cell r="G308" t="str">
            <v>Nguyễn Phạm Hoài Bảo 22128004</v>
          </cell>
          <cell r="H308" t="str">
            <v xml:space="preserve">Nguyễn Phạm Hoài Bảo </v>
          </cell>
          <cell r="I308" t="str">
            <v>CN Hóa học &amp; Thực phẩm</v>
          </cell>
          <cell r="J308" t="str">
            <v>22128004</v>
          </cell>
          <cell r="K308" t="str">
            <v>Vũ Nguyễn Đình Bình 22128006
Nguyễn Văn Hậu 22128019</v>
          </cell>
          <cell r="L308" t="str">
            <v>Nguyễn Linh Nhâm</v>
          </cell>
          <cell r="M308" t="str">
            <v>Khoa CNHH&amp;TP</v>
          </cell>
          <cell r="N308" t="str">
            <v>nhamnl@hcmute.edu.vn</v>
          </cell>
          <cell r="O308" t="str">
            <v>01 Báo cáo tổng kết</v>
          </cell>
        </row>
        <row r="309">
          <cell r="B309" t="str">
            <v>SV2026-323</v>
          </cell>
          <cell r="C309" t="str">
            <v>v</v>
          </cell>
          <cell r="D309" t="str">
            <v>X</v>
          </cell>
          <cell r="E309"/>
          <cell r="F309" t="str">
            <v>Tổng hợp và đánh giá hiệu quả của vật liệu đất sét kết hợp bùn thải và bã đậu trong xử lý nước thải dệt nhuộm</v>
          </cell>
          <cell r="G309" t="str">
            <v>Nguyễn Quốc Duy 23150026</v>
          </cell>
          <cell r="H309" t="str">
            <v xml:space="preserve">Nguyễn Quốc Duy </v>
          </cell>
          <cell r="I309" t="str">
            <v>CN Hóa học &amp; Thực phẩm</v>
          </cell>
          <cell r="J309" t="str">
            <v>23150026</v>
          </cell>
          <cell r="K309" t="str">
            <v>Nguyễn Anh Quốc 23150059
Lê Thanh Tuấn 23150070</v>
          </cell>
          <cell r="L309" t="str">
            <v>Nguyễn Duy Đạt</v>
          </cell>
          <cell r="M309" t="str">
            <v>Khoa CNHH&amp;TP</v>
          </cell>
          <cell r="N309" t="str">
            <v>datnd@hcmute.edu.vn</v>
          </cell>
          <cell r="O309" t="str">
            <v>01 Báo cáo tổng kết</v>
          </cell>
        </row>
        <row r="310">
          <cell r="B310" t="str">
            <v>SV2026-324</v>
          </cell>
          <cell r="C310" t="str">
            <v>R</v>
          </cell>
          <cell r="D310" t="str">
            <v>X</v>
          </cell>
          <cell r="E310"/>
          <cell r="F310" t="str">
            <v>Thiết kế bộ điều khiển PID ổn định thiết bị phản ứng khuấy trộn liên tục tổng hợp glycerol (C3H6O2) từ phản ứng hydrat hóa 2,3-expoxy-1-propanol (C3H8O3)</v>
          </cell>
          <cell r="G310" t="str">
            <v>Nguyễn Thành Thắng 23128170</v>
          </cell>
          <cell r="H310" t="str">
            <v xml:space="preserve">Nguyễn Thành Thắng </v>
          </cell>
          <cell r="I310" t="str">
            <v>CN Hóa học &amp; Thực phẩm</v>
          </cell>
          <cell r="J310" t="str">
            <v>23128170</v>
          </cell>
          <cell r="K310" t="str">
            <v>Đặng Đức Nghĩa 23128138</v>
          </cell>
          <cell r="L310" t="str">
            <v>Nguyễn Thanh Sang</v>
          </cell>
          <cell r="M310" t="str">
            <v>Khoa CNHH&amp;TP</v>
          </cell>
          <cell r="N310" t="str">
            <v>ntsang@hcmute.edu.vn</v>
          </cell>
          <cell r="O310" t="str">
            <v>01 Báo cáo tổng kết</v>
          </cell>
        </row>
        <row r="311">
          <cell r="B311" t="str">
            <v>SV2026-325</v>
          </cell>
          <cell r="C311" t="str">
            <v>v</v>
          </cell>
          <cell r="D311" t="str">
            <v>X</v>
          </cell>
          <cell r="E311"/>
          <cell r="F311" t="str">
            <v>Tổng hợp vật liệu carbon dots bằng phương pháp sử dụng microwave hỗ trợ ứng dụng làm cảm biến hóa học để phát hiện chất màu thực phẩm</v>
          </cell>
          <cell r="G311" t="str">
            <v>Nguyễn Thanh Tuyền  23128188</v>
          </cell>
          <cell r="H311" t="str">
            <v xml:space="preserve">Nguyễn Thanh Tuyền  </v>
          </cell>
          <cell r="I311" t="str">
            <v>CN Hóa học &amp; Thực phẩm</v>
          </cell>
          <cell r="J311" t="str">
            <v>23128188</v>
          </cell>
          <cell r="K311">
            <v>0</v>
          </cell>
          <cell r="L311" t="str">
            <v>Đặng Đình Khôi</v>
          </cell>
          <cell r="M311" t="str">
            <v>Khoa CNHH&amp;TP</v>
          </cell>
          <cell r="N311" t="str">
            <v>khoidd@hcmute.edu.vn</v>
          </cell>
          <cell r="O311" t="str">
            <v>01 Báo cáo tổng kết</v>
          </cell>
        </row>
        <row r="312">
          <cell r="B312" t="str">
            <v>SV2026-326</v>
          </cell>
          <cell r="C312" t="str">
            <v>v</v>
          </cell>
          <cell r="D312" t="str">
            <v>X</v>
          </cell>
          <cell r="E312" t="str">
            <v>x</v>
          </cell>
          <cell r="F312" t="str">
            <v>Nghiên cứu chế tạo và đánh giá hiệu quả xử lý nước thải sinh hoạt của bể lọc màng sinh học (MBR)</v>
          </cell>
          <cell r="G312" t="str">
            <v>Nguyễn Thị Bảo Ngọc 23150048</v>
          </cell>
          <cell r="H312" t="str">
            <v xml:space="preserve">Nguyễn Thị Bảo Ngọc </v>
          </cell>
          <cell r="I312" t="str">
            <v>CN Hóa học &amp; Thực phẩm</v>
          </cell>
          <cell r="J312" t="str">
            <v>23150048</v>
          </cell>
          <cell r="K312" t="str">
            <v>Nguyễn Chí Thanh 23150061
Nguyễn Khương Duy 23150025</v>
          </cell>
          <cell r="L312" t="str">
            <v>Trần Thị Kim Anh</v>
          </cell>
          <cell r="M312" t="str">
            <v>Khoa CNHH&amp;TP</v>
          </cell>
          <cell r="N312" t="str">
            <v>anhttk@hcmute.edu.vn</v>
          </cell>
          <cell r="O312" t="str">
            <v>01 bản vẽ 3D
01 mô hình bể MBR
Báo cáo tổng kết</v>
          </cell>
        </row>
        <row r="313">
          <cell r="B313" t="str">
            <v>SV2026-327</v>
          </cell>
          <cell r="C313" t="str">
            <v>v</v>
          </cell>
          <cell r="D313" t="str">
            <v>X</v>
          </cell>
          <cell r="E313"/>
          <cell r="F313" t="str">
            <v>Thiết kế, xây dựng mô hình bể keo tụ - tạo bông kết hợp bể lắng nhanh và xác định các thông số vận hành tối ưu xử lý nước sông Đồng Nai</v>
          </cell>
          <cell r="G313" t="str">
            <v>Nguyễn Thị Phương Linh 24150032</v>
          </cell>
          <cell r="H313" t="str">
            <v xml:space="preserve">Nguyễn Thị Phương Linh </v>
          </cell>
          <cell r="I313" t="str">
            <v>CN Hóa học &amp; Thực phẩm</v>
          </cell>
          <cell r="J313" t="str">
            <v>24150032</v>
          </cell>
          <cell r="K313" t="str">
            <v>Nguyễn Trần Ngọc Minh 24150034
Nguyễn Bảo Ngân 24150036
Nguyễn Trung Nghĩa 24150038
Nguyễn Thế Phương 24150051</v>
          </cell>
          <cell r="L313" t="str">
            <v>Nguyễn Duy Đạt</v>
          </cell>
          <cell r="M313" t="str">
            <v>Khoa CNHH&amp;TP</v>
          </cell>
          <cell r="N313" t="str">
            <v>datnd@hcmute.edu.vn</v>
          </cell>
          <cell r="O313" t="str">
            <v>01 bản vẽ 3D
01 Mô hình bể keo tụ, tạo bông kết hợp bể lắng bằng nhựa acrylic
01 Báo cáo tổng kết</v>
          </cell>
        </row>
        <row r="314">
          <cell r="B314" t="str">
            <v>SV2026-328</v>
          </cell>
          <cell r="C314" t="str">
            <v>v</v>
          </cell>
          <cell r="D314" t="str">
            <v>X</v>
          </cell>
          <cell r="E314"/>
          <cell r="F314" t="str">
            <v xml:space="preserve">Thiết kế và xây dựng mô hình của hệ thống lọc nhanh kết hợp khử trùng quy mô phòng thí nghiệm và xác định các thông số vận hành tối ưu xử lý nước sông Đồng Nai </v>
          </cell>
          <cell r="G314" t="str">
            <v>Nguyễn Văn Bách 24150005</v>
          </cell>
          <cell r="H314" t="str">
            <v xml:space="preserve">Nguyễn Văn Bách </v>
          </cell>
          <cell r="I314" t="str">
            <v>CN Hóa học &amp; Thực phẩm</v>
          </cell>
          <cell r="J314" t="str">
            <v>24150005</v>
          </cell>
          <cell r="K314" t="str">
            <v>Đoàn Huỳnh Mai Thảo 24150061
Hà Thị Phương Trang 24150073
Lê Thị Cát Văn 24150081</v>
          </cell>
          <cell r="L314" t="str">
            <v>Nguyễn Duy Đạt</v>
          </cell>
          <cell r="M314" t="str">
            <v>Khoa CNHH&amp;TP</v>
          </cell>
          <cell r="N314" t="str">
            <v>datnd@hcmute.edu.vn</v>
          </cell>
          <cell r="O314" t="str">
            <v>01 bản vẽ 3D
01 Mô hình bể lọc nhanh, hệ thống khử trùng bằng nhựa acrylic
01 Báo cáo tổng kết</v>
          </cell>
        </row>
        <row r="315">
          <cell r="B315" t="str">
            <v>SV2026-329</v>
          </cell>
          <cell r="C315" t="str">
            <v>v</v>
          </cell>
          <cell r="D315" t="str">
            <v>X</v>
          </cell>
          <cell r="E315"/>
          <cell r="F315" t="str">
            <v>Nghiên cứu chế tạo màng bọc thực phẩm có khả năng đổi màu giúp nhận diện thực phẩm hư hỏng</v>
          </cell>
          <cell r="G315" t="str">
            <v>Phan Đăng Bảo 23128091</v>
          </cell>
          <cell r="H315" t="str">
            <v xml:space="preserve">Phan Đăng Bảo </v>
          </cell>
          <cell r="I315" t="str">
            <v>CN Hóa học &amp; Thực phẩm</v>
          </cell>
          <cell r="J315" t="str">
            <v>23128091</v>
          </cell>
          <cell r="K315" t="str">
            <v>Nguyễn Trường Giang 23128108
Lê Thị Mỹ Phương 23128048
Đào Bùi Thiên Quang 23128158</v>
          </cell>
          <cell r="L315" t="str">
            <v>Nguyễn Văn Quý</v>
          </cell>
          <cell r="M315" t="str">
            <v>Khoa CNHH&amp;TP</v>
          </cell>
          <cell r="N315" t="str">
            <v>quynv@hcmute.edu.vn</v>
          </cell>
          <cell r="O315" t="str">
            <v>01 Báo cáo tổng kết</v>
          </cell>
        </row>
        <row r="316">
          <cell r="B316" t="str">
            <v>SV2026-330</v>
          </cell>
          <cell r="C316" t="str">
            <v>v</v>
          </cell>
          <cell r="D316" t="str">
            <v>X</v>
          </cell>
          <cell r="E316"/>
          <cell r="F316" t="str">
            <v>Khảo sát và so sánh thành phần hóa học của lá cây vả (Ficus ariculata) thu hái tại Đồng Nai, Đắk Lắk, Huế</v>
          </cell>
          <cell r="G316" t="str">
            <v>Phan Nguyễn Anh Khoa 22128038</v>
          </cell>
          <cell r="H316" t="str">
            <v xml:space="preserve">Phan Nguyễn Anh Khoa </v>
          </cell>
          <cell r="I316" t="str">
            <v>CN Hóa học &amp; Thực phẩm</v>
          </cell>
          <cell r="J316" t="str">
            <v>22128038</v>
          </cell>
          <cell r="K316" t="str">
            <v>Trương Phát Huy 22128028
Nguyễn Đình Khánh Ngân 22128046
Võ Phương Quyên 22128064</v>
          </cell>
          <cell r="L316" t="str">
            <v>Nguyễn Linh Nhâm</v>
          </cell>
          <cell r="M316" t="str">
            <v>Khoa CNHH&amp;TP</v>
          </cell>
          <cell r="N316" t="str">
            <v>nhamnl@hcmute.edu.vn</v>
          </cell>
          <cell r="O316" t="str">
            <v>01 Báo cáo tổng kết</v>
          </cell>
        </row>
        <row r="317">
          <cell r="B317" t="str">
            <v>SV2026-331</v>
          </cell>
          <cell r="C317" t="str">
            <v>v</v>
          </cell>
          <cell r="D317" t="str">
            <v>X</v>
          </cell>
          <cell r="E317" t="str">
            <v>x</v>
          </cell>
          <cell r="F317" t="str">
            <v>Tổng hợp vật liệu carbon dots bằng phương pháp nhiệt phân pha rắn phát quang trong dung dịch và dạng rắn ứng dụng làm mực in phát quang</v>
          </cell>
          <cell r="G317" t="str">
            <v>Lê Hoàng Vân 24128214</v>
          </cell>
          <cell r="H317" t="str">
            <v xml:space="preserve">Lê Hoàng Vân </v>
          </cell>
          <cell r="I317" t="str">
            <v>CN Hóa học &amp; Thực phẩm</v>
          </cell>
          <cell r="J317" t="str">
            <v>24128214</v>
          </cell>
          <cell r="K317" t="str">
            <v>Phùng Minh Vương 24128218
Tô Thành Nhân 22128052</v>
          </cell>
          <cell r="L317" t="str">
            <v>Nguyễn Thiên Phúc</v>
          </cell>
          <cell r="M317" t="str">
            <v>Khoa CNHH&amp;TP</v>
          </cell>
          <cell r="N317" t="str">
            <v>phucnt@hcmute.edu.vn</v>
          </cell>
          <cell r="O317" t="str">
            <v>01 Báo cáo tổng kết</v>
          </cell>
        </row>
        <row r="318">
          <cell r="B318" t="str">
            <v>SV2026-332</v>
          </cell>
          <cell r="C318" t="str">
            <v>R (thay trang 1 TM)</v>
          </cell>
          <cell r="D318"/>
          <cell r="E318"/>
          <cell r="F318" t="str">
            <v>Khảo sát quá trình tách polysaccharide từ nấm linh chi trúc bằng phương pháp trích ly hai pha nước</v>
          </cell>
          <cell r="G318" t="str">
            <v>Trần Hùng Vương 23128193</v>
          </cell>
          <cell r="H318" t="str">
            <v xml:space="preserve">Trần Hùng Vương </v>
          </cell>
          <cell r="I318" t="str">
            <v>CN Hóa học &amp; Thực phẩm</v>
          </cell>
          <cell r="J318" t="str">
            <v>23128193</v>
          </cell>
          <cell r="K318">
            <v>0</v>
          </cell>
          <cell r="L318" t="str">
            <v>Phan Thị Anh Đào</v>
          </cell>
          <cell r="M318" t="str">
            <v>Khoa CNHH&amp;TP</v>
          </cell>
          <cell r="N318" t="str">
            <v>daopta@hcmute.edu.vn</v>
          </cell>
          <cell r="O318" t="str">
            <v>01 Báo cáo tổng kết</v>
          </cell>
        </row>
        <row r="319">
          <cell r="B319" t="str">
            <v>SV2026-333</v>
          </cell>
          <cell r="C319" t="str">
            <v>v</v>
          </cell>
          <cell r="D319" t="str">
            <v>X</v>
          </cell>
          <cell r="E319"/>
          <cell r="F319" t="str">
            <v>Xác định một số tính chất lý hóa của polysaccharide trích ly từ nấm linh chi trúc (Ganoderma neo-japonicum)</v>
          </cell>
          <cell r="G319" t="str">
            <v>Trịnh Phước Hậu 23128014</v>
          </cell>
          <cell r="H319" t="str">
            <v xml:space="preserve">Trịnh Phước Hậu </v>
          </cell>
          <cell r="I319" t="str">
            <v>CN Hóa học &amp; Thực phẩm</v>
          </cell>
          <cell r="J319" t="str">
            <v>23128014</v>
          </cell>
          <cell r="K319" t="str">
            <v>Tăng Kim Thúy An 23128001</v>
          </cell>
          <cell r="L319" t="str">
            <v>Phan Thị Anh Đào</v>
          </cell>
          <cell r="M319" t="str">
            <v>Khoa CNHH&amp;TP</v>
          </cell>
          <cell r="N319" t="str">
            <v>daopta@hcmute.edu.vn</v>
          </cell>
          <cell r="O319" t="str">
            <v>01 Báo cáo tổng kết</v>
          </cell>
        </row>
        <row r="320">
          <cell r="B320" t="str">
            <v>SV2026-334</v>
          </cell>
          <cell r="C320" t="str">
            <v>v</v>
          </cell>
          <cell r="D320" t="str">
            <v>X</v>
          </cell>
          <cell r="E320"/>
          <cell r="F320" t="str">
            <v>Chế tạo cảm biến cơ học biến dạng trên cơ sở vật liệu graphene oxide khử</v>
          </cell>
          <cell r="G320" t="str">
            <v>Võ Quang Trường 23128073</v>
          </cell>
          <cell r="H320" t="str">
            <v xml:space="preserve">Võ Quang Trường </v>
          </cell>
          <cell r="I320" t="str">
            <v>CN Hóa học &amp; Thực phẩm</v>
          </cell>
          <cell r="J320" t="str">
            <v>23128073</v>
          </cell>
          <cell r="K320" t="str">
            <v>Trần Tấn Đạt 23128009</v>
          </cell>
          <cell r="L320" t="str">
            <v>Lý Tấn Nhiệm</v>
          </cell>
          <cell r="M320" t="str">
            <v>Khoa CNHH&amp;TP</v>
          </cell>
          <cell r="N320" t="str">
            <v>nhiemlt@hcmute.edu.vn</v>
          </cell>
          <cell r="O320" t="str">
            <v>01 Báo cáo tổng kết</v>
          </cell>
        </row>
        <row r="321">
          <cell r="B321" t="str">
            <v>SV2026-335</v>
          </cell>
          <cell r="C321" t="str">
            <v>v</v>
          </cell>
          <cell r="D321"/>
          <cell r="E321"/>
          <cell r="F321" t="str">
            <v>Bào chế gel bôi da chứa liposome mang dịch chiết hoa Kim ngân (Lonicera japonica) ứng dụng chống lão hóa da</v>
          </cell>
          <cell r="G321" t="str">
            <v>Võ Văn Tình 22128075</v>
          </cell>
          <cell r="H321" t="str">
            <v xml:space="preserve">Võ Văn Tình </v>
          </cell>
          <cell r="I321" t="str">
            <v>CN Hóa học &amp; Thực phẩm</v>
          </cell>
          <cell r="J321" t="str">
            <v>22128075</v>
          </cell>
          <cell r="K321" t="str">
            <v>Nguyễn Thị Thanh Hiền 23128113
Lày Võ Thanh Thanh 23128166</v>
          </cell>
          <cell r="L321" t="str">
            <v>Nguyễn Văn Quý</v>
          </cell>
          <cell r="M321" t="str">
            <v>Khoa CNHH&amp;TP</v>
          </cell>
          <cell r="N321" t="str">
            <v>quynv@hcmute.edu.vn</v>
          </cell>
          <cell r="O321" t="str">
            <v>01 Bài báo khoa học đăng trên tạp chí trong nước trong danh mục của HĐ GSNN tính từ 0,5 điểm trở lên; hoặc bài báo đăng trên tạp chí quốc tế có chỉ số xuất bản ISSN; 
01 Báo cáo tổng kết</v>
          </cell>
        </row>
        <row r="322">
          <cell r="B322" t="str">
            <v>SV2026-336</v>
          </cell>
          <cell r="C322" t="str">
            <v>v</v>
          </cell>
          <cell r="D322" t="str">
            <v>X</v>
          </cell>
          <cell r="E322"/>
          <cell r="F322" t="str">
            <v>Nghiên cứu quá trình lên men trà Kombucha phụ phẩm mắt dứa</v>
          </cell>
          <cell r="G322" t="str">
            <v>Võ Thị Anh Thư 23116229</v>
          </cell>
          <cell r="H322" t="str">
            <v xml:space="preserve">Võ Thị Anh Thư </v>
          </cell>
          <cell r="I322" t="str">
            <v>CN Hóa học &amp; Thực phẩm</v>
          </cell>
          <cell r="J322" t="str">
            <v>23116229</v>
          </cell>
          <cell r="K322" t="str">
            <v>Nguyễn Ngọc Huyên 23116163
Trần Thị Tâm Như 23116198
Lê Phan Minh Thư 23116226
Hồ Quỳnh Trang 23116232</v>
          </cell>
          <cell r="L322" t="str">
            <v>Phạm Khánh Dung</v>
          </cell>
          <cell r="M322" t="str">
            <v>Khoa CNHH&amp;TP</v>
          </cell>
          <cell r="N322" t="str">
            <v>dungpk@hcmute.edu.vn</v>
          </cell>
          <cell r="O322" t="str">
            <v>01 Báo cáo tổng kết</v>
          </cell>
        </row>
        <row r="323">
          <cell r="B323" t="str">
            <v>SV2026-337</v>
          </cell>
          <cell r="C323" t="str">
            <v>v</v>
          </cell>
          <cell r="D323" t="str">
            <v>X</v>
          </cell>
          <cell r="E323"/>
          <cell r="F323" t="str">
            <v>Nghiên cứu tổng hợp hạt nano carbon dots trên nền màng polymer PVA/Chitosan cho ứng dụng công nghệ bảo quản thực phẩm</v>
          </cell>
          <cell r="G323" t="str">
            <v>Vũ Thông Phú 23128153</v>
          </cell>
          <cell r="H323" t="str">
            <v xml:space="preserve">Vũ Thông Phú </v>
          </cell>
          <cell r="I323" t="str">
            <v>CN Hóa học &amp; Thực phẩm</v>
          </cell>
          <cell r="J323" t="str">
            <v>23128153</v>
          </cell>
          <cell r="K323" t="str">
            <v xml:space="preserve">Phạm Thị Lan Anh 23128004
Lê Thị Yến 22128212
Ngô Gia Ánh Vy 22128210 </v>
          </cell>
          <cell r="L323" t="str">
            <v xml:space="preserve">Trần Thị Nhung </v>
          </cell>
          <cell r="M323" t="str">
            <v>Khoa CNHH&amp;TP</v>
          </cell>
          <cell r="N323" t="str">
            <v>nhungtt@hcmute.edu.vn</v>
          </cell>
          <cell r="O323" t="str">
            <v>01 Báo cáo tổng kết</v>
          </cell>
        </row>
        <row r="324">
          <cell r="B324" t="str">
            <v>SV2026-338</v>
          </cell>
          <cell r="C324" t="str">
            <v>v</v>
          </cell>
          <cell r="D324" t="str">
            <v>X</v>
          </cell>
          <cell r="E324" t="str">
            <v>x</v>
          </cell>
          <cell r="F324" t="str">
            <v>Tổng hợp vật liệu từ tính nickel ferrite NiFe2O4 pha tạp đất hiếm holmium bằng phương pháp sol-gel và ứng dụng làm xúc tác oxy hóa malachite green</v>
          </cell>
          <cell r="G324" t="str">
            <v>Ngô Thị Kim Thanh 23128167</v>
          </cell>
          <cell r="H324" t="str">
            <v xml:space="preserve">Ngô Thị Kim Thanh </v>
          </cell>
          <cell r="I324" t="str">
            <v>CN Hóa học &amp; Thực phẩm</v>
          </cell>
          <cell r="J324" t="str">
            <v>23128167</v>
          </cell>
          <cell r="K324" t="str">
            <v>Phan Thị Nhật Quyên 23128161</v>
          </cell>
          <cell r="L324" t="str">
            <v>Nguyễn Vinh Tiến</v>
          </cell>
          <cell r="M324" t="str">
            <v>Khoa CNHH&amp;TP</v>
          </cell>
          <cell r="N324" t="str">
            <v>tiennv@hcmute.edu.vn</v>
          </cell>
          <cell r="O324" t="str">
            <v>01 Báo cáo tổng kết</v>
          </cell>
        </row>
        <row r="325">
          <cell r="B325" t="str">
            <v>SV2026-339</v>
          </cell>
          <cell r="C325" t="str">
            <v>v</v>
          </cell>
          <cell r="D325" t="str">
            <v>X</v>
          </cell>
          <cell r="E325"/>
          <cell r="F325" t="str">
            <v>Điều chế, đánh giá khả năng hấp phụ và quang xúc tác loại bỏ thuốc nhuộm của vật liệu CoFe2O4 pha tạp đất hiếm</v>
          </cell>
          <cell r="G325" t="str">
            <v>Vũ Đăng Khoa 23128021</v>
          </cell>
          <cell r="H325" t="str">
            <v xml:space="preserve">Vũ Đăng Khoa </v>
          </cell>
          <cell r="I325" t="str">
            <v>CN Hóa học &amp; Thực phẩm</v>
          </cell>
          <cell r="J325" t="str">
            <v>23128021</v>
          </cell>
          <cell r="K325" t="str">
            <v>Nguyễn Duy Khánh 23128018
Dương Ngọc Hân 23128013
Mai Thụy Minh Thư 23128061</v>
          </cell>
          <cell r="L325" t="str">
            <v>Nguyễn Vinh Tiến</v>
          </cell>
          <cell r="M325" t="str">
            <v>Khoa CNHH&amp;TP</v>
          </cell>
          <cell r="N325" t="str">
            <v>tiennv@hcmute.edu.vn</v>
          </cell>
          <cell r="O325" t="str">
            <v>01 Báo cáo tổng kết</v>
          </cell>
        </row>
        <row r="326">
          <cell r="B326" t="str">
            <v>SV2026-340</v>
          </cell>
          <cell r="C326" t="str">
            <v>v</v>
          </cell>
          <cell r="D326" t="str">
            <v>X</v>
          </cell>
          <cell r="E326"/>
          <cell r="F326" t="str">
            <v>Tổng hợp NiErxFe2-xO4 bằng phương pháp đồng kết tủa và ứng dụng quang xúc tác trong phản ứng phân hủy Rhodamine B.</v>
          </cell>
          <cell r="G326" t="str">
            <v>Đinh Thị Huyền Chí 23128096</v>
          </cell>
          <cell r="H326" t="str">
            <v xml:space="preserve">Đinh Thị Huyền Chí </v>
          </cell>
          <cell r="I326" t="str">
            <v>CN Hóa học &amp; Thực phẩm</v>
          </cell>
          <cell r="J326" t="str">
            <v>23128096</v>
          </cell>
          <cell r="K326" t="str">
            <v>Võ Thị Thảo Vy 23128196</v>
          </cell>
          <cell r="L326" t="str">
            <v>Nguyễn Vinh Tiến</v>
          </cell>
          <cell r="M326" t="str">
            <v>Khoa CNHH&amp;TP</v>
          </cell>
          <cell r="N326" t="str">
            <v>tiennv@hcmute.edu.vn</v>
          </cell>
          <cell r="O326" t="str">
            <v>01 Báo cáo tổng kết</v>
          </cell>
        </row>
        <row r="327">
          <cell r="B327" t="str">
            <v>SV2026-341</v>
          </cell>
          <cell r="C327" t="str">
            <v>v</v>
          </cell>
          <cell r="D327" t="str">
            <v>X</v>
          </cell>
          <cell r="E327"/>
          <cell r="F327" t="str">
            <v>Xác định tần số riêng của kết cấu bằng thí nghiệm kết hợp mô phỏng số</v>
          </cell>
          <cell r="G327" t="str">
            <v>Lê Tấn Đạt 23149189</v>
          </cell>
          <cell r="H327" t="str">
            <v xml:space="preserve">Lê Tấn Đạt </v>
          </cell>
          <cell r="I327" t="str">
            <v>Xây dựng</v>
          </cell>
          <cell r="J327" t="str">
            <v>23149189</v>
          </cell>
          <cell r="K327" t="str">
            <v xml:space="preserve">Phạm Lê Sông Hương 23155022
</v>
          </cell>
          <cell r="L327" t="str">
            <v>Bùi Phạm Đức Tường</v>
          </cell>
          <cell r="M327" t="str">
            <v>Khoa Xây Dựng</v>
          </cell>
          <cell r="N327" t="str">
            <v xml:space="preserve">tuongbpd@hcmute.edu.vn </v>
          </cell>
          <cell r="O327" t="str">
            <v xml:space="preserve">01 Báo cáo tổng kết
01 Mô hình MTLD   </v>
          </cell>
        </row>
        <row r="328">
          <cell r="B328" t="str">
            <v>SV2026-342</v>
          </cell>
          <cell r="C328" t="str">
            <v>v</v>
          </cell>
          <cell r="D328"/>
          <cell r="E328"/>
          <cell r="F328" t="str">
            <v xml:space="preserve">Ứng dụng học máy dự đoán hư hại kết cấu dưới tác dụng tải trọng động đất </v>
          </cell>
          <cell r="G328" t="str">
            <v>Hà Ngọc Minh Thư 23155065</v>
          </cell>
          <cell r="H328" t="str">
            <v xml:space="preserve">Hà Ngọc Minh Thư </v>
          </cell>
          <cell r="I328" t="str">
            <v>Xây dựng</v>
          </cell>
          <cell r="J328" t="str">
            <v>23155065</v>
          </cell>
          <cell r="K328" t="str">
            <v>Nguyễn Xuân Nhi 23155038
Hồ Thị Ngọc Trâm 23155068
Phan Mai Ngọc Tú 23155077
Trần Hoàng Đăng 23155012</v>
          </cell>
          <cell r="L328" t="str">
            <v>Bùi Phạm Đức Tường</v>
          </cell>
          <cell r="M328" t="str">
            <v>Khoa Xây Dựng</v>
          </cell>
          <cell r="N328" t="str">
            <v xml:space="preserve">tuongbpd@hcmute.edu.vn </v>
          </cell>
          <cell r="O328" t="str">
            <v xml:space="preserve">01 Báo cáo tổng kết
  </v>
          </cell>
        </row>
        <row r="329">
          <cell r="B329" t="str">
            <v>SV2026-344</v>
          </cell>
          <cell r="C329" t="str">
            <v>v</v>
          </cell>
          <cell r="D329" t="str">
            <v>X</v>
          </cell>
          <cell r="E329" t="str">
            <v>x</v>
          </cell>
          <cell r="F329" t="str">
            <v>Ứng dụng AI và mô hình hệ thống động trong đánh giá tác động quy hoạch nhà cao tầng đến giao thông nội đô khu vực TP. Hồ Chí Minh</v>
          </cell>
          <cell r="G329" t="str">
            <v>Trần Đặng Ngọc Khuê 23155028</v>
          </cell>
          <cell r="H329" t="str">
            <v xml:space="preserve">Trần Đặng Ngọc Khuê </v>
          </cell>
          <cell r="I329" t="str">
            <v>Xây dựng</v>
          </cell>
          <cell r="J329" t="str">
            <v>23155028</v>
          </cell>
          <cell r="K329" t="str">
            <v>Phan Thanh Cường 23155004
Nguyễn Thành Linh 23155030
Huỳnh Ngọc Phúc 23155044
Lê Yên 23155081</v>
          </cell>
          <cell r="L329" t="str">
            <v>Nguyễn Văn Tiếp</v>
          </cell>
          <cell r="M329" t="str">
            <v>Khoa Xây Dựng</v>
          </cell>
          <cell r="N329" t="str">
            <v xml:space="preserve">tiepnv@hcmute.edu.vn </v>
          </cell>
          <cell r="O329" t="str">
            <v xml:space="preserve">01 Báo cáo tổng kết
01 bài báo được đăng trên các tạp chí uy tín trong nước nằm trong danh mục của Hội đồng giáo sư nhà nước tính điểm tối thiểu 0,5 điểm. </v>
          </cell>
        </row>
        <row r="330">
          <cell r="B330" t="str">
            <v>SV2026-345</v>
          </cell>
          <cell r="C330" t="str">
            <v>v</v>
          </cell>
          <cell r="D330" t="str">
            <v>X</v>
          </cell>
          <cell r="E330" t="str">
            <v>x</v>
          </cell>
          <cell r="F330" t="str">
            <v>Đánh giá thực trạng và khả năng ứng dụng của trí tuệ nhân tạo (AI) trong quản lý hợp đồng xây dựng.</v>
          </cell>
          <cell r="G330" t="str">
            <v>Nguyễn Trọng Phúc 23155047</v>
          </cell>
          <cell r="H330" t="str">
            <v xml:space="preserve">Nguyễn Trọng Phúc </v>
          </cell>
          <cell r="I330" t="str">
            <v>Xây dựng</v>
          </cell>
          <cell r="J330" t="str">
            <v>23155047</v>
          </cell>
          <cell r="K330" t="str">
            <v>Phạm Ngọc Tấn Phát 23155041
Thái Đức Tịnh 23155066
Ngô Đức Phong 23155043
Trương Chí Dũng 23155008</v>
          </cell>
          <cell r="L330" t="str">
            <v>Hà Duy Khánh</v>
          </cell>
          <cell r="M330" t="str">
            <v>Khoa Xây Dựng</v>
          </cell>
          <cell r="N330" t="str">
            <v xml:space="preserve">khanhhd@hcmute.edu.vn </v>
          </cell>
          <cell r="O330" t="str">
            <v xml:space="preserve">01 Báo cáo tổng kết
01 bài báo được đăng trên các tạp chí uy tín trong ước nằm trong danh mục của Hội đồng giáo sư nhà nước tính điểm tối thiểu 0.5 điểm. </v>
          </cell>
        </row>
        <row r="331">
          <cell r="B331" t="str">
            <v>SV2026-347</v>
          </cell>
          <cell r="C331" t="str">
            <v>v</v>
          </cell>
          <cell r="D331" t="str">
            <v>X</v>
          </cell>
          <cell r="E331"/>
          <cell r="F331" t="str">
            <v>Nghiên cứu tổ chức không gian kiến trúc và khả năng thích ứng của chợ truyền thống trong bối cảnh đô thị đương đại</v>
          </cell>
          <cell r="G331" t="str">
            <v>Lê Thùy Trang 24157067</v>
          </cell>
          <cell r="H331" t="str">
            <v xml:space="preserve">Lê Thùy Trang </v>
          </cell>
          <cell r="I331" t="str">
            <v>Xây dựng</v>
          </cell>
          <cell r="J331" t="str">
            <v>24157067</v>
          </cell>
          <cell r="K331" t="str">
            <v>Nguyễn Minh Thuận 24157061
Trần Kha  24157015</v>
          </cell>
          <cell r="L331" t="str">
            <v>Đỗ Duy Thịnh</v>
          </cell>
          <cell r="M331" t="str">
            <v>Khoa Xây Dựng</v>
          </cell>
          <cell r="N331" t="str">
            <v xml:space="preserve">thinhdd@hcmute.edu.vn </v>
          </cell>
          <cell r="O331" t="str">
            <v>01 Báo cáo tổng kết
01 Bài báo khoa học đăng trên tạp chí trong nước trong danh mục của Hội đồng Giáo sư Nhà nước tính 0,5 điểm trở lên hoặc sản phẩm mô hình, thiết bị có hợp đồng chuyển giao công nghệ phục vụ cộng đồng.</v>
          </cell>
        </row>
        <row r="332">
          <cell r="B332" t="str">
            <v>SV2026-348</v>
          </cell>
          <cell r="C332" t="str">
            <v>v</v>
          </cell>
          <cell r="D332" t="str">
            <v>X</v>
          </cell>
          <cell r="E332" t="str">
            <v>x</v>
          </cell>
          <cell r="F332" t="str">
            <v>Nghiên cứu tác động và giải pháp đô thị thích ứng với ngập lụt tại khu vực trung tâm TP.HCM</v>
          </cell>
          <cell r="G332" t="str">
            <v>Dương Hoàng Hồng Anh 23157005</v>
          </cell>
          <cell r="H332" t="str">
            <v xml:space="preserve">Dương Hoàng Hồng Anh </v>
          </cell>
          <cell r="I332" t="str">
            <v>Xây dựng</v>
          </cell>
          <cell r="J332" t="str">
            <v>23157005</v>
          </cell>
          <cell r="K332" t="str">
            <v>Đặng Thái Thụy 22157067</v>
          </cell>
          <cell r="L332" t="str">
            <v>Đỗ Duy Thịnh</v>
          </cell>
          <cell r="M332" t="str">
            <v>Khoa Xây Dựng</v>
          </cell>
          <cell r="N332" t="str">
            <v xml:space="preserve">thinhdd@hcmute.edu.vn </v>
          </cell>
          <cell r="O332" t="str">
            <v>01 Báo cáo tổng kết
02 Bài báo khoa học đăng trên tạp chí quốc tế có chỉ số XB ISSN</v>
          </cell>
        </row>
        <row r="333">
          <cell r="B333" t="str">
            <v>SV2026-349</v>
          </cell>
          <cell r="C333" t="str">
            <v>v</v>
          </cell>
          <cell r="D333"/>
          <cell r="E333"/>
          <cell r="F333" t="str">
            <v>Mô phỏng và tối ưu hóa luồng giao thông tại nút giao thông đô thị</v>
          </cell>
          <cell r="G333" t="str">
            <v>Trần Ngân Dương 25160007</v>
          </cell>
          <cell r="H333" t="str">
            <v xml:space="preserve">Trần Ngân Dương </v>
          </cell>
          <cell r="I333" t="str">
            <v>Xây dựng</v>
          </cell>
          <cell r="J333" t="str">
            <v>25160007</v>
          </cell>
          <cell r="K333">
            <v>0</v>
          </cell>
          <cell r="L333" t="str">
            <v>Lâm Phát Thuận</v>
          </cell>
          <cell r="M333" t="str">
            <v>Khoa Xây Dựng</v>
          </cell>
          <cell r="N333" t="str">
            <v xml:space="preserve">thuanlp@hcmute.edu.vn </v>
          </cell>
          <cell r="O333" t="str">
            <v xml:space="preserve">01 Báo cáo tổng kết
01 bài báo được đăng trên các tạp chí uy tín trong ước nằm trong danh mục của Hội đồng giáo sư nhà nước tính điểm tối thiểu 0,5 điểm. </v>
          </cell>
        </row>
        <row r="334">
          <cell r="B334" t="str">
            <v>SV2026-350</v>
          </cell>
          <cell r="C334" t="str">
            <v>v</v>
          </cell>
          <cell r="D334"/>
          <cell r="E334"/>
          <cell r="F334" t="str">
            <v>Tối ưu hóa bố trí mặt bằng công trường bằng thuật toán metaheuristic</v>
          </cell>
          <cell r="G334" t="str">
            <v>Lê Nguyễn Tấn Phát 25160027</v>
          </cell>
          <cell r="H334" t="str">
            <v xml:space="preserve">Lê Nguyễn Tấn Phát </v>
          </cell>
          <cell r="I334" t="str">
            <v>Xây dựng</v>
          </cell>
          <cell r="J334" t="str">
            <v>25160027</v>
          </cell>
          <cell r="K334">
            <v>0</v>
          </cell>
          <cell r="L334" t="str">
            <v>Lâm Phát Thuận</v>
          </cell>
          <cell r="M334" t="str">
            <v>Khoa Xây Dựng</v>
          </cell>
          <cell r="N334" t="str">
            <v xml:space="preserve">thuanlp@hcmute.edu.vn </v>
          </cell>
          <cell r="O334" t="str">
            <v xml:space="preserve">01 Báo cáo tổng kết
01 bài báo được đăng trên các tạp chí uy tín trong ước nằm trong danh mục của Hội đồng giáo sư nhà nước ính điểm tối thiểu 0,5 điểm. </v>
          </cell>
        </row>
        <row r="335">
          <cell r="B335" t="str">
            <v>SV2026-351</v>
          </cell>
          <cell r="C335" t="str">
            <v>R</v>
          </cell>
          <cell r="D335" t="str">
            <v>X</v>
          </cell>
          <cell r="E335" t="str">
            <v>x</v>
          </cell>
          <cell r="F335" t="str">
            <v>Nghiên cứu ứng dụng BIM 5D trong quản lý chi phí xây dựng công trình dân dụng quy mô nhỏ tại Việt Nam - Nghiên cứu tình huống tại TP. Hồ Chí Minh</v>
          </cell>
          <cell r="G335" t="str">
            <v>Nguyễn Đình Trường 24149286</v>
          </cell>
          <cell r="H335" t="str">
            <v xml:space="preserve">Nguyễn Đình Trường </v>
          </cell>
          <cell r="I335" t="str">
            <v>Xây dựng</v>
          </cell>
          <cell r="J335" t="str">
            <v>24149286</v>
          </cell>
          <cell r="K335" t="str">
            <v>Lâm Nguyễn Phúc Thịnh 24149257
Nguyễn Ngọc Anh 24149085
Nguyễn Trung Hiếu 24149129
Trần Nguyên Quỳnh Hương 24149151</v>
          </cell>
          <cell r="L335" t="str">
            <v>Châu Thanh Hùng</v>
          </cell>
          <cell r="M335" t="str">
            <v>Khoa Xây Dựng</v>
          </cell>
          <cell r="N335" t="str">
            <v xml:space="preserve">hungct@hcmute.edu.vn </v>
          </cell>
          <cell r="O335" t="str">
            <v xml:space="preserve">01 Báo cáo tổng kết
</v>
          </cell>
        </row>
        <row r="336">
          <cell r="B336" t="str">
            <v>SV2026-352</v>
          </cell>
          <cell r="C336" t="str">
            <v>v</v>
          </cell>
          <cell r="D336"/>
          <cell r="E336"/>
          <cell r="F336" t="str">
            <v>Nghiên cứu giải pháp vật liệu xây dựng bền vững tái tạo, lấy sáng, thông gió để tiết kiệm năng lượng và tăng gắn kết cư dân trong các công trình chung cư cao tầng.</v>
          </cell>
          <cell r="G336" t="str">
            <v>Nguyễn Quốc Đạt 22140010</v>
          </cell>
          <cell r="H336" t="str">
            <v xml:space="preserve">Nguyễn Quốc Đạt </v>
          </cell>
          <cell r="I336" t="str">
            <v>Xây dựng</v>
          </cell>
          <cell r="J336" t="str">
            <v>22140010</v>
          </cell>
          <cell r="K336" t="str">
            <v>Huỳnh Tấn Lộc 22140025</v>
          </cell>
          <cell r="L336" t="str">
            <v>Châu Thanh Hùng</v>
          </cell>
          <cell r="M336" t="str">
            <v>Khoa Xây Dựng</v>
          </cell>
          <cell r="N336" t="str">
            <v xml:space="preserve">hungct@hcmute.edu.vn </v>
          </cell>
          <cell r="O336" t="str">
            <v xml:space="preserve">01 Báo cáo tổng kết
</v>
          </cell>
        </row>
        <row r="337">
          <cell r="B337" t="str">
            <v>SV2026-355</v>
          </cell>
          <cell r="C337" t="str">
            <v>v</v>
          </cell>
          <cell r="D337" t="str">
            <v>X</v>
          </cell>
          <cell r="E337"/>
          <cell r="F337" t="str">
            <v>Phân tích ứng xử uốn của tấm composite nhiều lớp sử dụng phương pháp đẳng hình học và lý thuyết biến dạng cắt bậc cao.</v>
          </cell>
          <cell r="G337" t="str">
            <v>Huỳnh Bá Học 23149069</v>
          </cell>
          <cell r="H337" t="str">
            <v xml:space="preserve">Huỳnh Bá Học </v>
          </cell>
          <cell r="I337" t="str">
            <v>Xây dựng</v>
          </cell>
          <cell r="J337" t="str">
            <v>23149069</v>
          </cell>
          <cell r="K337" t="str">
            <v>Nguyễn Đức Phát 23145167</v>
          </cell>
          <cell r="L337" t="str">
            <v>Nguyễn Thị Bích Liễu</v>
          </cell>
          <cell r="M337" t="str">
            <v>Khoa Xây Dựng</v>
          </cell>
          <cell r="N337" t="str">
            <v xml:space="preserve">lieuntb@hcmute.edu.vn </v>
          </cell>
          <cell r="O337" t="str">
            <v xml:space="preserve">01 Báo cáo tổng kết
01 bài báo được đăng trên các tạp chí uy tín trong ước nằm trong danh mục của Hội đồng giáo sư nhà nước tính điểm tối thiểu 0,75 điểm. </v>
          </cell>
        </row>
        <row r="338">
          <cell r="B338" t="str">
            <v>SV2026-356</v>
          </cell>
          <cell r="C338" t="str">
            <v>rr</v>
          </cell>
          <cell r="D338" t="str">
            <v>X</v>
          </cell>
          <cell r="E338" t="str">
            <v>x</v>
          </cell>
          <cell r="F338" t="str">
            <v>Giải pháp tổ chức không gian thích ứng ngập lụt cho khu vực chợ Thủ Đức - hướng đến mô hình chợ đô thị bền vững</v>
          </cell>
          <cell r="G338" t="str">
            <v>Bùi Thị Mỹ Trà 22157073</v>
          </cell>
          <cell r="H338" t="str">
            <v xml:space="preserve">Bùi Thị Mỹ Trà </v>
          </cell>
          <cell r="I338" t="str">
            <v>Xây dựng</v>
          </cell>
          <cell r="J338" t="str">
            <v>22157073</v>
          </cell>
          <cell r="K338" t="str">
            <v xml:space="preserve">Bùi Thị Kim Ngân 22157041 
Dương Hoàng Hồng Anh 23157005 </v>
          </cell>
          <cell r="L338" t="str">
            <v>Đỗ Xuân Sơn</v>
          </cell>
          <cell r="M338" t="str">
            <v>Khoa Xây Dựng</v>
          </cell>
          <cell r="N338" t="str">
            <v xml:space="preserve">sondx@hcmute.edu.vn </v>
          </cell>
          <cell r="O338" t="str">
            <v>01 Báo cáo tổng kết
02 Bài báo khoa học đăng trên tạp chí quốc tế có chỉ số XB ISSN</v>
          </cell>
        </row>
        <row r="339">
          <cell r="B339" t="str">
            <v>SV2026-357</v>
          </cell>
          <cell r="C339" t="str">
            <v>rr</v>
          </cell>
          <cell r="D339" t="str">
            <v>X</v>
          </cell>
          <cell r="E339" t="str">
            <v>x</v>
          </cell>
          <cell r="F339" t="str">
            <v>Nghiên cứu tính chất cơ lý của vữa chịu nhiệt độ cao bằng thực nghiệm</v>
          </cell>
          <cell r="G339" t="str">
            <v>Võ Hoàng Phương Duy 22149232</v>
          </cell>
          <cell r="H339" t="str">
            <v xml:space="preserve">Võ Hoàng Phương Duy </v>
          </cell>
          <cell r="I339" t="str">
            <v>Xây dựng</v>
          </cell>
          <cell r="J339" t="str">
            <v>22149232</v>
          </cell>
          <cell r="K339" t="str">
            <v>Võ Hữu Trực 22149368
Mai Hữu Phước 22149311</v>
          </cell>
          <cell r="L339" t="str">
            <v>Nguyễn Thanh Hưng</v>
          </cell>
          <cell r="M339" t="str">
            <v>Khoa Xây Dựng</v>
          </cell>
          <cell r="N339" t="str">
            <v xml:space="preserve">nthung@hcmute.edu.vn </v>
          </cell>
          <cell r="O339" t="str">
            <v>01 Báo cáo tổng kết
01 Bài báo khoa học đăng trên tạp chí trong nước trong danh mục của Hội đồng Giáo sư Nhà nước tính 0,5 điểm trở lên hoặc sản phẩm mô hình, thiết bị có hợp đồng chuyển giao công nghệ phục vụ cộng đồng.</v>
          </cell>
        </row>
        <row r="340">
          <cell r="B340" t="str">
            <v>SV2026-359</v>
          </cell>
          <cell r="C340" t="str">
            <v>rr</v>
          </cell>
          <cell r="D340" t="str">
            <v>X</v>
          </cell>
          <cell r="E340" t="str">
            <v>x</v>
          </cell>
          <cell r="F340" t="str">
            <v>Nghiên cứu dao động của dầm FG-TPMS bằng phương pháp đẳng hình học</v>
          </cell>
          <cell r="G340" t="str">
            <v>Tạ Thiên Phú 24149214</v>
          </cell>
          <cell r="H340" t="str">
            <v xml:space="preserve">Tạ Thiên Phú </v>
          </cell>
          <cell r="I340" t="str">
            <v>Xây dựng</v>
          </cell>
          <cell r="J340" t="str">
            <v>24149214</v>
          </cell>
          <cell r="K340" t="str">
            <v>Phan Phạm Hồng Phước 24149220
Nguyễn Anh Khoa 24149166</v>
          </cell>
          <cell r="L340" t="str">
            <v>Phạm Tấn Hùng</v>
          </cell>
          <cell r="M340" t="str">
            <v>Khoa Xây Dựng</v>
          </cell>
          <cell r="N340" t="str">
            <v xml:space="preserve">hungpht@hcmute.edu.vn </v>
          </cell>
          <cell r="O340" t="str">
            <v>01 Báo cáo tổng kết
01 Bài báo khoa học đăng trên tạp chí trong nước trong danh mục của Hội đồng Giáo sư Nhà nước tính 0,5 điểm trở lên.</v>
          </cell>
        </row>
        <row r="341">
          <cell r="B341" t="str">
            <v>SV2026-360</v>
          </cell>
          <cell r="C341" t="str">
            <v>rr</v>
          </cell>
          <cell r="D341" t="str">
            <v>X</v>
          </cell>
          <cell r="E341"/>
          <cell r="F341" t="str">
            <v>Nghiên cứu đặc trưng kiến trúc nhà ở khu vực Nam Bộ cuối thế kỉ XIX - đầu thế kỉ XX, Trường hợp tỉnh Tiền Giang và tỉnh Đồng Tháp.</v>
          </cell>
          <cell r="G341" t="str">
            <v>Nguyễn Đặng Trúc Phương 25140055</v>
          </cell>
          <cell r="H341" t="str">
            <v xml:space="preserve">Nguyễn Đặng Trúc Phương </v>
          </cell>
          <cell r="I341" t="str">
            <v>Xây dựng</v>
          </cell>
          <cell r="J341" t="str">
            <v>25140055</v>
          </cell>
          <cell r="K341" t="str">
            <v>Huỳnh Ngọc Hân 25140018
Bùi Nguyễn Minh Phương 25140053</v>
          </cell>
          <cell r="L341" t="str">
            <v>Nguyễn Văn Hoan</v>
          </cell>
          <cell r="M341" t="str">
            <v>Khoa Xây Dựng</v>
          </cell>
          <cell r="N341" t="str">
            <v xml:space="preserve">hoannv@hcmute.edu.vn </v>
          </cell>
          <cell r="O341" t="str">
            <v>01 Báo cáo tổng kết
01 Bài báo khoa học đăng trên tạp chí trong nước trong danh mục của Hội đồng Giáo sư Nhà nước tính 0,5 điểm trở lên.</v>
          </cell>
        </row>
        <row r="342">
          <cell r="B342" t="str">
            <v>SV2026-362</v>
          </cell>
          <cell r="C342" t="str">
            <v>rr</v>
          </cell>
          <cell r="D342" t="str">
            <v>X</v>
          </cell>
          <cell r="E342"/>
          <cell r="F342" t="str">
            <v>Giải pháp móng bể chứa dầu - khí sử dụng cọc xi măng đất trộn nông có chiều dài cọc bằng nhau.</v>
          </cell>
          <cell r="G342" t="str">
            <v>Nguyễn Thành Đạt 23149061</v>
          </cell>
          <cell r="H342" t="str">
            <v xml:space="preserve">Nguyễn Thành Đạt </v>
          </cell>
          <cell r="I342" t="str">
            <v>Xây dựng</v>
          </cell>
          <cell r="J342" t="str">
            <v>23149061</v>
          </cell>
          <cell r="K342" t="str">
            <v>Phạm Mạnh Cường 23149055
Lê Đức Quang Huy 23149074
Trần Minh Phong 23149112
Ngô Thanh Thanh 23149129</v>
          </cell>
          <cell r="L342" t="str">
            <v>Nguyễn Tổng</v>
          </cell>
          <cell r="M342" t="str">
            <v>Khoa Xây Dựng</v>
          </cell>
          <cell r="N342" t="str">
            <v xml:space="preserve">tongn@hcmute.edu.vn </v>
          </cell>
          <cell r="O342" t="str">
            <v>01 Báo cáo tổng kết</v>
          </cell>
        </row>
        <row r="343">
          <cell r="B343" t="str">
            <v>SV2026-363</v>
          </cell>
          <cell r="C343" t="str">
            <v>R</v>
          </cell>
          <cell r="D343" t="str">
            <v>X</v>
          </cell>
          <cell r="E343"/>
          <cell r="F343" t="str">
            <v>Giải pháp móng bể chứa dầu - khí sử dụng cọc xi măng đất trộn nông có chiều dài cọc khác nhau.</v>
          </cell>
          <cell r="G343" t="str">
            <v>Võ Hữu Vinh 23149163</v>
          </cell>
          <cell r="H343" t="str">
            <v xml:space="preserve">Võ Hữu Vinh </v>
          </cell>
          <cell r="I343" t="str">
            <v>Xây dựng</v>
          </cell>
          <cell r="J343" t="str">
            <v>23149163</v>
          </cell>
          <cell r="K343" t="str">
            <v xml:space="preserve">Bùi Đình Chiến 23149051
Lê Tuấn Kiệt 23149091
Trần Huỳnh Minh Hoàng 23149068
Hoàng Gia Huy 23149072
</v>
          </cell>
          <cell r="L343" t="str">
            <v>Nguyễn Tổng</v>
          </cell>
          <cell r="M343" t="str">
            <v>Khoa Xây Dựng</v>
          </cell>
          <cell r="N343" t="str">
            <v xml:space="preserve">tongn@hcmute.edu.vn </v>
          </cell>
          <cell r="O343" t="str">
            <v>'01 Báo cáo tổng kết</v>
          </cell>
        </row>
        <row r="344">
          <cell r="B344" t="str">
            <v>SV2026-364</v>
          </cell>
          <cell r="C344" t="str">
            <v>rr</v>
          </cell>
          <cell r="D344" t="str">
            <v>X</v>
          </cell>
          <cell r="E344" t="str">
            <v>x</v>
          </cell>
          <cell r="F344" t="str">
            <v>Nghiên cứu mối quan hệ giữa lưu lượng giao thông với độ bụi và tiếng ồn trên đường lê văn chí, TP. Hồ Chí Minh.</v>
          </cell>
          <cell r="G344" t="str">
            <v>Huỳnh Thanh Huy 24149138</v>
          </cell>
          <cell r="H344" t="str">
            <v xml:space="preserve">Huỳnh Thanh Huy </v>
          </cell>
          <cell r="I344" t="str">
            <v>Xây dựng</v>
          </cell>
          <cell r="J344" t="str">
            <v>24149138</v>
          </cell>
          <cell r="K344" t="str">
            <v>Phạm Nguyễn Duy Gia 24149116</v>
          </cell>
          <cell r="L344" t="str">
            <v>Trần Vũ Tự</v>
          </cell>
          <cell r="M344" t="str">
            <v>Khoa Xây Dựng</v>
          </cell>
          <cell r="N344" t="str">
            <v xml:space="preserve">tutv@hcmute.edu.vn </v>
          </cell>
          <cell r="O344" t="str">
            <v>01 Báo cáo tổng kết
01 Bài báo khoa học đăng trên tạp chí trong nước trong danh mục của Hội đồng Giáo sư Nhà nước tính 0,5 điểm trở lên.</v>
          </cell>
        </row>
        <row r="345">
          <cell r="B345" t="str">
            <v>SV2026-365</v>
          </cell>
          <cell r="C345" t="str">
            <v>rr</v>
          </cell>
          <cell r="D345"/>
          <cell r="E345" t="str">
            <v>x</v>
          </cell>
          <cell r="F345" t="str">
            <v>Nghiên cứu đánh giá các phương án nút giao thông ở TP Hồ Chí Minh trên cơ sở xem xét mức hiệu quả kinh tế - kỹ thuật</v>
          </cell>
          <cell r="G345" t="str">
            <v>Trần Đức Phú 23160043</v>
          </cell>
          <cell r="H345" t="str">
            <v xml:space="preserve">Trần Đức Phú </v>
          </cell>
          <cell r="I345" t="str">
            <v>Xây dựng</v>
          </cell>
          <cell r="J345" t="str">
            <v>23160043</v>
          </cell>
          <cell r="K345" t="str">
            <v>Võ Thị Kim Trúc 24124087
Nguyễn Kim Ngọc Ánh 25126017
Trần Trọng An 23142079</v>
          </cell>
          <cell r="L345" t="str">
            <v>Trần Vũ Tự</v>
          </cell>
          <cell r="M345" t="str">
            <v>Khoa Xây Dựng</v>
          </cell>
          <cell r="N345" t="str">
            <v xml:space="preserve">tutv@hcmute.edu.vn </v>
          </cell>
          <cell r="O345" t="str">
            <v>01 Báo cáo tổng kết
01 Bài báo khoa học đăng trên tạp chí trong nước trong danh mục của Hội đồng Giáo sư Nhà nước tính 0,5 điểm trở lên.</v>
          </cell>
        </row>
        <row r="346">
          <cell r="B346" t="str">
            <v>SV2026-366</v>
          </cell>
          <cell r="C346" t="str">
            <v>rr</v>
          </cell>
          <cell r="D346" t="str">
            <v>X</v>
          </cell>
          <cell r="E346" t="str">
            <v>x</v>
          </cell>
          <cell r="F346" t="str">
            <v>Nghiên cứu ảnh hưởng của kích thước đảo vòng xuyến đến khả năng thông hành cho nút giao ngã tư bằng phương pháp mô phỏng</v>
          </cell>
          <cell r="G346" t="str">
            <v>Trương Minh Nhựt 24127049</v>
          </cell>
          <cell r="H346" t="str">
            <v xml:space="preserve">Trương Minh Nhựt </v>
          </cell>
          <cell r="I346" t="str">
            <v>Xây dựng</v>
          </cell>
          <cell r="J346" t="str">
            <v>24127049</v>
          </cell>
          <cell r="K346" t="str">
            <v>Trần Đức Phú 23160043
Nguyễn Nhật Khôi 24127034
Nguyễn Phạm Anh Kiệt 24127036</v>
          </cell>
          <cell r="L346" t="str">
            <v>Trần Vũ Tự</v>
          </cell>
          <cell r="M346" t="str">
            <v>Khoa Xây Dựng</v>
          </cell>
          <cell r="N346" t="str">
            <v xml:space="preserve">tutv@hcmute.edu.vn </v>
          </cell>
          <cell r="O346" t="str">
            <v>01 Báo cáo tổng kết
01 Bài báo khoa học đăng trên tạp chí trong nước trong danh mục của Hội đồng Giáo sư Nhà nước tính 0,5 điểm trở lên.</v>
          </cell>
        </row>
        <row r="347">
          <cell r="B347" t="str">
            <v>SV2026-367</v>
          </cell>
          <cell r="C347" t="str">
            <v>rr</v>
          </cell>
          <cell r="D347" t="str">
            <v>X</v>
          </cell>
          <cell r="E347"/>
          <cell r="F347" t="str">
            <v>Phân tích ứng xử của tường vây có xét ảnh hưởng các yếu tố trong quá trình thi công</v>
          </cell>
          <cell r="G347" t="str">
            <v>Nguyễn Trọng Đạt 23149062</v>
          </cell>
          <cell r="H347" t="str">
            <v xml:space="preserve">Nguyễn Trọng Đạt </v>
          </cell>
          <cell r="I347" t="str">
            <v>Xây dựng</v>
          </cell>
          <cell r="J347" t="str">
            <v>23149062</v>
          </cell>
          <cell r="K347" t="str">
            <v>Nguyễn Hữu Hạn 23149065
Trần Văn Duy 23149057
Đỗ Thành Đạt 23149059
Bùi Văn Nhật 23149110</v>
          </cell>
          <cell r="L347" t="str">
            <v>Nguyễn Văn Chúng</v>
          </cell>
          <cell r="M347" t="str">
            <v>Khoa Xây Dựng</v>
          </cell>
          <cell r="N347" t="str">
            <v xml:space="preserve">chungnv@hcmute.edu.vn </v>
          </cell>
          <cell r="O347" t="str">
            <v>01 Báo cáo tổng kết</v>
          </cell>
        </row>
        <row r="348">
          <cell r="B348" t="str">
            <v>SV2026-368</v>
          </cell>
          <cell r="C348" t="str">
            <v>rr</v>
          </cell>
          <cell r="D348" t="str">
            <v>X</v>
          </cell>
          <cell r="E348"/>
          <cell r="F348" t="str">
            <v>Phân tích các yếu tố ảnh hưởng đến sức chịu tải cọc trong nền đất cát</v>
          </cell>
          <cell r="G348" t="str">
            <v>Trần Vũ Nhật Cương 23149054</v>
          </cell>
          <cell r="H348" t="str">
            <v xml:space="preserve">Trần Vũ Nhật Cương </v>
          </cell>
          <cell r="I348" t="str">
            <v>Xây dựng</v>
          </cell>
          <cell r="J348" t="str">
            <v>23149054</v>
          </cell>
          <cell r="K348" t="str">
            <v>Phạm Gia Bảo 23149048
Cao Quang Minh 23149098
Ngô Lê Tấn Sang 23149122
Nguyễn Thái Bình 23149050</v>
          </cell>
          <cell r="L348" t="str">
            <v>Nguyễn Văn Chúng</v>
          </cell>
          <cell r="M348" t="str">
            <v>Khoa Xây Dựng</v>
          </cell>
          <cell r="N348" t="str">
            <v xml:space="preserve">chungnv@hcmute.edu.vn </v>
          </cell>
          <cell r="O348" t="str">
            <v>01 Báo cáo tổng kết</v>
          </cell>
        </row>
        <row r="349">
          <cell r="B349" t="str">
            <v>SV2026-369</v>
          </cell>
          <cell r="C349" t="str">
            <v>rr</v>
          </cell>
          <cell r="D349"/>
          <cell r="E349"/>
          <cell r="F349" t="str">
            <v>Ứng dụng BIM Tự động Thiết kế hệ thống Cấp nước Công trình Theo Tiêu Chuẩn Việt Nam</v>
          </cell>
          <cell r="G349" t="str">
            <v>Lê Quốc Huy 22135014</v>
          </cell>
          <cell r="H349" t="str">
            <v xml:space="preserve">Lê Quốc Huy </v>
          </cell>
          <cell r="I349" t="str">
            <v>Xây dựng</v>
          </cell>
          <cell r="J349" t="str">
            <v>22135014</v>
          </cell>
          <cell r="K349" t="str">
            <v>Nguyễn Thành Phát 22135032
Dương Thị Thảo Tiên 22135040
Lê Trọng Tình 22135041</v>
          </cell>
          <cell r="L349" t="str">
            <v>Phan Thành Chiến</v>
          </cell>
          <cell r="M349" t="str">
            <v>Khoa Xây Dựng</v>
          </cell>
          <cell r="N349" t="str">
            <v>chienpt@hcmute.edu.vn</v>
          </cell>
          <cell r="O349" t="str">
            <v>01 Báo cáo tổng kết
01 Bài báo khoa học đăng trên tạp chí trong nước, trong danh mục của HĐ GSNN tính điểm từ 0.5 điểm trở lên.</v>
          </cell>
        </row>
        <row r="350">
          <cell r="B350" t="str">
            <v>SV2026-370</v>
          </cell>
          <cell r="C350" t="str">
            <v>rr</v>
          </cell>
          <cell r="D350" t="str">
            <v>X</v>
          </cell>
          <cell r="E350"/>
          <cell r="F350" t="str">
            <v>Nghiên cứu các chiến lược học từ vựng của sinh viên chuyên ngành tiếng Anh tại trường đại học Công nghệ Kỹ thuật TP HCM</v>
          </cell>
          <cell r="G350" t="str">
            <v>Lê Quang Sang 23950011</v>
          </cell>
          <cell r="H350" t="str">
            <v xml:space="preserve">Lê Quang Sang </v>
          </cell>
          <cell r="I350" t="str">
            <v>Ngoại ngữ</v>
          </cell>
          <cell r="J350" t="str">
            <v>23950011</v>
          </cell>
          <cell r="K350" t="str">
            <v>Lê Thị Ngọc Khánh 23950004</v>
          </cell>
          <cell r="L350" t="str">
            <v>Trịnh Ngọc Thành</v>
          </cell>
          <cell r="M350" t="str">
            <v>Khoa Ngoại ngữ</v>
          </cell>
          <cell r="N350" t="str">
            <v>thanhtn@hcmute.edu.vn</v>
          </cell>
          <cell r="O350" t="str">
            <v>01 Báo cáo tổng kết</v>
          </cell>
        </row>
        <row r="351">
          <cell r="B351" t="str">
            <v>SV2026-371</v>
          </cell>
          <cell r="C351" t="str">
            <v>rr</v>
          </cell>
          <cell r="D351" t="str">
            <v>X</v>
          </cell>
          <cell r="E351"/>
          <cell r="F351" t="str">
            <v>Tác động của đặc điểm Hội đồng quản trị đến hành vi quản trị lợi nhuận của các công ty niêm yết ngành nguyên vật liệu tại Việt Nam</v>
          </cell>
          <cell r="G351" t="str">
            <v>Lê Nguyễn Hà My 23125014</v>
          </cell>
          <cell r="H351" t="str">
            <v xml:space="preserve">Lê Nguyễn Hà My </v>
          </cell>
          <cell r="I351" t="str">
            <v>Kinh tế</v>
          </cell>
          <cell r="J351" t="str">
            <v>23125014</v>
          </cell>
          <cell r="K351" t="str">
            <v>Hoàng Quỳnh Anh 23125002
Lê Minh Thư 23125034
Trần Tiểu Yến 23125901</v>
          </cell>
          <cell r="L351" t="str">
            <v>Cao Thị Nhân Anh</v>
          </cell>
          <cell r="M351" t="str">
            <v>Khoa Kinh tế</v>
          </cell>
          <cell r="N351" t="str">
            <v>anhctn@hcmute.edu.vn</v>
          </cell>
          <cell r="O351" t="str">
            <v>1 bài báo trong danh mục HDGSNN được tính 0,75 điểm
1 báo cáo tổng hợp</v>
          </cell>
        </row>
        <row r="352">
          <cell r="B352" t="str">
            <v>SV2026-372</v>
          </cell>
          <cell r="C352" t="str">
            <v>rr</v>
          </cell>
          <cell r="D352" t="str">
            <v>X</v>
          </cell>
          <cell r="E352" t="str">
            <v>x</v>
          </cell>
          <cell r="F352" t="str">
            <v>Tác động của thiền định đến chất lượng làm việc của nhân viên văn phòng tại Thành phố Hồ Chí Minh</v>
          </cell>
          <cell r="G352" t="str">
            <v>Nguyễn Ngọc Minh Trang 23126041</v>
          </cell>
          <cell r="H352" t="str">
            <v xml:space="preserve">Nguyễn Ngọc Minh Trang </v>
          </cell>
          <cell r="I352" t="str">
            <v>Kinh tế</v>
          </cell>
          <cell r="J352" t="str">
            <v>23126041</v>
          </cell>
          <cell r="K352" t="str">
            <v>Lê Nguyễn Thanh Huyền 23126014
Đỗ Nguyễn Thanh Uyên 23126053
Nguyễn Thị Yến Linh 23126024
Nguyễn Ngọc Phương Trinh 23126046</v>
          </cell>
          <cell r="L352" t="str">
            <v>Hồ Thị Hồng Xuyên</v>
          </cell>
          <cell r="M352" t="str">
            <v>Khoa Kinh tế</v>
          </cell>
          <cell r="N352" t="str">
            <v>xuyenhth@hcmute.edu.vn</v>
          </cell>
          <cell r="O352" t="str">
            <v>1 báo cáo tổng hợp</v>
          </cell>
        </row>
        <row r="353">
          <cell r="B353" t="str">
            <v>SV2026-373</v>
          </cell>
          <cell r="C353" t="str">
            <v>rr</v>
          </cell>
          <cell r="D353"/>
          <cell r="E353" t="str">
            <v>x</v>
          </cell>
          <cell r="F353" t="str">
            <v>Trí tuệ nhân tạo trong giáo dục: Đột phá công nghệ hay sự xói mòn trong tư duy phản biện của sinh viên trường đại học Công nghệ Kỹ thuật Thành phố Hồ Chí Minh.</v>
          </cell>
          <cell r="G353" t="str">
            <v>Phạm Nhã Uyên 23126155</v>
          </cell>
          <cell r="H353" t="str">
            <v xml:space="preserve">Phạm Nhã Uyên </v>
          </cell>
          <cell r="I353" t="str">
            <v>Kinh tế</v>
          </cell>
          <cell r="J353" t="str">
            <v>23126155</v>
          </cell>
          <cell r="K353" t="str">
            <v>Phạm Thị Thanh Thúy 23126135
Nguyễn Thị Mai Trâm 23126144
Lương Nguyễn Phương Uyên 23126154</v>
          </cell>
          <cell r="L353" t="str">
            <v>Nguyễn Phan Anh Huy</v>
          </cell>
          <cell r="M353" t="str">
            <v>Khoa Kinh tế</v>
          </cell>
          <cell r="N353" t="str">
            <v>huynpa@hcmute.edu.vn</v>
          </cell>
          <cell r="O353" t="str">
            <v>1 báo cáo tổng hợp</v>
          </cell>
        </row>
        <row r="354">
          <cell r="B354" t="str">
            <v>SV2026-374</v>
          </cell>
          <cell r="C354" t="str">
            <v>rr</v>
          </cell>
          <cell r="D354" t="str">
            <v>X</v>
          </cell>
          <cell r="E354"/>
          <cell r="F354" t="str">
            <v>Phân tích các yếu tố tác động tâm lý FOMO đến ý định mua hàng của GenZ trên nền tảng TikTok tại Thành phố Hồ Chí Minh</v>
          </cell>
          <cell r="G354" t="str">
            <v>Nguyễn Thị Hồng Ngân 23126100</v>
          </cell>
          <cell r="H354" t="str">
            <v xml:space="preserve">Nguyễn Thị Hồng Ngân </v>
          </cell>
          <cell r="I354" t="str">
            <v>Kinh tế</v>
          </cell>
          <cell r="J354" t="str">
            <v>23126100</v>
          </cell>
          <cell r="K354" t="str">
            <v>Bùi Thị Lan Anh 23126063
Lăng Hoàng Lê 23132056
Ngô Phương Đài 23126072
Lê Thảo Hân 23126080</v>
          </cell>
          <cell r="L354" t="str">
            <v>Lại Thị Tường Vi</v>
          </cell>
          <cell r="M354" t="str">
            <v>Khoa Kinh tế</v>
          </cell>
          <cell r="N354" t="str">
            <v>viltt@hcmute.edu.vn</v>
          </cell>
          <cell r="O354" t="str">
            <v>1 báo cáo tổng hợp
1 bài báo trong danh mục HDGSNN được tính 0,5 điểm</v>
          </cell>
        </row>
        <row r="355">
          <cell r="B355" t="str">
            <v>SV2026-375</v>
          </cell>
          <cell r="C355" t="str">
            <v>rr</v>
          </cell>
          <cell r="D355" t="str">
            <v>X</v>
          </cell>
          <cell r="E355"/>
          <cell r="F355" t="str">
            <v>Tác động của trải nghiệm dòng chảy ảnh hưởng đến hành vi mua hàng trong bối cảnh livestream tại Thành phố Hồ Chí Minh.</v>
          </cell>
          <cell r="G355" t="str">
            <v>Phan Nhứt Huy 23136035</v>
          </cell>
          <cell r="H355" t="str">
            <v xml:space="preserve">Phan Nhứt Huy </v>
          </cell>
          <cell r="I355" t="str">
            <v>Kinh tế</v>
          </cell>
          <cell r="J355" t="str">
            <v>23136035</v>
          </cell>
          <cell r="K355">
            <v>0</v>
          </cell>
          <cell r="L355" t="str">
            <v>Lê Thị Tuyết Thanh</v>
          </cell>
          <cell r="M355" t="str">
            <v>Khoa Kinh tế</v>
          </cell>
          <cell r="N355" t="str">
            <v>thanhltt@hcmute.edu.vn</v>
          </cell>
          <cell r="O355" t="str">
            <v>1 báo cáo tổng hợp
1 bài báo trong danh mục HDGSNN được tính 0,5 điểm</v>
          </cell>
        </row>
        <row r="356">
          <cell r="B356" t="str">
            <v>SV2026-376</v>
          </cell>
          <cell r="C356" t="str">
            <v>rr</v>
          </cell>
          <cell r="D356" t="str">
            <v>X</v>
          </cell>
          <cell r="E356" t="str">
            <v>x</v>
          </cell>
          <cell r="F356" t="str">
            <v>Phân tích các yếu tố tác động nhận thức về sống xanh của sinh viên trường đại học SPKT TP.HCM</v>
          </cell>
          <cell r="G356" t="str">
            <v>Huỳnh Bảo Hân 24124121</v>
          </cell>
          <cell r="H356" t="str">
            <v xml:space="preserve">Huỳnh Bảo Hân </v>
          </cell>
          <cell r="I356" t="str">
            <v>Kinh tế</v>
          </cell>
          <cell r="J356" t="str">
            <v>24124121</v>
          </cell>
          <cell r="K356" t="str">
            <v>Trần Ngọc Anh 24124094
Phan Đăng Bảo 23128091</v>
          </cell>
          <cell r="L356" t="str">
            <v>Phan Văn Hồng Thắng</v>
          </cell>
          <cell r="M356" t="str">
            <v>Khoa Kinh tế</v>
          </cell>
          <cell r="N356" t="str">
            <v>thangpvh@hcmute.edu.vn</v>
          </cell>
          <cell r="O356" t="str">
            <v>1 báo cáo tổng hợp
1 bài báo trong danh mục HDGSNN được tính 0,5 điểm</v>
          </cell>
        </row>
        <row r="357">
          <cell r="B357" t="str">
            <v>SV2026-378</v>
          </cell>
          <cell r="C357" t="str">
            <v>rr</v>
          </cell>
          <cell r="D357" t="str">
            <v>X</v>
          </cell>
          <cell r="E357" t="str">
            <v>x</v>
          </cell>
          <cell r="F357" t="str">
            <v>Tác động của hệ thống làm việc hiệu suất cao và kháng cự thay đổi đến sự sẵn sàng ứng dụng trí tuệ nhân tạo: Vai trò trung gian của lãnh đạo định hướng nhiệm vụ và nỗi sợ trí tuệ nhân tạo.</v>
          </cell>
          <cell r="G357" t="str">
            <v>Bùi Thanh Huyền 23136036</v>
          </cell>
          <cell r="H357" t="str">
            <v xml:space="preserve">Bùi Thanh Huyền </v>
          </cell>
          <cell r="I357" t="str">
            <v>Kinh tế</v>
          </cell>
          <cell r="J357" t="str">
            <v>23136036</v>
          </cell>
          <cell r="K357" t="str">
            <v>Nguyễn Văn Đức Trí 23126047
Nguyễn Nhựt Quỳnh 23126121</v>
          </cell>
          <cell r="L357" t="str">
            <v>Lê Thị Tuyết Thanh</v>
          </cell>
          <cell r="M357" t="str">
            <v>Khoa Kinh tế</v>
          </cell>
          <cell r="N357" t="str">
            <v>thanhltt@hcmute.edu.vn</v>
          </cell>
          <cell r="O357" t="str">
            <v>1 báo cáo tổng hợp
1 bài báo trong danh mục HDGSNN được tính 0,5 điểm</v>
          </cell>
        </row>
        <row r="358">
          <cell r="B358" t="str">
            <v>SV2026-379</v>
          </cell>
          <cell r="C358" t="str">
            <v>rr</v>
          </cell>
          <cell r="D358" t="str">
            <v>X</v>
          </cell>
          <cell r="E358"/>
          <cell r="F358" t="str">
            <v>Các yếu tố ảnh hưởng từ làn sóng loại bỏ nhựa đến hành vi tiêu dùng trong lĩnh vực thực phẩm và đồ uống</v>
          </cell>
          <cell r="G358" t="str">
            <v>Trương Quỳnh Như 23126031</v>
          </cell>
          <cell r="H358" t="str">
            <v xml:space="preserve">Trương Quỳnh Như </v>
          </cell>
          <cell r="I358" t="str">
            <v>Kinh tế</v>
          </cell>
          <cell r="J358" t="str">
            <v>23126031</v>
          </cell>
          <cell r="K358" t="str">
            <v>Trương Quang Anh​ 21110129
Vũ Anh Nguyên​ 21161340
Nguyễn Thị Ánh Thu 23126038
Nguyễn Hoàng Giang​ 22124041</v>
          </cell>
          <cell r="L358" t="str">
            <v>Nguyễn Thị Lan Anh</v>
          </cell>
          <cell r="M358" t="str">
            <v>Khoa Kinh tế</v>
          </cell>
          <cell r="N358" t="str">
            <v>lananhnt@hcmute.edu.vn</v>
          </cell>
          <cell r="O358" t="str">
            <v>1 báo cáo tổng hợp
1 bài báo trong danh mục HDGSNN được tính 0,5 điểm</v>
          </cell>
        </row>
        <row r="359">
          <cell r="B359" t="str">
            <v>SV2026-380</v>
          </cell>
          <cell r="C359" t="str">
            <v>rr</v>
          </cell>
          <cell r="D359" t="str">
            <v>X</v>
          </cell>
          <cell r="E359"/>
          <cell r="F359" t="str">
            <v xml:space="preserve">Ảnh hưởng của quảng cáo và mạng xã hội đến hành vi chi tiêu của sinh viên trường Đại học Công nghệ Kỹ thuật thành phố Hồ Chí Minh </v>
          </cell>
          <cell r="G359" t="str">
            <v>Huỳnh Võ Kim Chi 22125010</v>
          </cell>
          <cell r="H359" t="str">
            <v xml:space="preserve">Huỳnh Võ Kim Chi </v>
          </cell>
          <cell r="I359" t="str">
            <v>Kinh tế</v>
          </cell>
          <cell r="J359" t="str">
            <v>22125010</v>
          </cell>
          <cell r="K359">
            <v>0</v>
          </cell>
          <cell r="L359" t="str">
            <v>Trần Thụy Ái Phương</v>
          </cell>
          <cell r="M359" t="str">
            <v>Khoa Kinh tế</v>
          </cell>
          <cell r="N359" t="str">
            <v>phuongtta@hcmute.edu.vn</v>
          </cell>
          <cell r="O359" t="str">
            <v>1 báo cáo tổng hợp</v>
          </cell>
        </row>
        <row r="360">
          <cell r="B360" t="str">
            <v>SV2026-381</v>
          </cell>
          <cell r="C360" t="str">
            <v>rr</v>
          </cell>
          <cell r="D360"/>
          <cell r="E360"/>
          <cell r="F360" t="str">
            <v>Phân tích các yếu tố quyết định sự thành công của việc triển khai Bảo trì năng suất toàn diện (TPM) trong môi trường sản xuất</v>
          </cell>
          <cell r="G360" t="str">
            <v>Lưu Nguyễn Thảo Nguyên 23124105</v>
          </cell>
          <cell r="H360" t="str">
            <v xml:space="preserve">Lưu Nguyễn Thảo Nguyên </v>
          </cell>
          <cell r="I360" t="str">
            <v>Kinh tế</v>
          </cell>
          <cell r="J360" t="str">
            <v>23124105</v>
          </cell>
          <cell r="K360" t="str">
            <v>Định Tuấn 23124151
Vũ Thanh Tùng 23124154</v>
          </cell>
          <cell r="L360" t="str">
            <v>Nguyễn Phương Quang</v>
          </cell>
          <cell r="M360" t="str">
            <v>Khoa Điện - Điện tử</v>
          </cell>
          <cell r="N360" t="str">
            <v>quangnp@hcmute.edu.vn</v>
          </cell>
          <cell r="O360" t="str">
            <v>1 báo cáo tổng hợp
1 bài báo trong danh mục HDGSNN được tính 0,5 điểm</v>
          </cell>
        </row>
        <row r="361">
          <cell r="B361" t="str">
            <v>SV2026-382</v>
          </cell>
          <cell r="C361" t="str">
            <v>rr</v>
          </cell>
          <cell r="D361" t="str">
            <v>X</v>
          </cell>
          <cell r="E361"/>
          <cell r="F361" t="str">
            <v>Các yếu tố tác động đến ý định tham gia thương mại điện tử xuyên biên giới của giới trẻ Việt Nam</v>
          </cell>
          <cell r="G361" t="str">
            <v>Nguyễn Hoàng Dung 24126034</v>
          </cell>
          <cell r="H361" t="str">
            <v xml:space="preserve">Nguyễn Hoàng Dung </v>
          </cell>
          <cell r="I361" t="str">
            <v>Kinh tế</v>
          </cell>
          <cell r="J361" t="str">
            <v>24126034</v>
          </cell>
          <cell r="K361" t="str">
            <v>Đặng Phúc Thiên	 24126214
Trương Nhật Trường 24126266
Mai Khánh Thuận 24126222</v>
          </cell>
          <cell r="L361" t="str">
            <v>Nguyễn Danh Hà Thái</v>
          </cell>
          <cell r="M361" t="str">
            <v>Khoa Kinh tế</v>
          </cell>
          <cell r="N361" t="str">
            <v>thaindh@hcmute.edu.vn</v>
          </cell>
          <cell r="O361" t="str">
            <v>1 Báo cáo phân tích tổng hợp
1 Bài báo đăng tạp chí trong danh mục của Hội đồng giáo sư nhà nước có điểm từ 0,5-1,0</v>
          </cell>
        </row>
        <row r="362">
          <cell r="B362" t="str">
            <v>SV2026-383</v>
          </cell>
          <cell r="C362" t="str">
            <v>rr</v>
          </cell>
          <cell r="D362" t="str">
            <v>X</v>
          </cell>
          <cell r="E362"/>
          <cell r="F362" t="str">
            <v>Ảnh hưởng của truyền bá tinh thần yêu nước và  truyền miệng điện tử đến ý định mua hàng Việt và hành vi tẩy chay  hàng ngoại: Vai trò trung gian của tính vị chủng tiêu dùng</v>
          </cell>
          <cell r="G362" t="str">
            <v>Huỳnh Nguyễn Bửu Ngọc 24132119</v>
          </cell>
          <cell r="H362" t="str">
            <v xml:space="preserve">Huỳnh Nguyễn Bửu Ngọc </v>
          </cell>
          <cell r="I362" t="str">
            <v>Kinh tế</v>
          </cell>
          <cell r="J362" t="str">
            <v>24132119</v>
          </cell>
          <cell r="K362" t="str">
            <v>Phạm Thị Hà My 24126137
Lê Nguyễn Anh Thư 24132175
Phạm Anh Thư 24132176
Phạm Minh Thư 24126230</v>
          </cell>
          <cell r="L362" t="str">
            <v>Lê Thị Tuyết Thanh</v>
          </cell>
          <cell r="M362" t="str">
            <v>Khoa Kinh tế</v>
          </cell>
          <cell r="N362" t="str">
            <v>thanhltt@hcmute.edu.vn</v>
          </cell>
          <cell r="O362" t="str">
            <v>1 báo cáo tổng hợp
1 bài báo trong danh mục HDGSNN được tính 0,5 điểm</v>
          </cell>
        </row>
        <row r="363">
          <cell r="B363" t="str">
            <v>SV2026-384</v>
          </cell>
          <cell r="C363" t="str">
            <v>rr</v>
          </cell>
          <cell r="D363" t="str">
            <v>X</v>
          </cell>
          <cell r="E363" t="str">
            <v>x</v>
          </cell>
          <cell r="F363" t="str">
            <v>Tác động của marketing dựa trên trí tuệ nhân tạo đến hành vi kháng cự của người tiêu dùng: Vai trò của cảm nhận bị thao túng và năng lực số</v>
          </cell>
          <cell r="G363" t="str">
            <v>Lưu Hoàng Vân Nhi 23126030</v>
          </cell>
          <cell r="H363" t="str">
            <v xml:space="preserve">Lưu Hoàng Vân Nhi </v>
          </cell>
          <cell r="I363" t="str">
            <v>Kinh tế</v>
          </cell>
          <cell r="J363" t="str">
            <v>23126030</v>
          </cell>
          <cell r="K363" t="str">
            <v>Nguyễn Lê Bảo Trân 23126043
Lê Hồ Thảo Vy 23126055
Nguyễn Đoàn Thùy Linh 23126023</v>
          </cell>
          <cell r="L363" t="str">
            <v>Lê Thị Tuyết Thanh</v>
          </cell>
          <cell r="M363" t="str">
            <v>Khoa Kinh tế</v>
          </cell>
          <cell r="N363" t="str">
            <v>thanhltt@hcmute.edu.vn</v>
          </cell>
          <cell r="O363" t="str">
            <v>1 báo cáo tổng hợp
1 bài báo trong danh mục HDGSNN được tính 0,5 điểm</v>
          </cell>
        </row>
        <row r="364">
          <cell r="B364" t="str">
            <v>SV2026-385</v>
          </cell>
          <cell r="C364" t="str">
            <v>rr</v>
          </cell>
          <cell r="D364" t="str">
            <v>X</v>
          </cell>
          <cell r="E364"/>
          <cell r="F364" t="str">
            <v>Ảnh hưởng của hội đồng quản trị bận rộn đến tính thận trọng trong kế toán: bằng chứng thực nghiệm tại Việt Nam</v>
          </cell>
          <cell r="G364" t="str">
            <v>Phạm Thị Phương Quyên 23125030</v>
          </cell>
          <cell r="H364" t="str">
            <v xml:space="preserve">Phạm Thị Phương Quyên </v>
          </cell>
          <cell r="I364" t="str">
            <v>Kinh tế</v>
          </cell>
          <cell r="J364" t="str">
            <v>23125030</v>
          </cell>
          <cell r="K364" t="str">
            <v>Vầy Thị Mỹ Duyên 23125007
Nguyễn Hồng Ngọc 23125016
Câu Hồng Hoài Thuận 23125032
Nguyễn Đoàn Cát Tường 23125041</v>
          </cell>
          <cell r="L364" t="str">
            <v>Cao Thị Nhân Anh</v>
          </cell>
          <cell r="M364" t="str">
            <v>Khoa Kinh tế</v>
          </cell>
          <cell r="N364" t="str">
            <v>anhctn@hcmute.edu.vn</v>
          </cell>
          <cell r="O364" t="str">
            <v>1 báo cáo tổng hợp
1 bài báo trong danh mục HDGSNN được tính 0,5 điểm</v>
          </cell>
        </row>
        <row r="365">
          <cell r="B365" t="str">
            <v>SV2026-386</v>
          </cell>
          <cell r="C365" t="str">
            <v>rr</v>
          </cell>
          <cell r="D365" t="str">
            <v>X</v>
          </cell>
          <cell r="E365"/>
          <cell r="F365" t="str">
            <v>Dự đoán hành vi rời bỏ sàn thương mại điện tử của sinh viên trường Đại học Công nghệ Kỹ thuật TP. HCM: Ứng dụng học máy</v>
          </cell>
          <cell r="G365" t="str">
            <v>Phạm Trần Thanh Trúc 24126263</v>
          </cell>
          <cell r="H365" t="str">
            <v xml:space="preserve">Phạm Trần Thanh Trúc </v>
          </cell>
          <cell r="I365" t="str">
            <v>Kinh tế</v>
          </cell>
          <cell r="J365" t="str">
            <v>24126263</v>
          </cell>
          <cell r="K365" t="str">
            <v>Lê Trần Diệu Quyên 24126189
Võ Hoàng Nam 24132115
Bùi Minh Thọ 24126220</v>
          </cell>
          <cell r="L365" t="str">
            <v xml:space="preserve">Bùi Tiến Thịnh </v>
          </cell>
          <cell r="M365" t="str">
            <v>Khoa Kinh tế</v>
          </cell>
          <cell r="N365" t="str">
            <v>thinhbt@hcmute.edu.vn</v>
          </cell>
          <cell r="O365" t="str">
            <v>1 báo cáo tổng hợp
1 bài báo trong danh mục HDGSNN được tính 0,5 điểm</v>
          </cell>
        </row>
        <row r="366">
          <cell r="B366" t="str">
            <v>SV2026-387</v>
          </cell>
          <cell r="C366" t="str">
            <v>rr</v>
          </cell>
          <cell r="D366" t="str">
            <v>X</v>
          </cell>
          <cell r="E366"/>
          <cell r="F366" t="str">
            <v>Tác động của đánh giá trực tuyến đến ý định mua hàng của giới trẻ trên các sàn thương mại điện tử tại thành phố Hồ Chí Minh</v>
          </cell>
          <cell r="G366" t="str">
            <v>Lê Nhựt Linh 23126022</v>
          </cell>
          <cell r="H366" t="str">
            <v xml:space="preserve">Lê Nhựt Linh </v>
          </cell>
          <cell r="I366" t="str">
            <v>Kinh tế</v>
          </cell>
          <cell r="J366" t="str">
            <v>23126022</v>
          </cell>
          <cell r="K366">
            <v>0</v>
          </cell>
          <cell r="L366" t="str">
            <v>Hồ Thị Hồng Xuyên</v>
          </cell>
          <cell r="M366" t="str">
            <v>Khoa Kinh tế</v>
          </cell>
          <cell r="N366" t="str">
            <v>xuyenhth@hcmute.edu.vn</v>
          </cell>
          <cell r="O366" t="str">
            <v>1 báo cáo tổng hợp
1 bài báo trong danh mục HDGSNN được tính 0,5 điểm</v>
          </cell>
        </row>
        <row r="367">
          <cell r="B367" t="str">
            <v>SV2026-388</v>
          </cell>
          <cell r="C367" t="str">
            <v>rr</v>
          </cell>
          <cell r="D367" t="str">
            <v>X</v>
          </cell>
          <cell r="E367"/>
          <cell r="F367" t="str">
            <v>Các yếu tố ảnh hưởng đến hành vi chuyển đổi sử dụng dịch vụ xe buýt điện của học sinh, sinh viên trên địa bàn TP.HCM</v>
          </cell>
          <cell r="G367" t="str">
            <v>Nguyễn Thị Hoà Bình 24126021</v>
          </cell>
          <cell r="H367" t="str">
            <v xml:space="preserve">Nguyễn Thị Hoà Bình </v>
          </cell>
          <cell r="I367" t="str">
            <v>Kinh tế</v>
          </cell>
          <cell r="J367" t="str">
            <v>24126021</v>
          </cell>
          <cell r="K367" t="str">
            <v xml:space="preserve">Mai Thị Xuân Sinh 24126191
Nguyễn Ngọc Kiều Vy 24126277
Nguyễn Thị Tường Vy 24126278
Văn Nữ Hà Vy 24126281            </v>
          </cell>
          <cell r="L367" t="str">
            <v>Nguyễn Thị Lan Anh</v>
          </cell>
          <cell r="M367" t="str">
            <v>Khoa Kinh tế</v>
          </cell>
          <cell r="N367" t="str">
            <v>lananhnt@hcmute.edu.vn</v>
          </cell>
          <cell r="O367" t="str">
            <v>1 báo cáo tổng hợp
1 bài báo trong danh mục HDGSNN được tính 0,5 điểm</v>
          </cell>
        </row>
        <row r="368">
          <cell r="B368" t="str">
            <v>SV2026-389</v>
          </cell>
          <cell r="C368" t="str">
            <v>rr</v>
          </cell>
          <cell r="D368" t="str">
            <v>X</v>
          </cell>
          <cell r="E368" t="str">
            <v>x</v>
          </cell>
          <cell r="F368" t="str">
            <v>Nghiên cứu các yếu tố ảnh hưởng đến thói quen đọc sách của sinh viên trường đại học Công nghệ kỹ thuật Tp. Hồ Chí Minh</v>
          </cell>
          <cell r="G368" t="str">
            <v>Võ Lâm Vĩ 22149204</v>
          </cell>
          <cell r="H368" t="str">
            <v xml:space="preserve">Võ Lâm Vĩ </v>
          </cell>
          <cell r="I368" t="str">
            <v>Kinh tế</v>
          </cell>
          <cell r="J368" t="str">
            <v>22149204</v>
          </cell>
          <cell r="K368" t="str">
            <v>Nguyễn Quang Vinh 22149201
Nguyễn Duy Thắng 20119286
Nguyễn Thị Thu Thảo 22160036</v>
          </cell>
          <cell r="L368" t="str">
            <v>Trần Thụy Ái Phương</v>
          </cell>
          <cell r="M368" t="str">
            <v>Khoa Kinh tế</v>
          </cell>
          <cell r="N368" t="str">
            <v>phuongtta@hcmute.edu.vn</v>
          </cell>
          <cell r="O368" t="str">
            <v>1 báo cáo tổng hợp</v>
          </cell>
        </row>
        <row r="369">
          <cell r="B369" t="str">
            <v>SV2026-390</v>
          </cell>
          <cell r="C369" t="str">
            <v>rr</v>
          </cell>
          <cell r="D369" t="str">
            <v>X</v>
          </cell>
          <cell r="E369" t="str">
            <v>x</v>
          </cell>
          <cell r="F369" t="str">
            <v>Những yếu tố tác động đến hành vi làm UGC Creator của nhà sáng tạo nội dung số thế hệ Gen Z tại Việt Nam</v>
          </cell>
          <cell r="G369" t="str">
            <v>Phạm Nguyễn Huyền Duyên 23136021</v>
          </cell>
          <cell r="H369" t="str">
            <v xml:space="preserve">Phạm Nguyễn Huyền Duyên </v>
          </cell>
          <cell r="I369" t="str">
            <v>Kinh tế</v>
          </cell>
          <cell r="J369" t="str">
            <v>23136021</v>
          </cell>
          <cell r="K369" t="str">
            <v>Nguyễn Thu Hằng 23136028</v>
          </cell>
          <cell r="L369" t="str">
            <v xml:space="preserve">Trương Diệu Linh </v>
          </cell>
          <cell r="M369" t="str">
            <v>Khoa Kinh tế</v>
          </cell>
          <cell r="N369" t="str">
            <v>linhtd@hcmute.edu.vn</v>
          </cell>
          <cell r="O369" t="str">
            <v>1 báo cáo tổng hợp
1 bài báo trong danh mục HDGSNN được tính 0,5 điểm</v>
          </cell>
        </row>
        <row r="370">
          <cell r="B370" t="str">
            <v>SV2026-391</v>
          </cell>
          <cell r="C370" t="str">
            <v>rr</v>
          </cell>
          <cell r="D370" t="str">
            <v>X</v>
          </cell>
          <cell r="E370"/>
          <cell r="F370" t="str">
            <v>Các nhân tố ảnh hưởng đến hành vi tài chính của sinh viên</v>
          </cell>
          <cell r="G370" t="str">
            <v>Lê Quỳnh Phương 23124114</v>
          </cell>
          <cell r="H370" t="str">
            <v xml:space="preserve">Lê Quỳnh Phương </v>
          </cell>
          <cell r="I370" t="str">
            <v>Kinh tế</v>
          </cell>
          <cell r="J370" t="str">
            <v>23124114</v>
          </cell>
          <cell r="K370" t="str">
            <v xml:space="preserve">Nguyễn Lê Ngọc Hân 23124076
Châu Kim Ngân 23124101
Nguyễn Thị Diễm Quỳnh 23124123
Đỗ Thanh Trúc 23124147 </v>
          </cell>
          <cell r="L370" t="str">
            <v>Tô Trần Lam Giang</v>
          </cell>
          <cell r="M370" t="str">
            <v>Khoa Kinh tế</v>
          </cell>
          <cell r="N370" t="str">
            <v>lamgiangkkt@hcmute.edu.vn</v>
          </cell>
          <cell r="O370" t="str">
            <v>1 bài báo cáo tổng kết phân tích</v>
          </cell>
        </row>
        <row r="371">
          <cell r="B371" t="str">
            <v>SV2026-392</v>
          </cell>
          <cell r="C371" t="str">
            <v>rr</v>
          </cell>
          <cell r="D371" t="str">
            <v>X</v>
          </cell>
          <cell r="E371"/>
          <cell r="F371" t="str">
            <v xml:space="preserve"> Ảnh hưởng của Trò chơi hóa (Gamification) đến ý định mua hàng trực tuyến đối với Sinh viên sử dụng Ứng dụng Shopee tại TP. Hồ Chí Minh</v>
          </cell>
          <cell r="G371" t="str">
            <v>Nguyễn Thị Kiều Nhi 24126168</v>
          </cell>
          <cell r="H371" t="str">
            <v xml:space="preserve">Nguyễn Thị Kiều Nhi </v>
          </cell>
          <cell r="I371" t="str">
            <v>Kinh tế</v>
          </cell>
          <cell r="J371" t="str">
            <v>24126168</v>
          </cell>
          <cell r="K371" t="str">
            <v>Sái Ngọc Nhi 24126169
Trần Vũ Tú Oanh 24126177</v>
          </cell>
          <cell r="L371" t="str">
            <v>Nguyễn Khắc Hiếu</v>
          </cell>
          <cell r="M371" t="str">
            <v>Khoa Kinh tế</v>
          </cell>
          <cell r="N371" t="str">
            <v>hieunk@hcmute.edu.vn</v>
          </cell>
          <cell r="O371" t="str">
            <v>1 báo cáo tổng hợp
1 bài báo trong danh mục HDGSNN được tính 0,5 điểm</v>
          </cell>
        </row>
        <row r="372">
          <cell r="B372" t="str">
            <v>SV2026-393</v>
          </cell>
          <cell r="C372" t="str">
            <v>rr</v>
          </cell>
          <cell r="D372" t="str">
            <v>X</v>
          </cell>
          <cell r="E372"/>
          <cell r="F372" t="str">
            <v>Nghiên cứu ảnh hưởng của đặc điểm Hội đông quản trị đến hành vi tránh thuế: Nghiên cứu trường hợp các công ty niêm yết ở Việt Nam.</v>
          </cell>
          <cell r="G372" t="str">
            <v>Nguyễn Kim Ngân 23125015</v>
          </cell>
          <cell r="H372" t="str">
            <v xml:space="preserve">Nguyễn Kim Ngân </v>
          </cell>
          <cell r="I372" t="str">
            <v>Kinh tế</v>
          </cell>
          <cell r="J372" t="str">
            <v>23125015</v>
          </cell>
          <cell r="K372" t="str">
            <v>Nguyễn Phạm Diệu Chi 23125005
Trần Ngọc Hà 23125009</v>
          </cell>
          <cell r="L372" t="str">
            <v>Cao Thị Nhân Anh</v>
          </cell>
          <cell r="M372" t="str">
            <v>Khoa Kinh tế</v>
          </cell>
          <cell r="N372" t="str">
            <v>anhctn@hcmute.edu.vn</v>
          </cell>
          <cell r="O372" t="str">
            <v>1 báo cáo phân tích</v>
          </cell>
        </row>
        <row r="373">
          <cell r="B373" t="str">
            <v>SV2026-394</v>
          </cell>
          <cell r="C373" t="str">
            <v>R</v>
          </cell>
          <cell r="D373" t="str">
            <v>X</v>
          </cell>
          <cell r="E373"/>
          <cell r="F373" t="str">
            <v>Nghiên Cứu Sự Kết Hợp Phân Tích Cảm Xúc Và Dự Đoán Hành Vi Rời Bỏ Của Khách Hàng Bằng Mô Hình Máy Học Machine Learning Với Nghiên Cứu Thực Nghiệm Trên Dữ Liệu Của Các Sàn Thương Mại Điện Tử Việt Nam.</v>
          </cell>
          <cell r="G373" t="str">
            <v>Dương Thái Quyên 24126188</v>
          </cell>
          <cell r="H373" t="str">
            <v xml:space="preserve">Dương Thái Quyên </v>
          </cell>
          <cell r="I373" t="str">
            <v>Kinh tế</v>
          </cell>
          <cell r="J373" t="str">
            <v>24126188</v>
          </cell>
          <cell r="K373" t="str">
            <v>Vũ Thị Hồng Thương 24126235
Trần Thái Sinh 24126192
Trần Hoàng Nhật Thanh 24126203
Nguyễn Minh Khoa 24126104</v>
          </cell>
          <cell r="L373" t="str">
            <v>Trần Kim Toại</v>
          </cell>
          <cell r="M373" t="str">
            <v>Khoa Kinh tế</v>
          </cell>
          <cell r="N373" t="str">
            <v>toaitk@hcmute.edu.vn</v>
          </cell>
          <cell r="O373" t="str">
            <v>Mô hình máy học tích hợp; Báo cáo nghiên cứu khoa học; Giao diện thử nghiệm (prototype), Chương trình máy tính</v>
          </cell>
        </row>
        <row r="374">
          <cell r="B374" t="str">
            <v>SV2026-395</v>
          </cell>
          <cell r="C374" t="str">
            <v>rr</v>
          </cell>
          <cell r="D374" t="str">
            <v>X</v>
          </cell>
          <cell r="E374"/>
          <cell r="F374" t="str">
            <v>Các yếu tố ảnh hưởng đến ý định tham gia các hoạt động tình nguyện của sinh viên</v>
          </cell>
          <cell r="G374" t="str">
            <v>Trần Đình Năm 23136062</v>
          </cell>
          <cell r="H374" t="str">
            <v xml:space="preserve">Trần Đình Năm </v>
          </cell>
          <cell r="I374" t="str">
            <v>Kinh tế</v>
          </cell>
          <cell r="J374" t="str">
            <v>23136062</v>
          </cell>
          <cell r="K374" t="str">
            <v>Thái Thị Thanh Thưởng 23136113
Nguyễn Mai Trúc 24126261
Nguyễn Lê Ái Trúc22125073</v>
          </cell>
          <cell r="L374" t="str">
            <v>Nguyễn Phan Như Ngọc</v>
          </cell>
          <cell r="M374" t="str">
            <v>Khoa Kinh tế</v>
          </cell>
          <cell r="N374" t="str">
            <v>ngocnpn@hcmute.edu.vn</v>
          </cell>
          <cell r="O374" t="str">
            <v>1 báo cáo tổng hợp
1 bài báo trong danh mục HDGSNN được tính 0,5 điểm</v>
          </cell>
        </row>
        <row r="375">
          <cell r="B375" t="str">
            <v>SV2026-396</v>
          </cell>
          <cell r="C375" t="str">
            <v>rr</v>
          </cell>
          <cell r="D375" t="str">
            <v>X</v>
          </cell>
          <cell r="E375" t="str">
            <v>x</v>
          </cell>
          <cell r="F375" t="str">
            <v>Đánh giá mức độ ảnh hưởng của bao bì đến hành vi sống xanh của sinh viên trường Đại học Công nghệ Kỹ thuật TP.HCM</v>
          </cell>
          <cell r="G375" t="str">
            <v>Trần Ngọc Anh 24124094</v>
          </cell>
          <cell r="H375" t="str">
            <v xml:space="preserve">Trần Ngọc Anh </v>
          </cell>
          <cell r="I375" t="str">
            <v>Kinh tế</v>
          </cell>
          <cell r="J375" t="str">
            <v>24124094</v>
          </cell>
          <cell r="K375" t="str">
            <v>Phan Đăng Bảo 23128091
Huỳnh Bảo Hân 24124121</v>
          </cell>
          <cell r="L375" t="str">
            <v>Phan Văn Hồng Thắng</v>
          </cell>
          <cell r="M375" t="str">
            <v>Khoa Kinh tế</v>
          </cell>
          <cell r="N375" t="str">
            <v>thangpvh@hcmute.edu.vn</v>
          </cell>
          <cell r="O375" t="str">
            <v>1 báo cáo tổng hợp
1 bài báo trong danh mục HDGSNN được tính 0,5 điểm</v>
          </cell>
        </row>
        <row r="376">
          <cell r="B376" t="str">
            <v>SV2026-397</v>
          </cell>
          <cell r="C376" t="str">
            <v>R (làm lại 4 hđ theo tên mới)</v>
          </cell>
          <cell r="D376" t="str">
            <v>X</v>
          </cell>
          <cell r="E376" t="str">
            <v>x</v>
          </cell>
          <cell r="F376" t="str">
            <v>Đánh giá ảnh hưởng của hệ thống chat bot AI đối  với khả năng tự học của sinh viên đại học Công nghệ Kỹ thuật TP.HCM</v>
          </cell>
          <cell r="G376" t="str">
            <v>Đoàn Trần Thiên Phúc 24124172</v>
          </cell>
          <cell r="H376" t="str">
            <v xml:space="preserve">Đoàn Trần Thiên Phúc </v>
          </cell>
          <cell r="I376" t="str">
            <v>Kinh tế</v>
          </cell>
          <cell r="J376" t="str">
            <v>24124172</v>
          </cell>
          <cell r="K376" t="str">
            <v>Trần Ngọc Anh 24124094
Trương Thị Ngọc Trinh 22131153
Nguyễn Minh Hoàng 24124128</v>
          </cell>
          <cell r="L376" t="str">
            <v xml:space="preserve">Nguyễn Danh Hà Thái </v>
          </cell>
          <cell r="M376" t="str">
            <v>Khoa Kinh tế</v>
          </cell>
          <cell r="N376" t="str">
            <v>thaindh@hcmute.edu.vn</v>
          </cell>
          <cell r="O376" t="str">
            <v>1 báo cáo tổng hợp
1 bài báo trong danh mục HDGSNN được tính 0,5 điểm</v>
          </cell>
        </row>
        <row r="377">
          <cell r="B377" t="str">
            <v>SV2026-398</v>
          </cell>
          <cell r="C377" t="str">
            <v>rr</v>
          </cell>
          <cell r="D377" t="str">
            <v>X</v>
          </cell>
          <cell r="E377"/>
          <cell r="F377" t="str">
            <v>Các yếu tố tác động đến ý định mua mỹ phẩm xanh của sinh viên tại TP. Hồ Chí Minh</v>
          </cell>
          <cell r="G377" t="str">
            <v>Nguyễn Võ Minh Anh 24126008</v>
          </cell>
          <cell r="H377" t="str">
            <v xml:space="preserve">Nguyễn Võ Minh Anh </v>
          </cell>
          <cell r="I377" t="str">
            <v>Kinh tế</v>
          </cell>
          <cell r="J377" t="str">
            <v>24126008</v>
          </cell>
          <cell r="K377" t="str">
            <v>Nguyễn Thị Mỹ Kiều 24126108
Lê Phương Anh 24126002
Nguyễn Trọng Khôi 24126106
Phạm Đình Trọng 24126255</v>
          </cell>
          <cell r="L377" t="str">
            <v>Nguyễn Phan Như Ngọc</v>
          </cell>
          <cell r="M377" t="str">
            <v>Khoa Kinh tế</v>
          </cell>
          <cell r="N377" t="str">
            <v>ngocnpn@hcmute.edu.vn</v>
          </cell>
          <cell r="O377" t="str">
            <v>1 báo cáo tổng hợp</v>
          </cell>
        </row>
        <row r="378">
          <cell r="B378" t="str">
            <v>SV2026-399</v>
          </cell>
          <cell r="C378" t="str">
            <v>R (đổi tên đt thêm chữ ngầm)</v>
          </cell>
          <cell r="D378" t="str">
            <v>X</v>
          </cell>
          <cell r="E378" t="str">
            <v>x</v>
          </cell>
          <cell r="F378" t="str">
            <v>Nghiên cứu các yếu tố ảnh hưởng đến ý định sử dụng hệ thống tàu điện ngầm Metro của học sinh và sinh viên tại Thành phố Hồ Chí Minh</v>
          </cell>
          <cell r="G378" t="str">
            <v>Lê Thị Thu Hà 23124073</v>
          </cell>
          <cell r="H378" t="str">
            <v xml:space="preserve">Lê Thị Thu Hà </v>
          </cell>
          <cell r="I378" t="str">
            <v>Kinh tế</v>
          </cell>
          <cell r="J378" t="str">
            <v>23124073</v>
          </cell>
          <cell r="K378" t="str">
            <v>Nguyễn Hoàng Phương Vi 23124158
Cao Phương Vy 23124161
Phan Hồng My 23124096
Trần Nguyễn Nhật Uyên 22124902</v>
          </cell>
          <cell r="L378" t="str">
            <v>Tô Trần Lam Giang</v>
          </cell>
          <cell r="M378" t="str">
            <v>Khoa Kinh tế</v>
          </cell>
          <cell r="N378" t="str">
            <v>lamgiangkkt@hcmute.edu.vn</v>
          </cell>
          <cell r="O378" t="str">
            <v>1 báo cáo tổng hợp
1 bài báo trong danh mục HDGSNN được tính 0,5 điểm</v>
          </cell>
        </row>
        <row r="379">
          <cell r="B379" t="str">
            <v>SV2026-400</v>
          </cell>
          <cell r="C379" t="str">
            <v>rr</v>
          </cell>
          <cell r="D379" t="str">
            <v>X</v>
          </cell>
          <cell r="E379" t="str">
            <v>x</v>
          </cell>
          <cell r="F379" t="str">
            <v>Tác Động Của Chatbot AI Trong Thương Mại Điện Tử Đến Sự Hài Lòng Của Người Tiêu Dùng Tại Thành Phố Hồ Chí Minh</v>
          </cell>
          <cell r="G379" t="str">
            <v>Trương Ngọc An Thanh 23136095</v>
          </cell>
          <cell r="H379" t="str">
            <v xml:space="preserve">Trương Ngọc An Thanh </v>
          </cell>
          <cell r="I379" t="str">
            <v>Kinh tế</v>
          </cell>
          <cell r="J379" t="str">
            <v>23136095</v>
          </cell>
          <cell r="K379">
            <v>0</v>
          </cell>
          <cell r="L379" t="str">
            <v>Hồ Thị Hồng Xuyên</v>
          </cell>
          <cell r="M379" t="str">
            <v>Khoa Kinh tế</v>
          </cell>
          <cell r="N379" t="str">
            <v>xuyenhth@hcmute.edu.vn</v>
          </cell>
          <cell r="O379" t="str">
            <v>1 báo cáo tổng hợp
1 bài báo trong danh mục HDGSNN được tính 0,5 điểm</v>
          </cell>
        </row>
        <row r="380">
          <cell r="B380" t="str">
            <v>SV2026-401</v>
          </cell>
          <cell r="C380" t="str">
            <v>rr</v>
          </cell>
          <cell r="D380"/>
          <cell r="E380"/>
          <cell r="F380" t="str">
            <v>Các yếu tố ảnh hưởng đến hành vi mua hàng xanh của người tiêu dùng trên địa bàn Thành phố Hồ Chí Minh</v>
          </cell>
          <cell r="G380" t="str">
            <v>Phạm Thị Bảo Trân 23126044</v>
          </cell>
          <cell r="H380" t="str">
            <v xml:space="preserve">Phạm Thị Bảo Trân </v>
          </cell>
          <cell r="I380" t="str">
            <v>Kinh tế</v>
          </cell>
          <cell r="J380" t="str">
            <v>23126044</v>
          </cell>
          <cell r="K380" t="str">
            <v xml:space="preserve">Nguyễn Thị Kiều Chinh 23126007
Tạ Ngọc Thuý Vy 23126057
Phạm Thanh Lâm 21161143 </v>
          </cell>
          <cell r="L380" t="str">
            <v>Trương Thị Hòa</v>
          </cell>
          <cell r="M380" t="str">
            <v>Khoa Kinh tế</v>
          </cell>
          <cell r="N380" t="str">
            <v>hoatt@hcmute.edu.vn</v>
          </cell>
          <cell r="O380" t="str">
            <v>1 báo cáo tổng hợp</v>
          </cell>
        </row>
        <row r="381">
          <cell r="B381" t="str">
            <v>SV2026-402</v>
          </cell>
          <cell r="C381" t="str">
            <v>rr</v>
          </cell>
          <cell r="D381" t="str">
            <v>X</v>
          </cell>
          <cell r="E381" t="str">
            <v>x</v>
          </cell>
          <cell r="F381" t="str">
            <v>Các đặc điểm của AI Streamer ảnh hưởng đến ý định mua hàng trong Live commerce</v>
          </cell>
          <cell r="G381" t="str">
            <v>Lê Thị Hải Nhi 24126164</v>
          </cell>
          <cell r="H381" t="str">
            <v xml:space="preserve">Lê Thị Hải Nhi </v>
          </cell>
          <cell r="I381" t="str">
            <v>Kinh tế</v>
          </cell>
          <cell r="J381" t="str">
            <v>24126164</v>
          </cell>
          <cell r="K381" t="str">
            <v>Trần Thị Na 23126141
Đỗ Quốc Khánh 24126099
Đỗ Hữu Nghĩa 24126149
Vũ Trọng Huy 24126090</v>
          </cell>
          <cell r="L381" t="str">
            <v>Nguyễn Danh Hà Thái</v>
          </cell>
          <cell r="M381" t="str">
            <v>Khoa Kinh tế</v>
          </cell>
          <cell r="N381" t="str">
            <v>thaindh@hcmute.edu.vn</v>
          </cell>
          <cell r="O381" t="str">
            <v xml:space="preserve">1 bài báo đăng tạp chí trong danh mục của Hội đồng giáo sư nhà nước có điểm từ 0,5-1,0
1 báo cáo phân tích tổng hợp </v>
          </cell>
        </row>
        <row r="382">
          <cell r="B382" t="str">
            <v>SV2026-403</v>
          </cell>
          <cell r="C382" t="str">
            <v>rr</v>
          </cell>
          <cell r="D382" t="str">
            <v>X</v>
          </cell>
          <cell r="E382"/>
          <cell r="F382" t="str">
            <v>Các nhân tố ảnh hưởng đến ý định mua hàng tại các cửa hàng ảo: Nghiên cứu thực nghiệm tại Việt Nam</v>
          </cell>
          <cell r="G382" t="str">
            <v>Nguyễn Ngọc Phương Dung 24126035</v>
          </cell>
          <cell r="H382" t="str">
            <v xml:space="preserve">Nguyễn Ngọc Phương Dung </v>
          </cell>
          <cell r="I382" t="str">
            <v>Kinh tế</v>
          </cell>
          <cell r="J382" t="str">
            <v>24126035</v>
          </cell>
          <cell r="K382" t="str">
            <v>Trần Quang Đại 24126040
Nguyễn Viết Nam 24126142
Lê Uyên Nhã 22124015</v>
          </cell>
          <cell r="L382" t="str">
            <v>Nguyễn Danh Hà Thái</v>
          </cell>
          <cell r="M382" t="str">
            <v>Khoa Kinh tế</v>
          </cell>
          <cell r="N382" t="str">
            <v>thaindh@hcmute.edu.vn</v>
          </cell>
          <cell r="O382" t="str">
            <v>1 báo cáo tổng hợp
1 bài báo trong danh mục HDGSNN được tính 0,5-1 điểm</v>
          </cell>
        </row>
        <row r="383">
          <cell r="B383" t="str">
            <v>SV2026-404</v>
          </cell>
          <cell r="C383" t="str">
            <v>rr</v>
          </cell>
          <cell r="D383" t="str">
            <v>X</v>
          </cell>
          <cell r="E383"/>
          <cell r="F383" t="str">
            <v>Nghiên cứu,mô phỏng tín hiệu giao tiếp can bus cho hệ thống thông tin trên ô tô bằng phần mềm LABVIEW phục vụ dạy học.</v>
          </cell>
          <cell r="G383" t="str">
            <v>Huỳnh Nhật Huy 22145153</v>
          </cell>
          <cell r="H383" t="str">
            <v xml:space="preserve">Huỳnh Nhật Huy </v>
          </cell>
          <cell r="I383" t="str">
            <v>Giao thông và Năng lượng</v>
          </cell>
          <cell r="J383" t="str">
            <v>22145153</v>
          </cell>
          <cell r="K383" t="str">
            <v>Cao Thế Duyệt 22145117
Phạm Trần Đăng Khoa 22145177</v>
          </cell>
          <cell r="L383" t="str">
            <v>Trần Hữu Quy</v>
          </cell>
          <cell r="M383" t="str">
            <v>Khoa Giao thông và Năng lượng</v>
          </cell>
          <cell r="N383" t="str">
            <v>quyth@hcmute.edu.vn</v>
          </cell>
          <cell r="O383" t="str">
            <v>01 Báo cáo tổng kết 
01 Mô hình giao tiếp giữa Labview và hệ thống thông tin trên xe Kia Morning 2016</v>
          </cell>
        </row>
        <row r="384">
          <cell r="B384" t="str">
            <v>SV2026-405</v>
          </cell>
          <cell r="C384" t="str">
            <v>rr</v>
          </cell>
          <cell r="D384" t="str">
            <v>X</v>
          </cell>
          <cell r="E384"/>
          <cell r="F384" t="str">
            <v>Nghiên cứu, chế tạo thiết bị thu thập và quản lí dữ liệu thông số trên ô tô thông qua giao tiếp Can Bus</v>
          </cell>
          <cell r="G384" t="str">
            <v>Nguyễn Đăng Tùng 22145284</v>
          </cell>
          <cell r="H384" t="str">
            <v xml:space="preserve">Nguyễn Đăng Tùng </v>
          </cell>
          <cell r="I384" t="str">
            <v>Giao thông và Năng lượng</v>
          </cell>
          <cell r="J384" t="str">
            <v>22145284</v>
          </cell>
          <cell r="K384" t="str">
            <v>Lê Đình Tài 22145232
Trần Huy Tài 22145236
Trần Mạnh Tài 22145237
Trần Phát Tài 22145238</v>
          </cell>
          <cell r="L384" t="str">
            <v>Trần Hữu Quy</v>
          </cell>
          <cell r="M384" t="str">
            <v>Khoa Giao thông và Năng lượng</v>
          </cell>
          <cell r="N384" t="str">
            <v>quyth@hcmute.edu.vn</v>
          </cell>
          <cell r="O384" t="str">
            <v xml:space="preserve">01 Báo cáo tổng kết 
01 Thiết bị giao tiếp CAN Bus với vi điều khiển và web quản lí dự liệu
</v>
          </cell>
        </row>
        <row r="385">
          <cell r="B385" t="str">
            <v>SV2026-406</v>
          </cell>
          <cell r="C385" t="str">
            <v>R (in lại trang 1 TM bỏ chữ xế)</v>
          </cell>
          <cell r="D385" t="str">
            <v>X</v>
          </cell>
          <cell r="E385"/>
          <cell r="F385" t="str">
            <v>Thiết kế và chế tạo thiết bị cảnh báo buồn ngủ cho tài</v>
          </cell>
          <cell r="G385" t="str">
            <v>Nguyễn Phan Duy Vĩnh 23145240</v>
          </cell>
          <cell r="H385" t="str">
            <v xml:space="preserve">Nguyễn Phan Duy Vĩnh </v>
          </cell>
          <cell r="I385" t="str">
            <v>Giao thông và Năng lượng</v>
          </cell>
          <cell r="J385" t="str">
            <v>23145240</v>
          </cell>
          <cell r="K385" t="str">
            <v>Cao Nguyễn Phúc 22145215
Nguyễn Thế Kiệt 22145184
Phạm Quán Quân 22145226
Lê Trọng Nghĩa 23145159</v>
          </cell>
          <cell r="L385" t="str">
            <v>Trần Hữu Quy</v>
          </cell>
          <cell r="M385" t="str">
            <v>Khoa Giao thông và Năng lượng</v>
          </cell>
          <cell r="N385" t="str">
            <v>quyth@hcmute.edu.vn</v>
          </cell>
          <cell r="O385" t="str">
            <v>01 Báo cáo tổng kết
01 Thiết bị cảnh báo buồn ngủ cho tài xế (không có hợp đồng chuyển giao công nghệ)</v>
          </cell>
        </row>
        <row r="386">
          <cell r="B386" t="str">
            <v>SV2026-408</v>
          </cell>
          <cell r="C386" t="str">
            <v>rr</v>
          </cell>
          <cell r="D386" t="str">
            <v>X</v>
          </cell>
          <cell r="E386" t="str">
            <v>x</v>
          </cell>
          <cell r="F386" t="str">
            <v>Nghiên cứu, thiết kế hệ thống dự đoán góc lật ô tô theo thời gian thực sử dụng mạng nơ-ron nhân tạo trên nền tảng hệ thống nhúng.</v>
          </cell>
          <cell r="G386" t="str">
            <v>Nguyễn Đức Phát 23145167</v>
          </cell>
          <cell r="H386" t="str">
            <v xml:space="preserve">Nguyễn Đức Phát </v>
          </cell>
          <cell r="I386" t="str">
            <v>Giao thông và Năng lượng</v>
          </cell>
          <cell r="J386" t="str">
            <v>23145167</v>
          </cell>
          <cell r="K386">
            <v>0</v>
          </cell>
          <cell r="L386" t="str">
            <v>Nguyễn Thành Tuyên</v>
          </cell>
          <cell r="M386" t="str">
            <v>Khoa Giao thông và Năng lượng</v>
          </cell>
          <cell r="N386" t="str">
            <v>tuyennt@hcmute.edu.vn</v>
          </cell>
          <cell r="O386" t="str">
            <v>01 Báo cáo tổng kết
01 Thiết bị dự đoán góc lật ô tô theo thời gian thực (không có hợp đồng chuyển giao công nghệ)</v>
          </cell>
        </row>
        <row r="387">
          <cell r="B387" t="str">
            <v>SV2026-409</v>
          </cell>
          <cell r="C387" t="str">
            <v>rr</v>
          </cell>
          <cell r="D387" t="str">
            <v>X</v>
          </cell>
          <cell r="E387"/>
          <cell r="F387" t="str">
            <v>Thiết kế và chế tạo mô hình xe tự hành thông qua việc xử lý hình ảnh thông minh bằng thị giác máy tính.</v>
          </cell>
          <cell r="G387" t="str">
            <v>Trần Đông Hồ 23145104</v>
          </cell>
          <cell r="H387" t="str">
            <v xml:space="preserve">Trần Đông Hồ </v>
          </cell>
          <cell r="I387" t="str">
            <v>Giao thông và Năng lượng</v>
          </cell>
          <cell r="J387" t="str">
            <v>23145104</v>
          </cell>
          <cell r="K387" t="str">
            <v>Phạm Văn Hồng 23145105
Ngô Minh Quân 23145182
Nguyễn Thanh Tín 23145215
Đỗ Xuân Trà 23145219</v>
          </cell>
          <cell r="L387" t="str">
            <v>Văn Ánh Dương</v>
          </cell>
          <cell r="M387" t="str">
            <v>Khoa Giao thông và Năng lượng</v>
          </cell>
          <cell r="N387" t="str">
            <v>duongva@hcmute.edu.vn</v>
          </cell>
          <cell r="O387" t="str">
            <v xml:space="preserve">01 Báo cáo tổng kết
01 mô hình xe tự hành bằng xử lý ảnh (không có hợp đồng chuyển giao công nghệ) </v>
          </cell>
        </row>
        <row r="388">
          <cell r="B388" t="str">
            <v>SV2026-410</v>
          </cell>
          <cell r="C388" t="str">
            <v>rr</v>
          </cell>
          <cell r="D388" t="str">
            <v>X</v>
          </cell>
          <cell r="E388"/>
          <cell r="F388" t="str">
            <v>Nghiên cứu tác động của chất lỏng đến tính bền của xi téc và tính ổn định vận hành của ô tô chữa cháy nhãn hiệu FM8JN7A-R/VINHTHINHXCC1</v>
          </cell>
          <cell r="G388" t="str">
            <v>Nguyễn Trọng Sơn 22145231</v>
          </cell>
          <cell r="H388" t="str">
            <v xml:space="preserve">Nguyễn Trọng Sơn </v>
          </cell>
          <cell r="I388" t="str">
            <v>Giao thông và Năng lượng</v>
          </cell>
          <cell r="J388" t="str">
            <v>22145231</v>
          </cell>
          <cell r="K388" t="str">
            <v>Nguyễn Phan Thu Hiền 22145137</v>
          </cell>
          <cell r="L388" t="str">
            <v>Văn Ánh Dương</v>
          </cell>
          <cell r="M388" t="str">
            <v>Khoa Giao thông và Năng lượng</v>
          </cell>
          <cell r="N388" t="str">
            <v>duongva@hcmute.edu.vn</v>
          </cell>
          <cell r="O388" t="str">
            <v>01 Báo cáo tổng kết
01 Bài báo khoa học đăng trên tạp chí trong nước trong danh mục của HĐ GSNN tính từ 0,5 điểm trở lên</v>
          </cell>
        </row>
        <row r="389">
          <cell r="B389" t="str">
            <v>SV2026-412</v>
          </cell>
          <cell r="C389" t="str">
            <v>rr</v>
          </cell>
          <cell r="D389" t="str">
            <v>X</v>
          </cell>
          <cell r="E389"/>
          <cell r="F389" t="str">
            <v>Thiết kế và lập trình mạch điều khiển máy bơm lốp tự động cho xe máy, ô tô.</v>
          </cell>
          <cell r="G389" t="str">
            <v>Huỳnh Trí Hiếu 23145095</v>
          </cell>
          <cell r="H389" t="str">
            <v xml:space="preserve">Huỳnh Trí Hiếu </v>
          </cell>
          <cell r="I389" t="str">
            <v>Giao thông và Năng lượng</v>
          </cell>
          <cell r="J389" t="str">
            <v>23145095</v>
          </cell>
          <cell r="K389" t="str">
            <v>Phan Minh Hoàng 23145102
Danh Tăng Gia Huy 23145106
Trịnh Minh Hoan 23145099
Ma Nhật Thăng 23145199</v>
          </cell>
          <cell r="L389" t="str">
            <v>Văn Ánh Dương</v>
          </cell>
          <cell r="M389" t="str">
            <v>Khoa Giao thông và Năng lượng</v>
          </cell>
          <cell r="N389" t="str">
            <v>duongva@hcmute.edu.vn</v>
          </cell>
          <cell r="O389" t="str">
            <v xml:space="preserve">01 Báo cáo tổng kết
01 Mô hình bơm lốp tự động tích hợp điều khiển qua App (không có hợp đồng chuyển giao công nghệ) </v>
          </cell>
        </row>
        <row r="390">
          <cell r="B390" t="str">
            <v>SV2026-413</v>
          </cell>
          <cell r="C390" t="str">
            <v>rr</v>
          </cell>
          <cell r="D390" t="str">
            <v>X</v>
          </cell>
          <cell r="E390"/>
          <cell r="F390" t="str">
            <v>Nghiên cứu lý thuyết và thực nghiệm bộ trao đổi nhiệt ghép tầng R134a /CO2 với công suất là 6kW</v>
          </cell>
          <cell r="G390" t="str">
            <v>Lê Quang Thọ 23147076</v>
          </cell>
          <cell r="H390" t="str">
            <v xml:space="preserve">Lê Quang Thọ </v>
          </cell>
          <cell r="I390" t="str">
            <v>Giao thông và Năng lượng</v>
          </cell>
          <cell r="J390" t="str">
            <v>23147076</v>
          </cell>
          <cell r="K390" t="str">
            <v>Nguyễn Quốc Trung 23147083</v>
          </cell>
          <cell r="L390" t="str">
            <v>Đặng Thành Trung</v>
          </cell>
          <cell r="M390" t="str">
            <v>Khoa Giao thông và Năng lượng</v>
          </cell>
          <cell r="N390" t="str">
            <v>trungdang@hcmute.edu.vn</v>
          </cell>
          <cell r="O390" t="str">
            <v>01 Báo cáo tổng kết
01 Kết quả so sánh và đánh giá sự sai lệch giữa mô hình lý thuyết và kết quả thực nghiệm. Xây dựng được mô hình lý thuyết của bộ trao đổi nhiệt của hệ thống lạnh ghép tầng. Xác định được các đặc tính vận hành thực tế như nhiệt độ, vận tốc, áp suất, hiệu suất trao đổi nhiệt và công suất truyền nhiệt của thiết bị ở công suất 6kW</v>
          </cell>
        </row>
        <row r="391">
          <cell r="B391" t="str">
            <v>SV2026-414</v>
          </cell>
          <cell r="C391" t="str">
            <v>rr</v>
          </cell>
          <cell r="D391" t="str">
            <v>X</v>
          </cell>
          <cell r="E391"/>
          <cell r="F391" t="str">
            <v>Tính toán lý thuyết và thực nghiệm dàn lạnh CO2 trong hệ thống lạnh ghép tầng R134a có năng suất lạnh 5kW.</v>
          </cell>
          <cell r="G391" t="str">
            <v>Nguyễn Thị Lan Anh 23147008</v>
          </cell>
          <cell r="H391" t="str">
            <v xml:space="preserve">Nguyễn Thị Lan Anh </v>
          </cell>
          <cell r="I391" t="str">
            <v>Giao thông và Năng lượng</v>
          </cell>
          <cell r="J391" t="str">
            <v>23147008</v>
          </cell>
          <cell r="K391" t="str">
            <v>Trần Thị Quỳnh 23147068</v>
          </cell>
          <cell r="L391" t="str">
            <v>Đặng Thành Trung</v>
          </cell>
          <cell r="M391" t="str">
            <v>Khoa Giao thông và Năng lượng</v>
          </cell>
          <cell r="N391" t="str">
            <v>trungdang@hcmute.edu.vn</v>
          </cell>
          <cell r="O391" t="str">
            <v xml:space="preserve">01 Báo cáo tổng kết
- Tài liệu mô tả phần tính toán và sơ đồ nguyên lý của hệ thống lạnh ghép tầng CO2/R134a.
- Mô hình thực nghiệm
- Kết quả thực nghiệm
</v>
          </cell>
        </row>
        <row r="392">
          <cell r="B392" t="str">
            <v>SV2026-415</v>
          </cell>
          <cell r="C392" t="str">
            <v>rr</v>
          </cell>
          <cell r="D392"/>
          <cell r="E392" t="str">
            <v>x</v>
          </cell>
          <cell r="F392" t="str">
            <v>Thiết kế hệ thống IoT giám sát năng lượng mặt trời và gió</v>
          </cell>
          <cell r="G392" t="str">
            <v>Nguyễn Khắc Duy 22154010</v>
          </cell>
          <cell r="H392" t="str">
            <v xml:space="preserve">Nguyễn Khắc Duy </v>
          </cell>
          <cell r="I392" t="str">
            <v>Giao thông và Năng lượng</v>
          </cell>
          <cell r="J392" t="str">
            <v>22154010</v>
          </cell>
          <cell r="K392" t="str">
            <v>Danh Vũ Thị Ngọc Hân 22154013
Trần Quang Minh 22154033
Trần Anh Khoa 23154048</v>
          </cell>
          <cell r="L392" t="str">
            <v>Nguyễn Văn Trung</v>
          </cell>
          <cell r="M392" t="str">
            <v>Khoa Giao thông và Năng lượng</v>
          </cell>
          <cell r="N392" t="str">
            <v>trungnv@hcmute.edu.vn</v>
          </cell>
          <cell r="O392" t="str">
            <v>01 Báo cáo tổng kết
01 Bài báo khoa học đăng trên tạp chí trong nước trong danh mục của HĐ GSNN tính từ 0,5 điểm trở lên; hoặc bài báo đăng trên tạp chí quốc tế có chỉ số xuất bản ISSN; hoặc sản phẩm mô hình, thiết bị có hợp đồng chuyển giao công nghệ phục vụ cộng đồng.</v>
          </cell>
        </row>
        <row r="393">
          <cell r="B393" t="str">
            <v>SV2026-416</v>
          </cell>
          <cell r="C393" t="str">
            <v>rr</v>
          </cell>
          <cell r="D393" t="str">
            <v>X</v>
          </cell>
          <cell r="E393"/>
          <cell r="F393" t="str">
            <v>Thiết kế và xây dựng mô hình thực hành PLC ứng dụng trong Năng lượng Tái tạo.</v>
          </cell>
          <cell r="G393" t="str">
            <v>Trần Anh Khoa 23154048</v>
          </cell>
          <cell r="H393" t="str">
            <v xml:space="preserve">Trần Anh Khoa </v>
          </cell>
          <cell r="I393" t="str">
            <v>Giao thông và Năng lượng</v>
          </cell>
          <cell r="J393" t="str">
            <v>23154048</v>
          </cell>
          <cell r="K393" t="str">
            <v>Nguyễn Bá Khanh 23154046
Nguyễn Trung Nghĩa 23154060
Huỳnh Lê Ngọc Hân 23154033</v>
          </cell>
          <cell r="L393" t="str">
            <v>Nguyễn Văn Trung</v>
          </cell>
          <cell r="M393" t="str">
            <v>Khoa Giao thông và Năng lượng</v>
          </cell>
          <cell r="N393" t="str">
            <v>trungnv@hcmute.edu.vn</v>
          </cell>
          <cell r="O393" t="str">
            <v>Bài báo khoa học đăng trên tạp chí trong nước trong danh mục của HĐ GSNN tính từ 0,5 điểm trở lên; hoặc bài báo đăng trên tạp chí quốc tế có chỉ số xuất bản ISSN; hoặc sản phẩm mô hình, thiết bị có hợp đồng chuyển giao công nghệ phục vụ cộng đồng.</v>
          </cell>
        </row>
        <row r="394">
          <cell r="B394" t="str">
            <v>SV2026-417</v>
          </cell>
          <cell r="C394" t="str">
            <v>rr</v>
          </cell>
          <cell r="D394" t="str">
            <v>X</v>
          </cell>
          <cell r="E394" t="str">
            <v>x</v>
          </cell>
          <cell r="F394" t="str">
            <v>Thiết kế và xây dựng mô hình hệ thống giám sát và cảnh báo pin trên nền tảng hệ thống nhúng sử dụng CAN Bus</v>
          </cell>
          <cell r="G394" t="str">
            <v>Phạm Minh Đức 23145084</v>
          </cell>
          <cell r="H394" t="str">
            <v xml:space="preserve">Phạm Minh Đức </v>
          </cell>
          <cell r="I394" t="str">
            <v>Giao thông và Năng lượng</v>
          </cell>
          <cell r="J394" t="str">
            <v>23145084</v>
          </cell>
          <cell r="K394" t="str">
            <v>Lê Thành Phát 23145165</v>
          </cell>
          <cell r="L394" t="str">
            <v>Lê Thanh Phúc</v>
          </cell>
          <cell r="M394" t="str">
            <v>Khoa Giao thông và Năng lượng</v>
          </cell>
          <cell r="N394" t="str">
            <v>phuclt@hcmute.edu.vn</v>
          </cell>
          <cell r="O394" t="str">
            <v>01 Báo cáo tổng kết
01 Mô hình hệ thống giám sát và cảnh báo pin xe điện qua CAN Bus</v>
          </cell>
        </row>
        <row r="395">
          <cell r="B395" t="str">
            <v>SV2026-418</v>
          </cell>
          <cell r="C395" t="str">
            <v>rr</v>
          </cell>
          <cell r="D395" t="str">
            <v>X</v>
          </cell>
          <cell r="E395"/>
          <cell r="F395" t="str">
            <v>Sổ tay Kiến thức Vật lý – Toán học cho Sinh viên Năng lượng Tái tạo</v>
          </cell>
          <cell r="G395" t="str">
            <v>Nguyễn Thụy Hồng Phúc 23154078</v>
          </cell>
          <cell r="H395" t="str">
            <v xml:space="preserve">Nguyễn Thụy Hồng Phúc </v>
          </cell>
          <cell r="I395" t="str">
            <v>Giao thông và Năng lượng</v>
          </cell>
          <cell r="J395" t="str">
            <v>23154078</v>
          </cell>
          <cell r="K395">
            <v>0</v>
          </cell>
          <cell r="L395" t="str">
            <v>Huỳnh Thị Minh Thư</v>
          </cell>
          <cell r="M395" t="str">
            <v>Khoa Giao thông và Năng lượng</v>
          </cell>
          <cell r="N395" t="str">
            <v>thuhtm@hcmute.edu.vn</v>
          </cell>
          <cell r="O395" t="str">
            <v>01 Báo cáo tổng kết
01 cuốn Sổ tay kiến thức</v>
          </cell>
        </row>
        <row r="396">
          <cell r="B396" t="str">
            <v>SV2026-419</v>
          </cell>
          <cell r="C396" t="str">
            <v>rr</v>
          </cell>
          <cell r="D396" t="str">
            <v>X</v>
          </cell>
          <cell r="E396" t="str">
            <v>x</v>
          </cell>
          <cell r="F396" t="str">
            <v>Cải thiện hiệu suất của turbine Savonius tích hợp cánh dẫn đa hướng (ODGV) bằng phương pháp Taguchi kết hợp mô phỏng CFD cho ứng dụng đô thị.</v>
          </cell>
          <cell r="G396" t="str">
            <v>Huỳnh Đức Hoàng 24154039</v>
          </cell>
          <cell r="H396" t="str">
            <v xml:space="preserve">Huỳnh Đức Hoàng </v>
          </cell>
          <cell r="I396" t="str">
            <v>Giao thông và Năng lượng</v>
          </cell>
          <cell r="J396" t="str">
            <v>24154039</v>
          </cell>
          <cell r="K396" t="str">
            <v>Đoàn Minh Hiếu 24154037
Đào Tân Sơn 24154107
Lê Văn Thành 24154113</v>
          </cell>
          <cell r="L396" t="str">
            <v>Đặng Hùng Sơn</v>
          </cell>
          <cell r="M396" t="str">
            <v>Khoa Giao thông và Năng lượng</v>
          </cell>
          <cell r="N396" t="str">
            <v xml:space="preserve">sondh@ hcmute.edu.vn </v>
          </cell>
          <cell r="O396" t="str">
            <v>01 báo cáo tổng kết
01 Bài báo khoa học đăng trên tạp chí trong nước trong danh mục của HĐ GSNN tính từ 0,5 điểm trở lên; hoặc bài báo đăng trên tạp chí quốc tế có chỉ số xuất bản ISSN</v>
          </cell>
        </row>
        <row r="397">
          <cell r="B397" t="str">
            <v>SV2026-420</v>
          </cell>
          <cell r="C397" t="str">
            <v>rr</v>
          </cell>
          <cell r="D397" t="str">
            <v>X</v>
          </cell>
          <cell r="E397" t="str">
            <v>x</v>
          </cell>
          <cell r="F397" t="str">
            <v>Cải thiện hiệu suất của tuabin Savonius hai tầng sử dụng biên dạng cánh Fibonaci bằng phương pháp Taguchi kết hợp mô phỏng CFD cho ứng dụng đô thị</v>
          </cell>
          <cell r="G397" t="str">
            <v>Đoàn Minh Hiếu 24154037</v>
          </cell>
          <cell r="H397" t="str">
            <v xml:space="preserve">Đoàn Minh Hiếu </v>
          </cell>
          <cell r="I397" t="str">
            <v>Giao thông và Năng lượng</v>
          </cell>
          <cell r="J397" t="str">
            <v>24154037</v>
          </cell>
          <cell r="K397" t="str">
            <v>Huỳnh Đức Hoàng 24154039
Lê Văn Thành 24154113
Đào Tân Sơn 24154107</v>
          </cell>
          <cell r="L397" t="str">
            <v>Đặng Hùng Sơn</v>
          </cell>
          <cell r="M397" t="str">
            <v>Khoa Giao thông và Năng lượng</v>
          </cell>
          <cell r="N397" t="str">
            <v xml:space="preserve">sondh@ hcmute.edu.vn </v>
          </cell>
          <cell r="O397" t="str">
            <v>01 Báo cáo tổng kết
01 bài báo đăng trên hội thảo quốc tế có chỉ số xuất bản ISBN/ISSN</v>
          </cell>
        </row>
        <row r="398">
          <cell r="B398" t="str">
            <v>SV2026-422</v>
          </cell>
          <cell r="C398" t="str">
            <v>rr</v>
          </cell>
          <cell r="D398" t="str">
            <v>X</v>
          </cell>
          <cell r="E398" t="str">
            <v>x</v>
          </cell>
          <cell r="F398" t="str">
            <v>Nghiên cứu, xây dựng bộ điều khiển và xử lý ảnh của xe mô hình</v>
          </cell>
          <cell r="G398" t="str">
            <v>Hoàng Đình Trường Vũ-23145465</v>
          </cell>
          <cell r="H398" t="str">
            <v>Hoàng Đình Trường Vũ-</v>
          </cell>
          <cell r="I398" t="str">
            <v>Giao thông và Năng lượng</v>
          </cell>
          <cell r="J398" t="str">
            <v>23145465</v>
          </cell>
          <cell r="K398" t="str">
            <v>Lê Anh Văn 23145457
Nguyễn Văn Trưởng 23145449
Trần Quang Trung 23145444</v>
          </cell>
          <cell r="L398" t="str">
            <v>Dương Nguyễn Hắc Lân</v>
          </cell>
          <cell r="M398" t="str">
            <v>Khoa Giao thông và Năng lượng</v>
          </cell>
          <cell r="N398" t="str">
            <v>landnh@hcmute.edu.vn</v>
          </cell>
          <cell r="O398" t="str">
            <v>01 Báo cáo tổng kết
01 mô hình xe có khả năng tự di chuyền (không có hợp đồng chuyển giao công nghệ)</v>
          </cell>
        </row>
        <row r="399">
          <cell r="B399" t="str">
            <v>SV2026-423</v>
          </cell>
          <cell r="C399" t="str">
            <v>rr</v>
          </cell>
          <cell r="D399" t="str">
            <v>X</v>
          </cell>
          <cell r="E399"/>
          <cell r="F399" t="str">
            <v>Nghiên cứu, mô phỏng và chế tạo mô hình hệ thống đồng hồ hiển thị thông tin xe Toyota</v>
          </cell>
          <cell r="G399" t="str">
            <v>Lê Ngọc Huy 24145259</v>
          </cell>
          <cell r="H399" t="str">
            <v xml:space="preserve">Lê Ngọc Huy </v>
          </cell>
          <cell r="I399" t="str">
            <v>Giao thông và Năng lượng</v>
          </cell>
          <cell r="J399" t="str">
            <v>24145259</v>
          </cell>
          <cell r="K399" t="str">
            <v>Phạm Nguyễn Quang Huy 24145265
Võ Minh Kha 24145277
Hứa Gia Phú 24145344
Phạm Minh Phúc 24145350</v>
          </cell>
          <cell r="L399" t="str">
            <v>Nguyễn Quang Trãi</v>
          </cell>
          <cell r="M399" t="str">
            <v>Khoa Giao thông và Năng lượng</v>
          </cell>
          <cell r="N399" t="str">
            <v>trainq@hcmute.edu.vn</v>
          </cell>
          <cell r="O399" t="str">
            <v>01 báo cáo tổng kết
01 kết quả thực nghiệm kèm tài liệu và hướng dẫn sử dụng</v>
          </cell>
        </row>
        <row r="400">
          <cell r="B400" t="str">
            <v>SV2026-424</v>
          </cell>
          <cell r="C400" t="str">
            <v>rr</v>
          </cell>
          <cell r="D400" t="str">
            <v>X</v>
          </cell>
          <cell r="E400"/>
          <cell r="F400" t="str">
            <v>Ứng dụng xử lý ảnh trong hỗ trợ báo hiệu nhắc nhở phía sau có phương tiện đang tới trong khi người dùng mở cửa xe ô tô</v>
          </cell>
          <cell r="G400" t="str">
            <v>Trần Anh Tuấn 22145506</v>
          </cell>
          <cell r="H400" t="str">
            <v xml:space="preserve">Trần Anh Tuấn </v>
          </cell>
          <cell r="I400" t="str">
            <v>Giao thông và Năng lượng</v>
          </cell>
          <cell r="J400" t="str">
            <v>22145506</v>
          </cell>
          <cell r="K400" t="str">
            <v>Nguyễn Phúc Hưng 22145381</v>
          </cell>
          <cell r="L400" t="str">
            <v>Nguyễn Quang Trãi</v>
          </cell>
          <cell r="M400" t="str">
            <v>Khoa Giao thông và Năng lượng</v>
          </cell>
          <cell r="N400" t="str">
            <v>trainq@hcmute.edu.vn</v>
          </cell>
          <cell r="O400" t="str">
            <v>01 báo cáo tổng kết
01 kết quả thực nghiệm kèm tài liệu và hướng dẫn sử dụng</v>
          </cell>
        </row>
        <row r="401">
          <cell r="B401" t="str">
            <v>SV2026-425</v>
          </cell>
          <cell r="C401" t="str">
            <v>rr</v>
          </cell>
          <cell r="D401" t="str">
            <v>X</v>
          </cell>
          <cell r="E401"/>
          <cell r="F401" t="str">
            <v>Phân tích dao động của dầm nanocomposite lai gia cường đồng thời bằng ống nano carbon và tấm graphene ứng dụng trong kết cấu khung sàn ô tô</v>
          </cell>
          <cell r="G401" t="str">
            <v>Nguyễn Hoài Linh 22145407</v>
          </cell>
          <cell r="H401" t="str">
            <v xml:space="preserve">Nguyễn Hoài Linh </v>
          </cell>
          <cell r="I401" t="str">
            <v>Giao thông và Năng lượng</v>
          </cell>
          <cell r="J401" t="str">
            <v>22145407</v>
          </cell>
          <cell r="K401">
            <v>0</v>
          </cell>
          <cell r="L401" t="str">
            <v>Phạm Tấn Hùng</v>
          </cell>
          <cell r="M401" t="str">
            <v>Khoa Xây dựng</v>
          </cell>
          <cell r="N401" t="str">
            <v>hungpt@hcmute.edu.vn</v>
          </cell>
          <cell r="O401" t="str">
            <v>01 Báo cáo tổng kết
01 Bài báo khoa học đăng trên tạp chí trong nước trong danh mục của HĐ GSNN tính từ 0,5 điểm trở lên; hoặc bài báo đăng trên tạp chí quốc tế có chỉ số xuất bản ISSN</v>
          </cell>
        </row>
        <row r="402">
          <cell r="B402" t="str">
            <v>SV2026-426</v>
          </cell>
          <cell r="C402" t="str">
            <v>R (thêm BM06 thêm tên Vinh và sửa tên trường mới)</v>
          </cell>
          <cell r="D402"/>
          <cell r="E402" t="str">
            <v>x</v>
          </cell>
          <cell r="F402" t="str">
            <v>Nghiên cứu thiết kế cải tiến phương pháp điều khiển nhiệt độ điều hòa ô tô ứng dụng trợ lý ảo giọng nói trên Toyota Vios 2007.</v>
          </cell>
          <cell r="G402" t="str">
            <v>Hà Hoàng Vũ 23145241</v>
          </cell>
          <cell r="H402" t="str">
            <v xml:space="preserve">Hà Hoàng Vũ </v>
          </cell>
          <cell r="I402" t="str">
            <v>Giao thông và Năng lượng</v>
          </cell>
          <cell r="J402" t="str">
            <v>23145241</v>
          </cell>
          <cell r="K402" t="str">
            <v>Nguyễn Hữu Lộc 23145353
Nguyễn Anh Bảo 23145049
Huỳnh Phước Đô 23145081
Hồ Nguyễn Tấn Vinh 23145239</v>
          </cell>
          <cell r="L402" t="str">
            <v>Nguyễn Thành Tuyên</v>
          </cell>
          <cell r="M402" t="str">
            <v>Khoa Giao thông và Năng lượng</v>
          </cell>
          <cell r="N402" t="str">
            <v>tuyennt@hcmute.edu.vn</v>
          </cell>
          <cell r="O402" t="str">
            <v xml:space="preserve">01 báo cáo tổng kết.
01 Module trợ lí ảo điều hòa ô tô bản thử nghiệm hoạt động được trên xe ô tô </v>
          </cell>
        </row>
        <row r="403">
          <cell r="B403" t="str">
            <v>SV2026-427</v>
          </cell>
          <cell r="C403" t="str">
            <v>R</v>
          </cell>
          <cell r="D403" t="str">
            <v>X</v>
          </cell>
          <cell r="E403"/>
          <cell r="F403" t="str">
            <v>Thiết kế, chế tạo mô hình xe tự hành cỡ nhỏ</v>
          </cell>
          <cell r="G403" t="str">
            <v>Trần Võ Thanh Hào 22145132</v>
          </cell>
          <cell r="H403" t="str">
            <v xml:space="preserve">Trần Võ Thanh Hào </v>
          </cell>
          <cell r="I403" t="str">
            <v>Giao thông và Năng lượng</v>
          </cell>
          <cell r="J403" t="str">
            <v>22145132</v>
          </cell>
          <cell r="K403" t="str">
            <v>Phạm Minh Hải 23145013
Nguyễn Đức Gia Huy 23145017
Lê Quang Vinh 23145042
Cao Văn Vinh 23145461</v>
          </cell>
          <cell r="L403" t="str">
            <v>Nguyễn Trung Hiếu</v>
          </cell>
          <cell r="M403" t="str">
            <v>Khoa Giao thông và Năng lượng</v>
          </cell>
          <cell r="N403" t="str">
            <v xml:space="preserve">hieuntr@ hcmute.edu.vn </v>
          </cell>
          <cell r="O403" t="str">
            <v>01 báo cáo tổng kết
01 mô hình xe tự hành cỡ nhỏ (không có hợp đồng chuyển giao công nghệ)</v>
          </cell>
        </row>
        <row r="404">
          <cell r="B404" t="str">
            <v>SV2026-428</v>
          </cell>
          <cell r="C404" t="str">
            <v>R</v>
          </cell>
          <cell r="D404" t="str">
            <v>X</v>
          </cell>
          <cell r="E404"/>
          <cell r="F404" t="str">
            <v>Thiết kế, chế tạo mô hình pin và hệ thống quản lý pin trên xe máy điện</v>
          </cell>
          <cell r="G404" t="str">
            <v>Ngô Quang Huy 22145155</v>
          </cell>
          <cell r="H404" t="str">
            <v xml:space="preserve">Ngô Quang Huy </v>
          </cell>
          <cell r="I404" t="str">
            <v>Giao thông và Năng lượng</v>
          </cell>
          <cell r="J404" t="str">
            <v>22145155</v>
          </cell>
          <cell r="K404" t="str">
            <v>Đỗ Thành Đạt 23145011
Nguyễn Thái Hưng 25151219
Nguyễn Phúc Hậu 23145015
Nguyễn Minh Thông 23145036</v>
          </cell>
          <cell r="L404" t="str">
            <v>Nguyễn Trung Hiếu</v>
          </cell>
          <cell r="M404" t="str">
            <v>Khoa Giao thông và Năng lượng</v>
          </cell>
          <cell r="N404" t="str">
            <v xml:space="preserve">hieuntr@ hcmute.edu.vn </v>
          </cell>
          <cell r="O404" t="str">
            <v>01 báo cáo tổng kết
01 mô hình mô hình pin và hệ thống quản lý pin trên xe máy điện (không có hợp đồng chuyển giao công nghệ)</v>
          </cell>
        </row>
        <row r="405">
          <cell r="B405" t="str">
            <v>SV2026-429</v>
          </cell>
          <cell r="C405" t="str">
            <v xml:space="preserve">R </v>
          </cell>
          <cell r="D405" t="str">
            <v>X</v>
          </cell>
          <cell r="E405"/>
          <cell r="F405" t="str">
            <v>Đánh giá độ cứng của khuôn composite nền silicone ứng dụng trong tạo mẫu sáp trong công nghệ đúc mẫu chảy</v>
          </cell>
          <cell r="G405" t="str">
            <v>Hoàng Đại Nghĩa 23143072</v>
          </cell>
          <cell r="H405" t="str">
            <v xml:space="preserve">Hoàng Đại Nghĩa </v>
          </cell>
          <cell r="I405" t="str">
            <v>Đào tạo tiên tiến</v>
          </cell>
          <cell r="J405" t="str">
            <v>23143072</v>
          </cell>
          <cell r="K405" t="str">
            <v>Trần Hữu Khanh 23143061
Đinh Nguyễn Phúc Thiện 23143081
Đinh Nguyên Khoa 23143062
Phùng Anh Tuấn 23143087</v>
          </cell>
          <cell r="L405" t="str">
            <v>Nguyễn Văn Thức</v>
          </cell>
          <cell r="M405" t="str">
            <v>Khoa CKM</v>
          </cell>
          <cell r="N405" t="str">
            <v xml:space="preserve">nvthuc@hcmute.edu.vn
</v>
          </cell>
          <cell r="O405" t="str">
            <v>01 Báo cáo tổng kết</v>
          </cell>
        </row>
        <row r="406">
          <cell r="B406" t="str">
            <v>SV2026-430</v>
          </cell>
          <cell r="C406" t="str">
            <v>R</v>
          </cell>
          <cell r="D406" t="str">
            <v>X</v>
          </cell>
          <cell r="E406"/>
          <cell r="F406" t="str">
            <v>Thiết kế bộ điều khiển cho mô hình tàu thủy</v>
          </cell>
          <cell r="G406" t="str">
            <v>Lê Thanh Trí Đại 19151051</v>
          </cell>
          <cell r="H406" t="str">
            <v xml:space="preserve">Lê Thanh Trí Đại </v>
          </cell>
          <cell r="I406" t="str">
            <v>Đào tạo tiên tiến</v>
          </cell>
          <cell r="J406" t="str">
            <v>19151051</v>
          </cell>
          <cell r="K406" t="str">
            <v>Lê Nguyễn Đức Dương 23142102
Khổng Phúc Hải 23143122
Phan Tấn Huy 23143139
Dương Văn An 23151044</v>
          </cell>
          <cell r="L406" t="str">
            <v>Nguyễn Minh Tâm</v>
          </cell>
          <cell r="M406" t="str">
            <v>Khoa Điện - Điện tử</v>
          </cell>
          <cell r="N406" t="str">
            <v>tamnm@hcmute.edu.vn</v>
          </cell>
          <cell r="O406" t="str">
            <v>01 Chương trình nhúng thực nghiệm
02 Bài báo khoa học (viết bằng tiếng Anh) đăng trên tạp chí quốc tế có chỉ số xuất bản ISSN (bài báo thứ 1 dự kiến viết về mô phỏng/ so sánh các giải thuật cho điều khiển tàu biển nói chung; bài báo thứ 2 vừa mô phỏng chính xác, vừa thực nghiệm chính xác một giải thuật tối ưu cho 1 mô hình tàu biển do nhóm tự phát triển) 
01 Báo cáo tổng kết</v>
          </cell>
        </row>
        <row r="407">
          <cell r="B407" t="str">
            <v>SV2026-431</v>
          </cell>
          <cell r="C407" t="str">
            <v>R</v>
          </cell>
          <cell r="D407" t="str">
            <v>X</v>
          </cell>
          <cell r="E407"/>
          <cell r="F407" t="str">
            <v>Thiết kế bộ điều thích nghi tự chỉnh (STR) cho hệ động cơ điện một chiều</v>
          </cell>
          <cell r="G407" t="str">
            <v>Vũ Đình Minh 22142028</v>
          </cell>
          <cell r="H407" t="str">
            <v xml:space="preserve">Vũ Đình Minh </v>
          </cell>
          <cell r="I407" t="str">
            <v>Đào tạo tiên tiến</v>
          </cell>
          <cell r="J407" t="str">
            <v>22142028</v>
          </cell>
          <cell r="K407" t="str">
            <v xml:space="preserve">Huỳnh Nam Hiếu 23143124
Nguyễn Quang Thiện 23161196
Lê Hoàng 23143131
Lê Hoàng Linh 20151391
</v>
          </cell>
          <cell r="L407" t="str">
            <v>Lê Thị Hồng Lam</v>
          </cell>
          <cell r="M407" t="str">
            <v>Khoa Điện - Điện tử</v>
          </cell>
          <cell r="N407" t="str">
            <v>lamlth@hcmute.edu.vn</v>
          </cell>
          <cell r="O407" t="str">
            <v>02 Bài báo khoa học trên tạp chí quốc tế viết bằng tiếng Anh, có chỉ số ISSN (1 bài báo dự kiến trình bày giải thuật thích nghi STR cho hệ thống - mô phỏng và thực nghiệm; 1 bài báo phát triển ứng dụng điều khiển trên 1 đối tượng nâng cao, phát triển trên cơ sở động cơ DC này)
01 Chương trình mô phỏng
01 Chương trình nhúng thực nghiệm
01 Báo cáo tổng kết</v>
          </cell>
        </row>
        <row r="408">
          <cell r="B408" t="str">
            <v>SV2026-432</v>
          </cell>
          <cell r="C408" t="str">
            <v>R</v>
          </cell>
          <cell r="D408" t="str">
            <v>X</v>
          </cell>
          <cell r="E408" t="str">
            <v>x</v>
          </cell>
          <cell r="F408" t="str">
            <v>Thiết kế và vận hành điều khiển máy gắp kiểm tra trọng lượng và kích thước bánh răng</v>
          </cell>
          <cell r="G408" t="str">
            <v>Nguyễn Trần Thanh Thủy 21151433</v>
          </cell>
          <cell r="H408" t="str">
            <v xml:space="preserve">Nguyễn Trần Thanh Thủy </v>
          </cell>
          <cell r="I408" t="str">
            <v>Đào tạo tiên tiến</v>
          </cell>
          <cell r="J408" t="str">
            <v>21151433</v>
          </cell>
          <cell r="K408" t="str">
            <v>Từ Nguyễn Phùng Hưng 21151418
Phùng Quốc Hoàng 23142121
Lê Hoàng Bảo 23151050
Nguyễn Tuấn Phong 23151156</v>
          </cell>
          <cell r="L408" t="str">
            <v>Nguyễn Tử Đức</v>
          </cell>
          <cell r="M408" t="str">
            <v>Khoa Điện - Điện tử</v>
          </cell>
          <cell r="N408" t="str">
            <v>ducnt@hcmute.edu.vn</v>
          </cell>
          <cell r="O408" t="str">
            <v>01 Chương trình nhúng thực nghiệm
01 Bài báo được đăng trên tạp chí quốc tế (viết bằng tiếng Anh) có chỉ số xuất bản ISSN
01 Báo cáo tổng kết</v>
          </cell>
        </row>
        <row r="409">
          <cell r="B409" t="str">
            <v>SV2026-433</v>
          </cell>
          <cell r="C409" t="str">
            <v>R</v>
          </cell>
          <cell r="D409" t="str">
            <v>X</v>
          </cell>
          <cell r="E409" t="str">
            <v>x</v>
          </cell>
          <cell r="F409" t="str">
            <v>Áp dụng giải thuật di truyền trong tối ưu hóa điều khiển PID cho cánh tay robot 3 bậc</v>
          </cell>
          <cell r="G409" t="str">
            <v>Huỳnh Phong Nam 22151030</v>
          </cell>
          <cell r="H409" t="str">
            <v xml:space="preserve">Huỳnh Phong Nam </v>
          </cell>
          <cell r="I409" t="str">
            <v>Đào tạo tiên tiến</v>
          </cell>
          <cell r="J409" t="str">
            <v>22151030</v>
          </cell>
          <cell r="K409" t="str">
            <v xml:space="preserve">Lý Đăng Khoa 23144100
Nguyễn Quang Thiện 23161196
Nguyễn Cao Thiên Tường 23151204
Nguyễn Tuấn An 20151252
</v>
          </cell>
          <cell r="L409" t="str">
            <v>Nguyễn Phong Lưu</v>
          </cell>
          <cell r="M409" t="str">
            <v>Khoa Điện - Điện tử</v>
          </cell>
          <cell r="N409" t="str">
            <v>luunp@hcmute.edu.vn</v>
          </cell>
          <cell r="O409" t="str">
            <v>02 Bài báo trên tạp chí quốc tế (viết bằng tiếng Anh) có chỉ số xuất bản ISSN (1 bài báo trình bày về mô phỏng và thực nghiệm điều khiển PID cho cánh tay ba bậc dạng chuẩn; 1 bài báo dự kiến trình bày về sự phát triển nâng cấp của PID cho cánh tay hệ cao hơn ba bậc hoăc hệ ba bậc nhưng áp dụng cho 1 ứng dụng cụ thể trên thực nghiệm)
01 Chương trình mô phỏng PID
01 Chương trình tối ưu hóa dùng giải thuật GA
01 Báo cáo tổng kết</v>
          </cell>
        </row>
        <row r="410">
          <cell r="B410" t="str">
            <v>SV2026-434</v>
          </cell>
          <cell r="C410" t="str">
            <v>R</v>
          </cell>
          <cell r="D410" t="str">
            <v>X</v>
          </cell>
          <cell r="E410"/>
          <cell r="F410" t="str">
            <v>Mô phỏng điều khiển lai Fuzzy-LQR cho hệ con lắc ngược hai bậc trên xe</v>
          </cell>
          <cell r="G410" t="str">
            <v>Nguyễn Lê Thảo Nguyên 22151031</v>
          </cell>
          <cell r="H410" t="str">
            <v xml:space="preserve">Nguyễn Lê Thảo Nguyên </v>
          </cell>
          <cell r="I410" t="str">
            <v>Đào tạo tiên tiến</v>
          </cell>
          <cell r="J410" t="str">
            <v>22151031</v>
          </cell>
          <cell r="K410" t="str">
            <v xml:space="preserve">Phạm Trương Phương Nam	 22151119
Bùi Nguyễn Hải Đăng 	23151078
Đỗ Đình Đức	 23151081
Nguyễn Hoàng Bảo Long 	22145190
</v>
          </cell>
          <cell r="L410" t="str">
            <v>Nguyễn Đình Phú</v>
          </cell>
          <cell r="M410" t="str">
            <v>Khoa Điện - Điện tử</v>
          </cell>
          <cell r="N410" t="str">
            <v>phund@hcmute.edu.vn</v>
          </cell>
          <cell r="O410" t="str">
            <v>02 Bài báo khoa học được chấp nhận đăng trên tạp chí quốc tế (viết bằng tiếng Anh) có chỉ số ISSN (1 bài báo hướng đến việc điều khiển mô phỏng thành công giải thuật LQR-fuzzy cho hệ thống, 1 bài báo hướng đến việc áp dụng nâng cấp giải thuật LQR-fuzzy cho một hệ thống nâng cấp bậc cao hơn so với con lắc ngược trên xe hai bậc)
01 Chương trình mô phỏng
01 Báo cáo tổng kết</v>
          </cell>
        </row>
        <row r="411">
          <cell r="B411" t="str">
            <v>SV2026-435</v>
          </cell>
          <cell r="C411" t="str">
            <v>R</v>
          </cell>
          <cell r="D411" t="str">
            <v>X</v>
          </cell>
          <cell r="E411"/>
          <cell r="F411" t="str">
            <v>Điều khiển nhúng mờ cho hệ bóng thanh trên nền tảng Arduino</v>
          </cell>
          <cell r="G411" t="str">
            <v>Lê Ngọc Long 22151027</v>
          </cell>
          <cell r="H411" t="str">
            <v xml:space="preserve">Lê Ngọc Long </v>
          </cell>
          <cell r="I411" t="str">
            <v>Đào tạo tiên tiến</v>
          </cell>
          <cell r="J411" t="str">
            <v>22151027</v>
          </cell>
          <cell r="K411" t="str">
            <v xml:space="preserve">Lê Tuấn Kiệt 22151242
Nguyễn Lê Anh Tuấn 22151323
Trần Quốc Khánh 23151124
Võ Huy Hoàng 23151096
</v>
          </cell>
          <cell r="L411" t="str">
            <v>Trần Đức Lợi</v>
          </cell>
          <cell r="M411" t="str">
            <v>Khoa Điện - Điện tử</v>
          </cell>
          <cell r="N411" t="str">
            <v>loitd@hcmute.edu.vn</v>
          </cell>
          <cell r="O411" t="str">
            <v>02 Bài báo trên tạp chí quốc tế khác (viết bằng tiếng Anh) có chỉ số xuất bản ISSN (trong đó, 1 bài báo hướng đến việc mô phỏng/ thực nghiệm giải thuật thành công trên hệ ball and beam, 1 bài báo hướng đến việc so sánh, nâng cấp giải thuật- trên thực nghiệm, so sánh hoạt động của ball and beam và 1 hệ bậc cao hơn là ball on plate- phát triển từ ball and beam)
01 Chương trình mô phỏng
01 Chương trình thực nghiệm
01 Báo cáo tổng kết</v>
          </cell>
        </row>
        <row r="412">
          <cell r="B412" t="str">
            <v>SV2026-436</v>
          </cell>
          <cell r="C412" t="str">
            <v>R</v>
          </cell>
          <cell r="D412" t="str">
            <v>X</v>
          </cell>
          <cell r="E412"/>
          <cell r="F412" t="str">
            <v>Robot tự động đi theo người dùng để vận chuyển ba lô cho học sinh</v>
          </cell>
          <cell r="G412" t="str">
            <v>Huỳnh Chí Nguyên 22151032</v>
          </cell>
          <cell r="H412" t="str">
            <v xml:space="preserve">Huỳnh Chí Nguyên </v>
          </cell>
          <cell r="I412" t="str">
            <v>Đào tạo tiên tiến</v>
          </cell>
          <cell r="J412" t="str">
            <v>22151032</v>
          </cell>
          <cell r="K412" t="str">
            <v>Nguyễn Trần Thành 22151039   
Lê Khổng Bảo Minh 22151255 
Nguyễn Đức Thành 22142043</v>
          </cell>
          <cell r="L412" t="str">
            <v>Trần Vi Đô</v>
          </cell>
          <cell r="M412" t="str">
            <v>Khoa Điện - Điện tử</v>
          </cell>
          <cell r="N412" t="str">
            <v>dotv@hcmute.edu.vn</v>
          </cell>
          <cell r="O412" t="str">
            <v>01 Mô hình robot tự động đi theo người dùng để vận chuyển ba lô cho học sinh 
01 Báo cáo nghiên cứu</v>
          </cell>
        </row>
        <row r="413">
          <cell r="B413" t="str">
            <v>SV2026-437</v>
          </cell>
          <cell r="C413" t="str">
            <v>R</v>
          </cell>
          <cell r="D413" t="str">
            <v>X</v>
          </cell>
          <cell r="E413" t="str">
            <v>x</v>
          </cell>
          <cell r="F413" t="str">
            <v>Thiết kế Mạng Retinex( MRA-Net) đa nhiệm cho nhận thức vững chắc của xe tự hành trong điều kiện ánh sáng thấp</v>
          </cell>
          <cell r="G413" t="str">
            <v>Phạm Chí Phát 20119191</v>
          </cell>
          <cell r="H413" t="str">
            <v xml:space="preserve">Phạm Chí Phát </v>
          </cell>
          <cell r="I413" t="str">
            <v>Đào tạo tiên tiến</v>
          </cell>
          <cell r="J413" t="str">
            <v>20119191</v>
          </cell>
          <cell r="K413" t="str">
            <v xml:space="preserve">Phạm Hồ Đăng Khoa 23151131
Nguyễn Gia Phú 23151157
Nguyễn Quang Thiện 23161196
Hà Nguyễn Quốc Dũng 23151066
</v>
          </cell>
          <cell r="L413" t="str">
            <v>Nguyễn Tử Đức</v>
          </cell>
          <cell r="M413" t="str">
            <v>Khoa Điện - Điện tử</v>
          </cell>
          <cell r="N413" t="str">
            <v>ducnt@hcmute.edu.vn</v>
          </cell>
          <cell r="O413" t="str">
            <v>02 Bài báo (được viết bằng tiếng Anh) được đăng trên tạp chí quốc tế có chỉ số xuất bản ISSN (1 bài áp dụng giải thuật thành công cho đối tượng robot chuẩn trong phòng thí nghiệm, 1 bài dự kiến nâng cấp áp dụng trên 1 ứng dụng thực tế, phát triển từ bài báo thứ 1)
02 Chương trình mô phỏng
01 Chương trình điều khiển nhúng thực nghiệm
01 Báo cáo tổng kết</v>
          </cell>
        </row>
        <row r="414">
          <cell r="B414" t="str">
            <v>SV2026-438</v>
          </cell>
          <cell r="C414" t="str">
            <v>R</v>
          </cell>
          <cell r="D414" t="str">
            <v>X</v>
          </cell>
          <cell r="E414" t="str">
            <v>x</v>
          </cell>
          <cell r="F414" t="str">
            <v>Nghiên cứu quy trình sản xuất sữa chua uống hạt điều (Anacardium occidentale)</v>
          </cell>
          <cell r="G414" t="str">
            <v>Nguyễn Ngọc Phương Thảo 23116033</v>
          </cell>
          <cell r="H414" t="str">
            <v xml:space="preserve">Nguyễn Ngọc Phương Thảo </v>
          </cell>
          <cell r="I414" t="str">
            <v>Đào tạo tiên tiến</v>
          </cell>
          <cell r="J414" t="str">
            <v>23116033</v>
          </cell>
          <cell r="K414" t="str">
            <v>Nguyễn Thị Uyên Nhi 23116022
Nguyễn Trần Khánh Uyên 23116041
Vũ Hoàng Duy Bảo 23116004</v>
          </cell>
          <cell r="L414" t="str">
            <v>Phạm Thị Hoàn</v>
          </cell>
          <cell r="M414" t="str">
            <v>Khoa CNHH&amp;TP</v>
          </cell>
          <cell r="N414" t="str">
            <v>hoanpt@hcmute.edu.vn</v>
          </cell>
          <cell r="O414" t="str">
            <v>01 Báo cáo phân tích</v>
          </cell>
        </row>
        <row r="415">
          <cell r="B415" t="str">
            <v>SV2026-439</v>
          </cell>
          <cell r="C415" t="str">
            <v>R</v>
          </cell>
          <cell r="D415" t="str">
            <v>X</v>
          </cell>
          <cell r="E415"/>
          <cell r="F415" t="str">
            <v xml:space="preserve">Điều hướng robot giao hàng tự động sử dụng đa cảm biến và thuật toán học tăng cường </v>
          </cell>
          <cell r="G415" t="str">
            <v>Lê Minh Tân 23119033</v>
          </cell>
          <cell r="H415" t="str">
            <v xml:space="preserve">Lê Minh Tân </v>
          </cell>
          <cell r="I415" t="str">
            <v>Đào tạo tiên tiến</v>
          </cell>
          <cell r="J415" t="str">
            <v>23119033</v>
          </cell>
          <cell r="K415" t="str">
            <v xml:space="preserve">Huỳnh Lê Thành Nhân 24119068
Trịnh Trần Quốc Bảo 24119016
Nguyễn Đăng Trí Nguyên 231151148
</v>
          </cell>
          <cell r="L415" t="str">
            <v xml:space="preserve"> Lê Mỹ Hà</v>
          </cell>
          <cell r="M415" t="str">
            <v>Khoa Điện - Điện tử</v>
          </cell>
          <cell r="N415" t="str">
            <v xml:space="preserve">  halm@hcmute.edu.vn</v>
          </cell>
          <cell r="O415" t="str">
            <v>01 Chương trình máy tính
01 Bài báo khoa học đăng toàn văn trong kỷ yếu hội nghị, hội thảo có chỉ số ISSN/ISBN
01 Báo cáo tổng kết</v>
          </cell>
        </row>
        <row r="416">
          <cell r="B416" t="str">
            <v>SV2026-440</v>
          </cell>
          <cell r="C416" t="str">
            <v>R</v>
          </cell>
          <cell r="D416" t="str">
            <v>X</v>
          </cell>
          <cell r="E416" t="str">
            <v>x</v>
          </cell>
          <cell r="F416" t="str">
            <v>Khảo sát điều khiển tuyến tính và phi tuyến cho hệ bóng và thanh trục lệch.</v>
          </cell>
          <cell r="G416" t="str">
            <v>Trần Hưng Tuấn Anh 22151006</v>
          </cell>
          <cell r="H416" t="str">
            <v xml:space="preserve">Trần Hưng Tuấn Anh </v>
          </cell>
          <cell r="I416" t="str">
            <v>Đào tạo tiên tiến</v>
          </cell>
          <cell r="J416" t="str">
            <v>22151006</v>
          </cell>
          <cell r="K416" t="str">
            <v xml:space="preserve">Nguyễn Quang Thiện 23161196
Lê Hoàng Linh 20151391
Nguyễn Viết Hoàn 22151085
Võ Nhật Minh 23151143
</v>
          </cell>
          <cell r="L416" t="str">
            <v>Lê Thị Hồng Lam</v>
          </cell>
          <cell r="M416" t="str">
            <v>Khoa Điện - Điện tử</v>
          </cell>
          <cell r="N416" t="str">
            <v>lamlth@hcmute.edu.vn</v>
          </cell>
          <cell r="O416" t="str">
            <v>02 Bài báo (viết bằng tiếng anh) trên tạp chí quốc tế có chỉ số xuất bản ISSN (1 bài báo đề cập về sự so sánh giải thuật phi tuyến và tuyến tính trên mô phỏng trên mô hình ball and beam nói chung, 1 bài báo sẽ hướng đến việc xây dựng mô hình thực nghiệm và khảo sát trên đối tượng thực)
01 Chương trình mô phỏng
01 Chương trình nhúng thực nghiệm
01 Báo cáo tổng kết</v>
          </cell>
        </row>
        <row r="417">
          <cell r="B417" t="str">
            <v>SV2026-441</v>
          </cell>
          <cell r="C417" t="str">
            <v>R</v>
          </cell>
          <cell r="D417" t="str">
            <v>X</v>
          </cell>
          <cell r="E417"/>
          <cell r="F417" t="str">
            <v>Nghiên cứu chế tạo ống nhiệt có cánh để gia nhiệt cho không khí</v>
          </cell>
          <cell r="G417" t="str">
            <v>Lê Hoàng Long 22147013</v>
          </cell>
          <cell r="H417" t="str">
            <v xml:space="preserve">Lê Hoàng Long </v>
          </cell>
          <cell r="I417" t="str">
            <v>Đào tạo tiên tiến</v>
          </cell>
          <cell r="J417" t="str">
            <v>22147013</v>
          </cell>
          <cell r="K417" t="str">
            <v>Nguyễn Hoàng Lâm 22147011
Bùi Quang Lộc 22147015
Bùi Ngọc Minh Quân 22147018
Phan Vũ Huy Cường 22147003</v>
          </cell>
          <cell r="L417" t="str">
            <v>Nguyễn Lê Hồng Sơn</v>
          </cell>
          <cell r="M417" t="str">
            <v>Khoa Giao thông và Năng lượng</v>
          </cell>
          <cell r="N417" t="str">
            <v>sonnlh@hcmute.edu.vn</v>
          </cell>
          <cell r="O417" t="str">
            <v>01 Báo cáo tống kết.
01 Mô hình thực nghiệm ống nhiệt có cánh</v>
          </cell>
        </row>
        <row r="418">
          <cell r="B418" t="str">
            <v>SV2026-442</v>
          </cell>
          <cell r="C418" t="str">
            <v>R</v>
          </cell>
          <cell r="D418" t="str">
            <v>X</v>
          </cell>
          <cell r="E418"/>
          <cell r="F418" t="str">
            <v xml:space="preserve">Nghiên cứu chế tạo máy sấy chân không để sấy vật liệu ở giải nhiệt độ thấp </v>
          </cell>
          <cell r="G418" t="str">
            <v>Trần Văn Quốc 22147019</v>
          </cell>
          <cell r="H418" t="str">
            <v xml:space="preserve">Trần Văn Quốc </v>
          </cell>
          <cell r="I418" t="str">
            <v>Đào tạo tiên tiến</v>
          </cell>
          <cell r="J418" t="str">
            <v>22147019</v>
          </cell>
          <cell r="K418" t="str">
            <v>Trương Nguyễn Quốc Hưng 22147008
Trần Ngọc Thịnh 22147024
Nguyễn Quốc An 22147002
Tăng Minh Tựu 22147031</v>
          </cell>
          <cell r="L418" t="str">
            <v>Nguyễn Lê Hồng Sơn</v>
          </cell>
          <cell r="M418" t="str">
            <v>Khoa Giao thông và Năng lượng</v>
          </cell>
          <cell r="N418" t="str">
            <v>sonnlh@hcmute.edu.vn</v>
          </cell>
          <cell r="O418" t="str">
            <v>01 Báo cáo tổng kết
Mô hình, thiết bị ko có CGCN (mô hình tực nghiệm máy sấy chân không</v>
          </cell>
        </row>
        <row r="419">
          <cell r="B419" t="str">
            <v>SV2026-443</v>
          </cell>
          <cell r="C419" t="str">
            <v>R</v>
          </cell>
          <cell r="D419" t="str">
            <v>X</v>
          </cell>
          <cell r="E419" t="str">
            <v>x</v>
          </cell>
          <cell r="F419" t="str">
            <v>Hệ thống tự động hóa tạo sinh khóa học trực tuyến và học tập cùng giảng viên A.I với mô hình 3D</v>
          </cell>
          <cell r="G419" t="str">
            <v>Đỗ Đức Anh 22110008</v>
          </cell>
          <cell r="H419" t="str">
            <v xml:space="preserve">Đỗ Đức Anh </v>
          </cell>
          <cell r="I419" t="str">
            <v>Đào tạo tiên tiến</v>
          </cell>
          <cell r="J419" t="str">
            <v>22110008</v>
          </cell>
          <cell r="K419" t="str">
            <v>Lưu Trọng Dũng 22119054</v>
          </cell>
          <cell r="L419" t="str">
            <v>Trương Thị Ngọc Phượng</v>
          </cell>
          <cell r="M419" t="str">
            <v>Khoa CNTT</v>
          </cell>
          <cell r="N419" t="str">
            <v>phuongttn@hcmute.edu.vn</v>
          </cell>
          <cell r="O419" t="str">
            <v>01 Trang web
01 Báo cáo tổng kết
01 Bài báo đăng trên hội thảo quốc tế có chỉ số xuất bản ISBN/ISSN</v>
          </cell>
        </row>
        <row r="420">
          <cell r="B420" t="str">
            <v>SV2026-444</v>
          </cell>
          <cell r="C420" t="str">
            <v>R</v>
          </cell>
          <cell r="D420" t="str">
            <v>X</v>
          </cell>
          <cell r="E420" t="str">
            <v>x</v>
          </cell>
          <cell r="F420" t="str">
            <v>Route Optimization through Real-time Traffic Density and Water Level Estimation Using Traffic Cameras</v>
          </cell>
          <cell r="G420" t="str">
            <v>Nguyễn Châu Tấn Cường 23146007</v>
          </cell>
          <cell r="H420" t="str">
            <v xml:space="preserve">Nguyễn Châu Tấn Cường </v>
          </cell>
          <cell r="I420" t="str">
            <v>Đào tạo tiên tiến</v>
          </cell>
          <cell r="J420" t="str">
            <v>23146007</v>
          </cell>
          <cell r="K420" t="str">
            <v>Đoàn Nguyễn Anh Khoa 23134030</v>
          </cell>
          <cell r="L420" t="str">
            <v>Trần Vũ Hoàng</v>
          </cell>
          <cell r="M420" t="str">
            <v>Khoa Điện - Điện tử</v>
          </cell>
          <cell r="N420" t="str">
            <v>hoangtv@hcmute.edu.vn</v>
          </cell>
          <cell r="O420" t="str">
            <v>01 Chương trình máy tính
01 Bài báo khoa học đăng toàn văn trong kỷ yếu hội nghị, hội thảo có chỉ số ISSN/ISBN
01 Báo cáo tổng kết</v>
          </cell>
        </row>
        <row r="421">
          <cell r="B421" t="str">
            <v>SV2026-445</v>
          </cell>
          <cell r="C421" t="str">
            <v>R</v>
          </cell>
          <cell r="D421" t="str">
            <v>X</v>
          </cell>
          <cell r="E421" t="str">
            <v>x</v>
          </cell>
          <cell r="F421" t="str">
            <v>Nghiên cứu ảnh hưởng của rung động tần số thấp ứng dụng cơ cấu đàn hồi trong gia công tiện thép SUS 304</v>
          </cell>
          <cell r="G421" t="str">
            <v>Trần Vương Khang 22144019</v>
          </cell>
          <cell r="H421" t="str">
            <v xml:space="preserve">Trần Vương Khang </v>
          </cell>
          <cell r="I421" t="str">
            <v>Đào tạo tiên tiến</v>
          </cell>
          <cell r="J421" t="str">
            <v>22144019</v>
          </cell>
          <cell r="K421" t="str">
            <v>Phan Nguyễn Đăng Khoa 22144021
Nguyễn Anh Tuấn 22144041
Nguyễn Minh Đức 22143102
Nguyễn Văn Nhật 21144344</v>
          </cell>
          <cell r="L421" t="str">
            <v>Đăng Quang Khoa</v>
          </cell>
          <cell r="M421" t="str">
            <v>Khoa đào tạo tiên tiến</v>
          </cell>
          <cell r="N421" t="str">
            <v>khoadq@hcmute.edu.vn</v>
          </cell>
          <cell r="O421" t="str">
            <v>01 Mô hình thực nghiệm (cụm đồ gá cho gia công tiện rung động tần số theo phương dọc trục)
- 01 tập bản vẽ lắp và chi tiết mô hình thực nghiệm
- 01 Báo cáo tổng kết đề tài</v>
          </cell>
        </row>
        <row r="422">
          <cell r="B422" t="str">
            <v>SV2026-446</v>
          </cell>
          <cell r="C422" t="str">
            <v>R</v>
          </cell>
          <cell r="D422" t="str">
            <v>X</v>
          </cell>
          <cell r="E422"/>
          <cell r="F422" t="str">
            <v>Ứng dụng xe tự hành mini phục vụ giám sát và di chuyển trong khu vực đường hầm thiếu ánh sáng</v>
          </cell>
          <cell r="G422" t="str">
            <v>Đỗ Minh Huy 22145026</v>
          </cell>
          <cell r="H422" t="str">
            <v xml:space="preserve">Đỗ Minh Huy </v>
          </cell>
          <cell r="I422" t="str">
            <v>Đào tạo tiên tiến</v>
          </cell>
          <cell r="J422" t="str">
            <v>22145026</v>
          </cell>
          <cell r="K422" t="str">
            <v>Lê Quang Thắng 22145066
Nguyễn Minh Hào 22145022
Nguyễn Minh Khoa 22145038
Lý Tráng Khoa  23145023</v>
          </cell>
          <cell r="L422" t="str">
            <v>Nguyễn Thành Tuyên</v>
          </cell>
          <cell r="M422" t="str">
            <v>Khoa Giao thông và Năng lượng</v>
          </cell>
          <cell r="N422" t="str">
            <v>tuyennt@hcmute.edu.vn</v>
          </cell>
          <cell r="O422" t="str">
            <v>01 Mô hình thực nghiệm 01 Báo nghiên cứu khoa học 01 Báo tổng kết</v>
          </cell>
        </row>
        <row r="423">
          <cell r="B423" t="str">
            <v>SV2026-447</v>
          </cell>
          <cell r="C423" t="str">
            <v>R</v>
          </cell>
          <cell r="D423" t="str">
            <v>X</v>
          </cell>
          <cell r="E423" t="str">
            <v>x</v>
          </cell>
          <cell r="F423" t="str">
            <v>Xe tự hành giám sát khuôn viên trường tại một khu vực nhất định bằng trí tuệ nhân tạo</v>
          </cell>
          <cell r="G423" t="str">
            <v>Lê Tự Thiện An 24119005</v>
          </cell>
          <cell r="H423" t="str">
            <v xml:space="preserve">Lê Tự Thiện An </v>
          </cell>
          <cell r="I423" t="str">
            <v>Đào tạo tiên tiến</v>
          </cell>
          <cell r="J423" t="str">
            <v>24119005</v>
          </cell>
          <cell r="K423" t="str">
            <v>Lê Ngọc Hoàn 24119038
Lê Công Quốc Anh 24119009
Nguyễn Quốc Thịnh 24119090</v>
          </cell>
          <cell r="L423" t="str">
            <v>Phạm Huỳnh Thế</v>
          </cell>
          <cell r="M423" t="str">
            <v>Khoa Điện - Điện tử</v>
          </cell>
          <cell r="N423" t="str">
            <v>theph@hcmute.edu.vn</v>
          </cell>
          <cell r="O423" t="str">
            <v>01 Chương trình máy tính xe tự hành giám sát khuôn viên trường bằng trí tuệ nhân tạo
01 Báo cáo tổng kết</v>
          </cell>
        </row>
        <row r="424">
          <cell r="B424" t="str">
            <v>SV2026-448</v>
          </cell>
          <cell r="C424" t="str">
            <v>R thêm bm 06 đổi tên đt</v>
          </cell>
          <cell r="D424" t="str">
            <v>X</v>
          </cell>
          <cell r="E424" t="str">
            <v>x</v>
          </cell>
          <cell r="F424" t="str">
            <v>Phân tích các yếu tố quyết dịnh lòng trung thành của khách hàng trong thị trường trò chơi trực tuyến tại Việt Nam</v>
          </cell>
          <cell r="G424" t="str">
            <v>Phạm Trần Thanh Vân 23124042</v>
          </cell>
          <cell r="H424" t="str">
            <v xml:space="preserve">Phạm Trần Thanh Vân </v>
          </cell>
          <cell r="I424" t="str">
            <v>Đào tạo tiên tiến</v>
          </cell>
          <cell r="J424" t="str">
            <v>23124042</v>
          </cell>
          <cell r="K424" t="str">
            <v>Trần Duy Phong 23124030
Trần Quang Bảo 23124004
Nguyễn Hữu Ngọc 23124024
Trần Ngọc Hoàng Nhân 20161344</v>
          </cell>
          <cell r="L424" t="str">
            <v>Trương Thị Hòa</v>
          </cell>
          <cell r="M424" t="str">
            <v>Khoa Kinh tế</v>
          </cell>
          <cell r="N424" t="str">
            <v>hoatrt@hcmute.edu.vn</v>
          </cell>
          <cell r="O424" t="str">
            <v>01 Báo cáo phân tích</v>
          </cell>
        </row>
        <row r="425">
          <cell r="B425" t="str">
            <v>SV2026-449</v>
          </cell>
          <cell r="C425" t="str">
            <v>R</v>
          </cell>
          <cell r="D425" t="str">
            <v>X</v>
          </cell>
          <cell r="E425"/>
          <cell r="F425" t="str">
            <v>Nghiên cứu, mô phỏng và thi công mô hình giảng dạy hệ thống chiếu sáng tự động điều khiển bằng BCM.</v>
          </cell>
          <cell r="G425" t="str">
            <v>Trần Hoàng Thi 23145035</v>
          </cell>
          <cell r="H425" t="str">
            <v xml:space="preserve">Trần Hoàng Thi </v>
          </cell>
          <cell r="I425" t="str">
            <v>Đào tạo tiên tiến</v>
          </cell>
          <cell r="J425" t="str">
            <v>23145035</v>
          </cell>
          <cell r="K425" t="str">
            <v xml:space="preserve">Trương Đông Khang 22145031
Nguyễn Tấn Nhật 22145053
Vũ Hải Nam 22145048
Phạm Huy Tiến 22145077                                  </v>
          </cell>
          <cell r="L425" t="str">
            <v>Nguyễn Quang Trãi</v>
          </cell>
          <cell r="M425" t="str">
            <v>Khoa Giao thông và Năng lượng</v>
          </cell>
          <cell r="N425" t="str">
            <v xml:space="preserve">trainq@hcmute.edu.vn </v>
          </cell>
          <cell r="O425" t="str">
            <v>01 Mô hình thực nghiệm
01 Tài liệu, video hướng dẫn sử dụng và thực hành
01 Báo cáo tổng kết</v>
          </cell>
        </row>
        <row r="426">
          <cell r="B426" t="str">
            <v>SV2026-450</v>
          </cell>
          <cell r="C426" t="str">
            <v>R</v>
          </cell>
          <cell r="D426" t="str">
            <v>X</v>
          </cell>
          <cell r="E426" t="str">
            <v>x</v>
          </cell>
          <cell r="F426" t="str">
            <v>Phân tích đánh giá hiệu suất giải nhiệt của hệ thống làm mát pin bằng không khí cưỡng bức trên xe Toyota Prius 2010</v>
          </cell>
          <cell r="G426" t="str">
            <v>Trương Tấn Sang 22145060</v>
          </cell>
          <cell r="H426" t="str">
            <v xml:space="preserve">Trương Tấn Sang </v>
          </cell>
          <cell r="I426" t="str">
            <v>Đào tạo tiên tiến</v>
          </cell>
          <cell r="J426" t="str">
            <v>22145060</v>
          </cell>
          <cell r="K426" t="str">
            <v>Phạm Quốc Bảo 22145010
Trần Quốc Thiện 22145070</v>
          </cell>
          <cell r="L426" t="str">
            <v>Vũ Đình Huấn</v>
          </cell>
          <cell r="M426" t="str">
            <v>Khoa Giao thông và Năng lượng</v>
          </cell>
          <cell r="N426" t="str">
            <v>Huanvd@hcmute.edu.vn</v>
          </cell>
          <cell r="O426" t="str">
            <v>1 báo cáo tổng kết</v>
          </cell>
        </row>
        <row r="427">
          <cell r="B427" t="str">
            <v>SV2026-451</v>
          </cell>
          <cell r="C427" t="str">
            <v>R</v>
          </cell>
          <cell r="D427" t="str">
            <v>X</v>
          </cell>
          <cell r="E427"/>
          <cell r="F427" t="str">
            <v>Phân loại hình ảnh tế bào bạch cầu sử dụng mô hình học sâu.</v>
          </cell>
          <cell r="G427" t="str">
            <v>Lê Hữu Trực 23110068</v>
          </cell>
          <cell r="H427" t="str">
            <v xml:space="preserve">Lê Hữu Trực </v>
          </cell>
          <cell r="I427" t="str">
            <v>Đào tạo tiên tiến</v>
          </cell>
          <cell r="J427" t="str">
            <v>23110068</v>
          </cell>
          <cell r="K427" t="str">
            <v>Chung Trường Vũ 23110072
Trần Quốc Huy 23110026
Hoàng Đức Tuấn 23110069
Trác Văn Ngọc Phúc 23110057</v>
          </cell>
          <cell r="L427" t="str">
            <v>Lê Văn Vinh</v>
          </cell>
          <cell r="M427" t="str">
            <v>Khoa CNTT</v>
          </cell>
          <cell r="N427" t="str">
            <v>vinhlv@hcmute.edu.vn</v>
          </cell>
          <cell r="O427" t="str">
            <v>01 Bài báo cáo tổng kết
01 Mã nguồn chương trình phát hiện đối tượng trong ảnh tế bào
01 Chương trình máy tính</v>
          </cell>
        </row>
        <row r="428">
          <cell r="B428" t="str">
            <v>SV2026-453</v>
          </cell>
          <cell r="C428" t="str">
            <v>R</v>
          </cell>
          <cell r="D428" t="str">
            <v>X</v>
          </cell>
          <cell r="E428"/>
          <cell r="F428" t="str">
            <v>Ứng dụng mô hình đa phương thức cho hệ thống gợi ý sản phẩm</v>
          </cell>
          <cell r="G428" t="str">
            <v>Bùi Quang Huy 23110022</v>
          </cell>
          <cell r="H428" t="str">
            <v xml:space="preserve">Bùi Quang Huy </v>
          </cell>
          <cell r="I428" t="str">
            <v>Đào tạo tiên tiến</v>
          </cell>
          <cell r="J428" t="str">
            <v>23110022</v>
          </cell>
          <cell r="K428" t="str">
            <v>Võ Trúc Hồ 23110021
Viên Ngọc Bảo 23110003</v>
          </cell>
          <cell r="L428" t="str">
            <v>Lê Văn Vinh</v>
          </cell>
          <cell r="M428" t="str">
            <v>Khoa CNTT</v>
          </cell>
          <cell r="N428" t="str">
            <v>vinhlv@hcmute.edu.vn</v>
          </cell>
          <cell r="O428" t="str">
            <v>01 Bài báo cáo tổng kết
01 Chương trình máy tính</v>
          </cell>
        </row>
        <row r="429">
          <cell r="B429" t="str">
            <v>SV2026-454</v>
          </cell>
          <cell r="C429" t="str">
            <v>R</v>
          </cell>
          <cell r="D429"/>
          <cell r="E429"/>
          <cell r="F429" t="str">
            <v>Nghiên cứu ứng dụng drone gắn camera tầm nhiệt để phát hiện tụ sứ cách điện hư hỏng trên đường dây truyền tải</v>
          </cell>
          <cell r="G429" t="str">
            <v>Nguyễn Thành Tài 23151029</v>
          </cell>
          <cell r="H429" t="str">
            <v xml:space="preserve">Nguyễn Thành Tài </v>
          </cell>
          <cell r="I429" t="str">
            <v>Đào tạo tiên tiến</v>
          </cell>
          <cell r="J429" t="str">
            <v>23151029</v>
          </cell>
          <cell r="K429" t="str">
            <v>Võ Đăng Khoa 23151015
Huỳnh Ngọc Minh Thông 23151033
Nguyễn Thế Duy 23151008</v>
          </cell>
          <cell r="L429" t="str">
            <v>Trương Đình Nhơn</v>
          </cell>
          <cell r="M429" t="str">
            <v>Khoa đào tạo tiên tiến</v>
          </cell>
          <cell r="N429" t="str">
            <v>nhontd@hcmute.edu.vn</v>
          </cell>
          <cell r="O429" t="str">
            <v>01 Mô hình thực nghiệm
01 Thuật toán, chương trình
01 Báo cáo tổng kết</v>
          </cell>
        </row>
        <row r="430">
          <cell r="B430" t="str">
            <v>SV2026-455</v>
          </cell>
          <cell r="C430" t="str">
            <v>R thay tên đt mói</v>
          </cell>
          <cell r="D430" t="str">
            <v>X</v>
          </cell>
          <cell r="E430" t="str">
            <v>x</v>
          </cell>
          <cell r="F430" t="str">
            <v>Nghiên cứu các kĩ thuật học sâu cho bài toán phân đoạn hình ảnh hướng đến ứng dụng phân đoạn hình ảnh y khoa</v>
          </cell>
          <cell r="G430" t="str">
            <v>Thái Ngọc Tâm Như 24110117</v>
          </cell>
          <cell r="H430" t="str">
            <v xml:space="preserve">Thái Ngọc Tâm Như </v>
          </cell>
          <cell r="I430" t="str">
            <v>Đào tạo tiên tiến</v>
          </cell>
          <cell r="J430" t="str">
            <v>24110117</v>
          </cell>
          <cell r="K430" t="str">
            <v>Lê Ngọc Hải 24110089
Trần Gia Kiệt 24110103
Lê Huy Phát 24110118
Dương Duy Vinh 24110148</v>
          </cell>
          <cell r="L430" t="str">
            <v>Hoàng Văn Dũng</v>
          </cell>
          <cell r="M430" t="str">
            <v>Khoa CNTT</v>
          </cell>
          <cell r="N430" t="str">
            <v>dunghv@hcmute.edu.vn</v>
          </cell>
          <cell r="O430" t="str">
            <v>01 Bài báo khoa học đăng trên hội thảo quốc tế có chỉ số xuất bản ISBN/ISSN
01 Báo cáo tổng kết</v>
          </cell>
        </row>
        <row r="431">
          <cell r="B431" t="str">
            <v>SV2026-456</v>
          </cell>
          <cell r="C431" t="str">
            <v>R</v>
          </cell>
          <cell r="D431" t="str">
            <v>X</v>
          </cell>
          <cell r="E431" t="str">
            <v>x</v>
          </cell>
          <cell r="F431" t="str">
            <v>Nghiên cứu khám phá tiềm năng ứng dụng công nghệ thông tin và truyền thông (ICT) trong lĩnh vực logistics</v>
          </cell>
          <cell r="G431" t="str">
            <v>Đỗ Yến Lam 21124018</v>
          </cell>
          <cell r="H431" t="str">
            <v xml:space="preserve">Đỗ Yến Lam </v>
          </cell>
          <cell r="I431" t="str">
            <v>Đào tạo tiên tiến</v>
          </cell>
          <cell r="J431" t="str">
            <v>21124018</v>
          </cell>
          <cell r="K431">
            <v>0</v>
          </cell>
          <cell r="L431" t="str">
            <v>Nguyễn Phan Anh Huy</v>
          </cell>
          <cell r="M431" t="str">
            <v>Khoa đào tạo tiên tiến</v>
          </cell>
          <cell r="N431" t="str">
            <v>huynpa@hcmute.edu.vn</v>
          </cell>
          <cell r="O431" t="str">
            <v xml:space="preserve">01 Báo cáo khoa học </v>
          </cell>
        </row>
        <row r="432">
          <cell r="B432" t="str">
            <v>SV2026-457</v>
          </cell>
          <cell r="C432" t="str">
            <v>R</v>
          </cell>
          <cell r="D432" t="str">
            <v>X</v>
          </cell>
          <cell r="E432" t="str">
            <v>x</v>
          </cell>
          <cell r="F432" t="str">
            <v>Nghiên cứu, thiết kế, thi công mô hình động cơ ô tô điện phục vụ giảng dạy</v>
          </cell>
          <cell r="G432" t="str">
            <v>Phan Khánh Chương 23145005</v>
          </cell>
          <cell r="H432" t="str">
            <v xml:space="preserve">Phan Khánh Chương </v>
          </cell>
          <cell r="I432" t="str">
            <v>Đào tạo tiên tiến</v>
          </cell>
          <cell r="J432" t="str">
            <v>23145005</v>
          </cell>
          <cell r="K432" t="str">
            <v>Đặng Anh Duy 22145016
Phạm Tuấn Kiệt 22145041
Phạm Trần Đăng  Khoa 22145039
Châu Thành Thông 22145072</v>
          </cell>
          <cell r="L432" t="str">
            <v>Nguyễn Quang Trãi</v>
          </cell>
          <cell r="M432" t="str">
            <v>Khoa Giao thông và Năng lượng</v>
          </cell>
          <cell r="N432" t="str">
            <v>trainq@hcmute.edu.vn</v>
          </cell>
          <cell r="O432" t="str">
            <v>01 Mô hình thực nghiệm 01 Tài liệu, video hướng dẫn sử dụng và thực hành
01 Báo cáo tổng kết</v>
          </cell>
        </row>
        <row r="433">
          <cell r="B433" t="str">
            <v>SV2026-458</v>
          </cell>
          <cell r="C433" t="str">
            <v>R</v>
          </cell>
          <cell r="D433"/>
          <cell r="E433"/>
          <cell r="F433" t="str">
            <v>Hệ thống giám sát an toàn công trình xây dựng thông minh sử dụng AI đa tác nhân</v>
          </cell>
          <cell r="G433" t="str">
            <v>Lê Vũ Khang 23110029</v>
          </cell>
          <cell r="H433" t="str">
            <v xml:space="preserve">Lê Vũ Khang </v>
          </cell>
          <cell r="I433" t="str">
            <v>Đào tạo tiên tiến</v>
          </cell>
          <cell r="J433" t="str">
            <v>23110029</v>
          </cell>
          <cell r="K433" t="str">
            <v>Tô Phát Đạt 23110015
Võ Hữu Lộc 23110039
Trương Đình Khoa 23110034</v>
          </cell>
          <cell r="L433" t="str">
            <v>Nguyễn Đăng Quang</v>
          </cell>
          <cell r="M433" t="str">
            <v>Khoa đào tạo tiên tiến</v>
          </cell>
          <cell r="N433" t="str">
            <v>quangnd@hcmute.edu.vn</v>
          </cell>
          <cell r="O433" t="str">
            <v>01 Bài báo khoa học đăng trên hội thảo quốc tế có chỉ số xuất bản ISBN/ISSN
01 Chương trình mô phỏng
01 Báo cáo tổng kết</v>
          </cell>
        </row>
        <row r="434">
          <cell r="B434" t="str">
            <v>SV2026-460</v>
          </cell>
          <cell r="C434" t="str">
            <v>R</v>
          </cell>
          <cell r="D434" t="str">
            <v>X</v>
          </cell>
          <cell r="E434"/>
          <cell r="F434" t="str">
            <v xml:space="preserve">Ứng dụng camera để phân tích các chuyển động trong việc luyện tập thể dục thể thao </v>
          </cell>
          <cell r="G434" t="str">
            <v>Nguyễn Tuấn Anh 23119002</v>
          </cell>
          <cell r="H434" t="str">
            <v xml:space="preserve">Nguyễn Tuấn Anh </v>
          </cell>
          <cell r="I434" t="str">
            <v>Đào tạo tiên tiến</v>
          </cell>
          <cell r="J434" t="str">
            <v>23119002</v>
          </cell>
          <cell r="K434" t="str">
            <v>Nguyễn Trịnh Khánh Linh 23119016
Nguyễn Công Minh 23119021
Võ Hoài Nam 23119024
Nguyễn Tiến Khang 23119010</v>
          </cell>
          <cell r="L434" t="str">
            <v>Vũ Chí Cường</v>
          </cell>
          <cell r="M434" t="str">
            <v>Khoa Điện - Điện tử</v>
          </cell>
          <cell r="N434" t="str">
            <v>cuongvc@hcmute.edu.vn</v>
          </cell>
          <cell r="O434" t="str">
            <v>01 Bài báo khoa học đăng trên hội thảo quốc tế có chỉ số xuất bản ISBN/ISSN
01 Chương trình nhúng thực nghiệm 
01 Báo cáo tổng kết</v>
          </cell>
        </row>
        <row r="435">
          <cell r="B435" t="str">
            <v>SV2026-461</v>
          </cell>
          <cell r="C435" t="str">
            <v>R</v>
          </cell>
          <cell r="D435" t="str">
            <v>X</v>
          </cell>
          <cell r="E435" t="str">
            <v>x</v>
          </cell>
          <cell r="F435" t="str">
            <v>Giải pháp chẩn đoán, cảnh báo và điều khiển cho hệ thống năng lượng mặt trời</v>
          </cell>
          <cell r="G435" t="str">
            <v>Bùi Lễ Quang Vinh 23151042</v>
          </cell>
          <cell r="H435" t="str">
            <v xml:space="preserve">Bùi Lễ Quang Vinh </v>
          </cell>
          <cell r="I435" t="str">
            <v>Đào tạo tiên tiến</v>
          </cell>
          <cell r="J435" t="str">
            <v>23151042</v>
          </cell>
          <cell r="K435" t="str">
            <v>Lê Văn Nhật Thông 23151034
Nguyễn Hoàng Công Tấn 23161077
Phạm Bùi Thanh Sang 25151104</v>
          </cell>
          <cell r="L435" t="str">
            <v>Tạ Văn Phương</v>
          </cell>
          <cell r="M435" t="str">
            <v>Khoa đào tạo tiên tiến</v>
          </cell>
          <cell r="N435" t="str">
            <v>phuongtv@hcmute.edu.vn</v>
          </cell>
          <cell r="O435" t="str">
            <v>01 Chương trình nhúng thực nghiệm 
01 Báo cáo tổng kết</v>
          </cell>
        </row>
        <row r="436">
          <cell r="B436" t="str">
            <v>SV2026-462</v>
          </cell>
          <cell r="C436" t="str">
            <v>R</v>
          </cell>
          <cell r="D436" t="str">
            <v>X</v>
          </cell>
          <cell r="E436"/>
          <cell r="F436" t="str">
            <v>Nền tảng Bản sao số cho hệ thống Phân loại Đối tượng bằng Robot dựa trên Thị giác máy tính.</v>
          </cell>
          <cell r="G436" t="str">
            <v>Hoàng Ngọc An 22151003</v>
          </cell>
          <cell r="H436" t="str">
            <v xml:space="preserve">Hoàng Ngọc An </v>
          </cell>
          <cell r="I436" t="str">
            <v>Đào tạo tiên tiến</v>
          </cell>
          <cell r="J436" t="str">
            <v>22151003</v>
          </cell>
          <cell r="K436" t="str">
            <v xml:space="preserve">Hà Trường An 22151002
Lê Nguyễn Hiếu Ân 22151007
Trương Quốc Bảo 22151008
Đoàn Tấn Phát 22151035             </v>
          </cell>
          <cell r="L436" t="str">
            <v xml:space="preserve"> Trần Đức Thiện</v>
          </cell>
          <cell r="M436" t="str">
            <v>Khoa Điện - Điện tử</v>
          </cell>
          <cell r="N436" t="str">
            <v>thientd@hcmute.edu.vn</v>
          </cell>
          <cell r="O436" t="str">
            <v>01 Bài báo khoa học đăng trên hội thảo quốc tế có chỉ số xuất bản ISBN/ISSN
01 Báo cáo tổng kết theo đúng quy định, hình thức trình bày của nhà trường</v>
          </cell>
        </row>
        <row r="437">
          <cell r="B437" t="str">
            <v>SV2026-463</v>
          </cell>
          <cell r="C437" t="str">
            <v>R</v>
          </cell>
          <cell r="D437" t="str">
            <v>X</v>
          </cell>
          <cell r="E437"/>
          <cell r="F437" t="str">
            <v>Nghiên cứu ảnh hưởng của xỉ lò cao đến cường độ chịu nén của bê tông rỗng</v>
          </cell>
          <cell r="G437" t="str">
            <v>Đỗ Đình Phong 23149029</v>
          </cell>
          <cell r="H437" t="str">
            <v xml:space="preserve">Đỗ Đình Phong </v>
          </cell>
          <cell r="I437" t="str">
            <v>Đào tạo tiên tiến</v>
          </cell>
          <cell r="J437" t="str">
            <v>23149029</v>
          </cell>
          <cell r="K437" t="str">
            <v>Lê Đức Nam 23149026
Nguyễn Văn Thành 23149035
Đỗ Lê Đăng Khoa 23149017
Trần Hoàng Bảo Khanh 23149016</v>
          </cell>
          <cell r="L437" t="str">
            <v>Trần Thanh Tài</v>
          </cell>
          <cell r="M437" t="str">
            <v>Khoa Xây dựng</v>
          </cell>
          <cell r="N437" t="str">
            <v>taitt@hcmute.edu.vn</v>
          </cell>
          <cell r="O437" t="str">
            <v>01 Báo cáo tổng kết</v>
          </cell>
        </row>
        <row r="438">
          <cell r="B438" t="str">
            <v>SV2026-464</v>
          </cell>
          <cell r="C438" t="str">
            <v>R</v>
          </cell>
          <cell r="D438" t="str">
            <v>X</v>
          </cell>
          <cell r="E438"/>
          <cell r="F438" t="str">
            <v>Nghiên cứu quá trình đúc hai kim loại(Al/Cu)</v>
          </cell>
          <cell r="G438" t="str">
            <v>Trần Gia Lâm 23144021</v>
          </cell>
          <cell r="H438" t="str">
            <v xml:space="preserve">Trần Gia Lâm </v>
          </cell>
          <cell r="I438" t="str">
            <v>Đào tạo tiên tiến</v>
          </cell>
          <cell r="J438" t="str">
            <v>23144021</v>
          </cell>
          <cell r="K438" t="str">
            <v>Trần Thanh Nhân 23144030
Trần Bảo Quân 23144032</v>
          </cell>
          <cell r="L438" t="str">
            <v>Nguyễn Thanh Tân</v>
          </cell>
          <cell r="M438" t="str">
            <v>Khoa CKM</v>
          </cell>
          <cell r="N438" t="str">
            <v>tannt@hcmute.edu.vn</v>
          </cell>
          <cell r="O438" t="str">
            <v>01 Bài báo cáo thực tế
01 Bản vẻ khuôn đúc
01 Kết quả mô phỏng
01 mô hình thực nghiệm</v>
          </cell>
        </row>
        <row r="439">
          <cell r="B439" t="str">
            <v>SV2026-465</v>
          </cell>
          <cell r="C439" t="str">
            <v>R</v>
          </cell>
          <cell r="D439"/>
          <cell r="E439"/>
          <cell r="F439" t="str">
            <v xml:space="preserve">Thực nghiệm, đánh giá độ bền kéo và tổ chức tế vi của mối hàn GMAW dưới sự hỗ trợ rung động tần số thấp
</v>
          </cell>
          <cell r="G439" t="str">
            <v>Ngô Thanh Tuấn 24143158</v>
          </cell>
          <cell r="H439" t="str">
            <v xml:space="preserve">Ngô Thanh Tuấn </v>
          </cell>
          <cell r="I439" t="str">
            <v>Đào tạo tiên tiến</v>
          </cell>
          <cell r="J439" t="str">
            <v>24143158</v>
          </cell>
          <cell r="K439" t="str">
            <v xml:space="preserve"> Nguyễn Kim Long 24143111
 Nguyễn Đình Nam 24143120
 Võ Tường Nguyên 24143122
 Nguyễn Dương Minh 24143119</v>
          </cell>
          <cell r="L439" t="str">
            <v>Trần Ngọc Thiện</v>
          </cell>
          <cell r="M439" t="str">
            <v>Khoa CKM</v>
          </cell>
          <cell r="N439" t="str">
            <v>thientn@hcmute.edu.vn</v>
          </cell>
          <cell r="O439" t="str">
            <v>01 Báo cáo tổng kết
01 bảng thông số thí nghiệm
01 bộ kết quả độ bền kéo</v>
          </cell>
        </row>
        <row r="440">
          <cell r="B440" t="str">
            <v>SV2026-466</v>
          </cell>
          <cell r="C440" t="str">
            <v>R</v>
          </cell>
          <cell r="D440" t="str">
            <v>X</v>
          </cell>
          <cell r="E440"/>
          <cell r="F440" t="str">
            <v>Khảo sát hàm lượng tinh bột kháng trong sản phẩm bánh mì khi thay thế một phần bột mì bằng tinh bột chuối xanh</v>
          </cell>
          <cell r="G440" t="str">
            <v>Lê Minh Nhật 22116019</v>
          </cell>
          <cell r="H440" t="str">
            <v xml:space="preserve">Lê Minh Nhật </v>
          </cell>
          <cell r="I440" t="str">
            <v>Đào tạo tiên tiến</v>
          </cell>
          <cell r="J440" t="str">
            <v>22116019</v>
          </cell>
          <cell r="K440" t="str">
            <v>Nguyễn Huy Bảo 22116003
Lê Tiến Nam 22116017
Đào Ngọc Bảo Trân 22128078
Trần Thanh Trúc 22116023</v>
          </cell>
          <cell r="L440" t="str">
            <v>Nguyễn Minh Hải</v>
          </cell>
          <cell r="M440" t="str">
            <v>Khoa CNHH&amp;TP</v>
          </cell>
          <cell r="N440" t="str">
            <v>hainm@hcmute.edu.vn</v>
          </cell>
          <cell r="O440" t="str">
            <v>01 Báo cáo tổng kết
02 Bánh mì từ tinh bột chuối xanh</v>
          </cell>
        </row>
        <row r="441">
          <cell r="B441" t="str">
            <v>SV2026-467</v>
          </cell>
          <cell r="C441" t="str">
            <v>R</v>
          </cell>
          <cell r="D441" t="str">
            <v>X</v>
          </cell>
          <cell r="E441"/>
          <cell r="F441" t="str">
            <v>Đánh giá quá trình đúc thỏi hợp kim nhôm kẽm thông qua mô phỏng</v>
          </cell>
          <cell r="G441" t="str">
            <v>Trần Đình Huy 23144015</v>
          </cell>
          <cell r="H441" t="str">
            <v xml:space="preserve">Trần Đình Huy </v>
          </cell>
          <cell r="I441" t="str">
            <v>Đào tạo tiên tiến</v>
          </cell>
          <cell r="J441" t="str">
            <v>23144015</v>
          </cell>
          <cell r="K441" t="str">
            <v>Nguyễn Thanh Học 23144014
Nguyễn Vũ Hòa 23144013</v>
          </cell>
          <cell r="L441" t="str">
            <v>Nguyễn Thanh Tân</v>
          </cell>
          <cell r="M441" t="str">
            <v>Khoa CKM</v>
          </cell>
          <cell r="N441" t="str">
            <v>tannt@hcmute.edu.vn</v>
          </cell>
          <cell r="O441" t="str">
            <v>01 Báo cáo tổng kết</v>
          </cell>
        </row>
        <row r="442">
          <cell r="B442" t="str">
            <v>SV2026-468</v>
          </cell>
          <cell r="C442" t="str">
            <v>R</v>
          </cell>
          <cell r="D442" t="str">
            <v>X</v>
          </cell>
          <cell r="E442" t="str">
            <v>x</v>
          </cell>
          <cell r="F442" t="str">
            <v>Phát triển hệ thống nhận dạng ngôn ngữ ký hiệu dựa trên học sâu đa luồng</v>
          </cell>
          <cell r="G442" t="str">
            <v>Trần Gia Kiệt 24110103</v>
          </cell>
          <cell r="H442" t="str">
            <v xml:space="preserve">Trần Gia Kiệt </v>
          </cell>
          <cell r="I442" t="str">
            <v>Đào tạo tiên tiến</v>
          </cell>
          <cell r="J442" t="str">
            <v>24110103</v>
          </cell>
          <cell r="K442">
            <v>0</v>
          </cell>
          <cell r="L442" t="str">
            <v>Trần Quang Khải</v>
          </cell>
          <cell r="M442" t="str">
            <v>Khoa CNTT</v>
          </cell>
          <cell r="N442" t="str">
            <v>khaitq@hcmute.edu.vn</v>
          </cell>
          <cell r="O442" t="str">
            <v>01 Bài báo cáo tổng kết 
01 Chương trình máy tính</v>
          </cell>
        </row>
        <row r="443">
          <cell r="B443" t="str">
            <v>SV2026-469</v>
          </cell>
          <cell r="C443" t="str">
            <v>R</v>
          </cell>
          <cell r="D443" t="str">
            <v>X</v>
          </cell>
          <cell r="E443"/>
          <cell r="F443" t="str">
            <v>Thiết kế mạch bandgap hiệu năng cao dùng công nghệ 65nm</v>
          </cell>
          <cell r="G443" t="str">
            <v>Lê Nhật Tân 23119034</v>
          </cell>
          <cell r="H443" t="str">
            <v xml:space="preserve">Lê Nhật Tân </v>
          </cell>
          <cell r="I443" t="str">
            <v>Đào tạo tiên tiến</v>
          </cell>
          <cell r="J443" t="str">
            <v>23119034</v>
          </cell>
          <cell r="K443" t="str">
            <v>Phạm Duy Linh 23119017</v>
          </cell>
          <cell r="L443" t="str">
            <v>Võ Minh Huân</v>
          </cell>
          <cell r="M443" t="str">
            <v>Khoa Điện - Điện tử</v>
          </cell>
          <cell r="N443" t="str">
            <v>huanvm@hcmute.edu.vn</v>
          </cell>
          <cell r="O443" t="str">
            <v>01 Bài báo cáo tổng kết
01 Bài báo khoa học đăng trên tạp chí trong nước trong danh mục của HĐ GSNN tính từ 0,5 điểm trở lên; hoặc bài báo đăng trên tạp chí quốc tế có chỉ số xuất bản ISSN</v>
          </cell>
        </row>
        <row r="444">
          <cell r="B444" t="str">
            <v>SV2026-470</v>
          </cell>
          <cell r="C444" t="str">
            <v>R</v>
          </cell>
          <cell r="D444" t="str">
            <v>X</v>
          </cell>
          <cell r="E444" t="str">
            <v>x</v>
          </cell>
          <cell r="F444" t="str">
            <v>Nghiên cứu đánh giá độ thấm khí của vật liệu làm khuôn</v>
          </cell>
          <cell r="G444" t="str">
            <v>Lê Đình Mạnh 22144028</v>
          </cell>
          <cell r="H444" t="str">
            <v xml:space="preserve">Lê Đình Mạnh </v>
          </cell>
          <cell r="I444" t="str">
            <v>Đào tạo tiên tiến</v>
          </cell>
          <cell r="J444" t="str">
            <v>22144028</v>
          </cell>
          <cell r="K444" t="str">
            <v>Chu Dương Huy Tài 22144034
Hoàng Chí Cường 22143041</v>
          </cell>
          <cell r="L444" t="str">
            <v>Nguyễn Thanh Tân</v>
          </cell>
          <cell r="M444" t="str">
            <v>Khoa CKM</v>
          </cell>
          <cell r="N444" t="str">
            <v>tannt@hcmute.edu.vn</v>
          </cell>
          <cell r="O444" t="str">
            <v>01 Báo cáo tổng kết
01 biểu đồ phân tích</v>
          </cell>
        </row>
        <row r="445">
          <cell r="B445" t="str">
            <v>SV2026-471</v>
          </cell>
          <cell r="C445" t="str">
            <v>R</v>
          </cell>
          <cell r="D445"/>
          <cell r="E445"/>
          <cell r="F445" t="str">
            <v xml:space="preserve">Thiết kế và xây dựng mô hình đồng bộ servo cho thực tập trang bị điện khí nén.
</v>
          </cell>
          <cell r="G445" t="str">
            <v>Võ Đình Bình 23142009</v>
          </cell>
          <cell r="H445" t="str">
            <v xml:space="preserve">Võ Đình Bình </v>
          </cell>
          <cell r="I445" t="str">
            <v>Đào tạo tiên tiến</v>
          </cell>
          <cell r="J445" t="str">
            <v>23142009</v>
          </cell>
          <cell r="K445" t="str">
            <v xml:space="preserve">Trần Trí Bảo 23142008
Nguyễn Văn Đức 23142016
</v>
          </cell>
          <cell r="L445" t="str">
            <v>Phùng Sơn Thanh</v>
          </cell>
          <cell r="M445" t="str">
            <v>Khoa Điện - Điện tử</v>
          </cell>
          <cell r="N445" t="str">
            <v>thanhps@hcmute.edu.vn</v>
          </cell>
          <cell r="O445" t="str">
            <v>01 Báo cáo tổng kết
01 Mô hình thực nghiệm</v>
          </cell>
        </row>
        <row r="446">
          <cell r="B446" t="str">
            <v>SV2026-472</v>
          </cell>
          <cell r="C446" t="str">
            <v>R</v>
          </cell>
          <cell r="D446" t="str">
            <v>X</v>
          </cell>
          <cell r="E446"/>
          <cell r="F446" t="str">
            <v>Nghiên cứu áp dung AI trong chẩn đoán tuổi thọ của máy biến áp điện lực</v>
          </cell>
          <cell r="G446" t="str">
            <v>Hồ Hoàng Vỹ 23142076</v>
          </cell>
          <cell r="H446" t="str">
            <v xml:space="preserve">Hồ Hoàng Vỹ </v>
          </cell>
          <cell r="I446" t="str">
            <v>Đào tạo tiên tiến</v>
          </cell>
          <cell r="J446" t="str">
            <v>23142076</v>
          </cell>
          <cell r="K446" t="str">
            <v xml:space="preserve">Nguyễn Chí Linh 23142038
Nguyễn Thanh Hoài Phúc 23142049
Trần Quốc Minh Huy 23142026
</v>
          </cell>
          <cell r="L446" t="str">
            <v>Trương Đình Nhơn</v>
          </cell>
          <cell r="M446" t="str">
            <v>Khoa đào tạo tiên tiến</v>
          </cell>
          <cell r="N446" t="str">
            <v>nhontd@hcmute.edu.vn</v>
          </cell>
          <cell r="O446" t="str">
            <v>01 Báo cáo tổng kết 
01 Phần mềm thực nghiệm dự "Chương trình máy tính mô phỏng chạy trên nền tảng Rapidmine"</v>
          </cell>
        </row>
        <row r="447">
          <cell r="B447" t="str">
            <v>SV2026-473</v>
          </cell>
          <cell r="C447" t="str">
            <v>R</v>
          </cell>
          <cell r="D447"/>
          <cell r="E447"/>
          <cell r="F447" t="str">
            <v>Nghiên cứu và phát triển hệ thống đo điện năng và đưa ra cảnh báo khi phát hiện có tải lớn bất thường dựa trên công nghệ IoT</v>
          </cell>
          <cell r="G447" t="str">
            <v>Huỳnh Cao Tiến 20142248</v>
          </cell>
          <cell r="H447" t="str">
            <v xml:space="preserve">Huỳnh Cao Tiến </v>
          </cell>
          <cell r="I447" t="str">
            <v>Đào tạo tiên tiến</v>
          </cell>
          <cell r="J447" t="str">
            <v>20142248</v>
          </cell>
          <cell r="K447" t="str">
            <v>Trần Gia Bảo 20142198
Phạm Phúc Trường 20142005  
Phan Nhật Anh 20142027
Huỳnh Thị Quỳnh Phương 22161067</v>
          </cell>
          <cell r="L447" t="str">
            <v>Nguyễn Thanh Nghĩa</v>
          </cell>
          <cell r="M447" t="str">
            <v>Khoa Điện - Điện tử</v>
          </cell>
          <cell r="N447" t="str">
            <v>nghiant@hcmute.edu.vn</v>
          </cell>
          <cell r="O447" t="str">
            <v>01 Báo cáo tổng kết
01 Mô hình thực nghiệm</v>
          </cell>
        </row>
        <row r="448">
          <cell r="B448" t="str">
            <v>SV2026-474</v>
          </cell>
          <cell r="C448" t="str">
            <v>R</v>
          </cell>
          <cell r="D448" t="str">
            <v>X</v>
          </cell>
          <cell r="E448"/>
          <cell r="F448" t="str">
            <v>Máy bay không người lái tự động theo dõi con người bằng trí tuệ nhân tạo</v>
          </cell>
          <cell r="G448" t="str">
            <v>Huỳnh Lê Thành Nhân 24119068</v>
          </cell>
          <cell r="H448" t="str">
            <v xml:space="preserve">Huỳnh Lê Thành Nhân </v>
          </cell>
          <cell r="I448" t="str">
            <v>Đào tạo tiên tiến</v>
          </cell>
          <cell r="J448" t="str">
            <v>24119068</v>
          </cell>
          <cell r="K448" t="str">
            <v>Trịnh Trần Quốc Bảo 24119016</v>
          </cell>
          <cell r="L448" t="str">
            <v>Lê Mỹ Hà</v>
          </cell>
          <cell r="M448" t="str">
            <v>Khoa Điện - Điện tử</v>
          </cell>
          <cell r="N448" t="str">
            <v>halm@hcmute.edu.vn</v>
          </cell>
          <cell r="O448" t="str">
            <v>01 Báo cáo tổng kết 
01 Chương trình máy tính cho máy bay không người lái tự động theo dõi con người</v>
          </cell>
        </row>
        <row r="449">
          <cell r="B449" t="str">
            <v>SV2026-475</v>
          </cell>
          <cell r="C449" t="str">
            <v>R</v>
          </cell>
          <cell r="D449" t="str">
            <v>X</v>
          </cell>
          <cell r="E449"/>
          <cell r="F449" t="str">
            <v>Nghiên cứu và phát triển thuật toán tối ưu không gian sắp xếp vật thể sử dụng Robot Delta</v>
          </cell>
          <cell r="G449" t="str">
            <v>Trương Quốc Phú 22151036</v>
          </cell>
          <cell r="H449" t="str">
            <v xml:space="preserve">Trương Quốc Phú </v>
          </cell>
          <cell r="I449" t="str">
            <v>Đào tạo tiên tiến</v>
          </cell>
          <cell r="J449" t="str">
            <v>22151036</v>
          </cell>
          <cell r="K449" t="str">
            <v>Võ Ngọc Huy 22151020</v>
          </cell>
          <cell r="L449" t="str">
            <v>Vũ Văn Phong</v>
          </cell>
          <cell r="M449" t="str">
            <v>Khoa Điện - Điện tử</v>
          </cell>
          <cell r="N449" t="str">
            <v>phongvv@hcmute.edu.vn</v>
          </cell>
          <cell r="O449" t="str">
            <v>01 Mô hình thực nghiệm
01 Thuật toán, chương trình
01 Báo cáo tổng kết</v>
          </cell>
        </row>
        <row r="450">
          <cell r="B450" t="str">
            <v>SV2026-476</v>
          </cell>
          <cell r="C450" t="str">
            <v>R</v>
          </cell>
          <cell r="D450" t="str">
            <v>X</v>
          </cell>
          <cell r="E450"/>
          <cell r="F450" t="str">
            <v>AURORA -Robot hướng dẫn bệnh nhân khiếm thị trong bệnh viên bằng giọng nói.</v>
          </cell>
          <cell r="G450" t="str">
            <v>Nguyễn Vũ Trung Hiếu 22151014</v>
          </cell>
          <cell r="H450" t="str">
            <v xml:space="preserve">Nguyễn Vũ Trung Hiếu </v>
          </cell>
          <cell r="I450" t="str">
            <v>Đào tạo tiên tiến</v>
          </cell>
          <cell r="J450" t="str">
            <v>22151014</v>
          </cell>
          <cell r="K450" t="str">
            <v>Dương Minh Hoàng 22151015</v>
          </cell>
          <cell r="L450" t="str">
            <v>Vũ Văn Phong</v>
          </cell>
          <cell r="M450" t="str">
            <v>Khoa Điện - Điện tử</v>
          </cell>
          <cell r="N450" t="str">
            <v>phongvv@hcmute.edu.vn</v>
          </cell>
          <cell r="O450" t="str">
            <v>01 Mô hình thực nghiệm
01 Thuật toán, chương trình
01 Báo cáo tổng kết</v>
          </cell>
        </row>
        <row r="451">
          <cell r="B451" t="str">
            <v>SV2026-477</v>
          </cell>
          <cell r="C451" t="str">
            <v>R</v>
          </cell>
          <cell r="D451" t="str">
            <v>X</v>
          </cell>
          <cell r="E451"/>
          <cell r="F451" t="str">
            <v>Áp dụng hệ thống Smart IoT giám sát côn trùng/ động vật gây hại cho kho bãi của doanh nghiệp</v>
          </cell>
          <cell r="G451" t="str">
            <v>Trương Minh Quân 21161262</v>
          </cell>
          <cell r="H451" t="str">
            <v xml:space="preserve">Trương Minh Quân </v>
          </cell>
          <cell r="I451" t="str">
            <v>Đào tạo tiên tiến</v>
          </cell>
          <cell r="J451" t="str">
            <v>21161262</v>
          </cell>
          <cell r="K451" t="str">
            <v>Khương Tiến Đạt 21161239
Nguyễn Duy Ân 21161017
Vũ Quang Khải 21161246
Nguyễn Trọng Nhân 21161255</v>
          </cell>
          <cell r="L451" t="str">
            <v xml:space="preserve">Nguyễn Văn Thái </v>
          </cell>
          <cell r="M451" t="str">
            <v>Khoa Điện - Điện tử</v>
          </cell>
          <cell r="N451" t="str">
            <v>nguyenvanthai@hcmute.edu.vn</v>
          </cell>
          <cell r="O451" t="str">
            <v>01 Mô hình thu nhỏ 
01 Báo cáo tổng kết
01 Ứng dụng theo dõi</v>
          </cell>
        </row>
        <row r="452">
          <cell r="B452" t="str">
            <v>SV2026-478</v>
          </cell>
          <cell r="C452" t="str">
            <v>R</v>
          </cell>
          <cell r="D452"/>
          <cell r="E452"/>
          <cell r="F452" t="str">
            <v>Nghiên cứu các chiến lược tối ưu hóa hiệu quả biểu diễn cảnh 3D thời gian thực</v>
          </cell>
          <cell r="G452" t="str">
            <v>Nguyễn Nhật Phát 23110053</v>
          </cell>
          <cell r="H452" t="str">
            <v xml:space="preserve">Nguyễn Nhật Phát </v>
          </cell>
          <cell r="I452" t="str">
            <v>Đào tạo tiên tiến</v>
          </cell>
          <cell r="J452" t="str">
            <v>23110053</v>
          </cell>
          <cell r="K452" t="str">
            <v>Phạm Quốc Hùng 25110223</v>
          </cell>
          <cell r="L452" t="str">
            <v>Hoàng Văn Dũng</v>
          </cell>
          <cell r="M452" t="str">
            <v>Khoa CNTT</v>
          </cell>
          <cell r="N452" t="str">
            <v>dunghv@hcmute.edu.vn</v>
          </cell>
          <cell r="O452" t="str">
            <v>- 01 Bài báo khoa học đăng trên hội thảo quốc tế có chỉ số xuất bản ISBN/ISSN.
- 01 Chương trình máy tính
- 01 Báo cáo tổng kết</v>
          </cell>
        </row>
        <row r="453">
          <cell r="B453" t="str">
            <v>SV2026-479</v>
          </cell>
          <cell r="C453" t="str">
            <v>R</v>
          </cell>
          <cell r="D453" t="str">
            <v>X</v>
          </cell>
          <cell r="E453"/>
          <cell r="F453" t="str">
            <v>Nghiên cứu một số yếu tố ảnh hưởng đến sự nảy mầm nhằm gia tăng hàm lượng hoạt chất trong hạt diêm mạch (Chenopodium quinoa Willd)</v>
          </cell>
          <cell r="G453" t="str">
            <v>Nguyễn Hồng Tiên 24116080</v>
          </cell>
          <cell r="H453" t="str">
            <v xml:space="preserve">Nguyễn Hồng Tiên </v>
          </cell>
          <cell r="I453" t="str">
            <v>Đào tạo tiên tiến</v>
          </cell>
          <cell r="J453" t="str">
            <v>24116080</v>
          </cell>
          <cell r="K453" t="str">
            <v>Nguyễn Ánh Thiên Nguyệt 24116055
Mai Đại Hải 24116023
Trịnh Tấn Phát 24116061</v>
          </cell>
          <cell r="L453" t="str">
            <v>Hoàng Văn Chuyển</v>
          </cell>
          <cell r="M453" t="str">
            <v>Khoa đào tạo tiên tiến</v>
          </cell>
          <cell r="N453" t="str">
            <v xml:space="preserve">chuyenhv@hcmute.edu.vn </v>
          </cell>
          <cell r="O453" t="str">
            <v>- 01 Bài báo khoa học (Được chấp nhận đăng trên tạp chí trong nước trong danh mục của HĐ GSNN tính từ 0,5 điểm trở lên hoặc tạp chí quốc tế có chỉ số ISSN)
- 01 Báo cáo tổng kết</v>
          </cell>
        </row>
        <row r="454">
          <cell r="B454" t="str">
            <v>SV2026-480</v>
          </cell>
          <cell r="C454" t="str">
            <v>R</v>
          </cell>
          <cell r="D454" t="str">
            <v>X</v>
          </cell>
          <cell r="E454"/>
          <cell r="F454" t="str">
            <v>Nghiên cứu ảnh hưởng của một số phương pháp sấy đến chất lượng hạt tiêu thu hoạch tại Bà Rịa, TP Hồ Chí Minh</v>
          </cell>
          <cell r="G454" t="str">
            <v>Đào Hà Vy 24116092</v>
          </cell>
          <cell r="H454" t="str">
            <v xml:space="preserve">Đào Hà Vy </v>
          </cell>
          <cell r="I454" t="str">
            <v>Đào tạo tiên tiến</v>
          </cell>
          <cell r="J454" t="str">
            <v>24116092</v>
          </cell>
          <cell r="K454" t="str">
            <v>Trịnh Hoàng Huy 24116033
Lê Trần Hoàng Vy 24116093
Bùi Hiếu Nghĩa 24116051
Nguyễn Võ Thảo My 24116043</v>
          </cell>
          <cell r="L454" t="str">
            <v>Hoàng Văn Chuyển</v>
          </cell>
          <cell r="M454" t="str">
            <v>Khoa đào tạo tiên tiến</v>
          </cell>
          <cell r="N454" t="str">
            <v xml:space="preserve">chuyenhv@ hcmute.edu.vn </v>
          </cell>
          <cell r="O454" t="str">
            <v>01 Báo cáo tổng kết</v>
          </cell>
        </row>
        <row r="455">
          <cell r="B455" t="str">
            <v>SV2026-481</v>
          </cell>
          <cell r="C455" t="str">
            <v>R</v>
          </cell>
          <cell r="D455" t="str">
            <v>X</v>
          </cell>
          <cell r="E455"/>
          <cell r="F455" t="str">
            <v>Thiết kế chế tạo bồn tích trữ lạnh vận hành kết hợp hệ thống điều hòa không khí Water Chiller</v>
          </cell>
          <cell r="G455" t="str">
            <v>Đinh Lê Gia Bảo 23151003</v>
          </cell>
          <cell r="H455" t="str">
            <v xml:space="preserve">Đinh Lê Gia Bảo </v>
          </cell>
          <cell r="I455" t="str">
            <v>Đào tạo tiên tiến</v>
          </cell>
          <cell r="J455" t="str">
            <v>23151003</v>
          </cell>
          <cell r="K455" t="str">
            <v>Nguyễn Đình An 23151001    
Phạm Hữu Quốc 23151026
Phạm Anh Tú 23151041</v>
          </cell>
          <cell r="L455" t="str">
            <v xml:space="preserve">Lê Trọng Nghĩa </v>
          </cell>
          <cell r="M455" t="str">
            <v>Khoa Điện - Điện tử</v>
          </cell>
          <cell r="N455" t="str">
            <v xml:space="preserve"> trongnghiaspkt@hcmute.edu.vn </v>
          </cell>
          <cell r="O455" t="str">
            <v>01 Mô hình thực nghiệm 01 Báo cáo tổng kết</v>
          </cell>
        </row>
        <row r="456">
          <cell r="B456" t="str">
            <v>SV2026-482</v>
          </cell>
          <cell r="C456" t="str">
            <v>R</v>
          </cell>
          <cell r="D456" t="str">
            <v>X</v>
          </cell>
          <cell r="E456" t="str">
            <v>x</v>
          </cell>
          <cell r="F456" t="str">
            <v>Nghiên cứu xây dựng hệ thống nhận dạng biển số xe sử dụng YOLOv10 và kỹ thuật xử lý hình ảnh</v>
          </cell>
          <cell r="G456" t="str">
            <v>Nguyễn Tiến Cường 23110007</v>
          </cell>
          <cell r="H456" t="str">
            <v xml:space="preserve">Nguyễn Tiến Cường </v>
          </cell>
          <cell r="I456" t="str">
            <v>Đào tạo tiên tiến</v>
          </cell>
          <cell r="J456" t="str">
            <v>23110007</v>
          </cell>
          <cell r="K456" t="str">
            <v>Nguyễn Ngọc Gia Nguyễn 23110046
Trịnh Hoàng Khang 23110030
Vũ Hoàng Nam 23110042</v>
          </cell>
          <cell r="L456" t="str">
            <v>Trần Quang Khải</v>
          </cell>
          <cell r="M456" t="str">
            <v>Khoa CNTT</v>
          </cell>
          <cell r="N456" t="str">
            <v>khaitq@hcmute.edu.vn</v>
          </cell>
          <cell r="O456" t="str">
            <v>01 Bài báo cáo tổng kết
01 Mã nguồn chương trình nhân diện phương tiện giao thông
01 Chương trình máy tính</v>
          </cell>
        </row>
        <row r="457">
          <cell r="B457" t="str">
            <v>SV2026-483</v>
          </cell>
          <cell r="C457" t="str">
            <v>R</v>
          </cell>
          <cell r="D457" t="str">
            <v>X</v>
          </cell>
          <cell r="E457" t="str">
            <v>x</v>
          </cell>
          <cell r="F457" t="str">
            <v>Study on the Evaluation of the Effects of TIG Welding Parameters on SUS-304 Stainless Steel in the WAAM Process</v>
          </cell>
          <cell r="G457" t="str">
            <v>Trần Minh Nhật 23146022</v>
          </cell>
          <cell r="H457" t="str">
            <v xml:space="preserve">Trần Minh Nhật </v>
          </cell>
          <cell r="I457" t="str">
            <v>Đào tạo tiên tiến</v>
          </cell>
          <cell r="J457" t="str">
            <v>23146022</v>
          </cell>
          <cell r="K457" t="str">
            <v>Trần Minh Phát 23951028</v>
          </cell>
          <cell r="L457" t="str">
            <v>Hoàng Văn Hướng</v>
          </cell>
          <cell r="M457" t="str">
            <v>Khoa CKM</v>
          </cell>
          <cell r="N457" t="str">
            <v>huonghv@hcmute.edu.vn</v>
          </cell>
          <cell r="O457" t="str">
            <v>01 Bài báo đăng trên tạp chí trong nước thuộc ngành được tính điểm 0.25 trở lên trong danh mục Hội đồng GSNN có chỉ số ISBN/ISSN
01 Báo cáo tổng kết</v>
          </cell>
        </row>
        <row r="458">
          <cell r="B458" t="str">
            <v>SV2026-484</v>
          </cell>
          <cell r="C458" t="str">
            <v>R</v>
          </cell>
          <cell r="D458" t="str">
            <v>X</v>
          </cell>
          <cell r="E458"/>
          <cell r="F458" t="str">
            <v>Wibot - Robot tự hành vận chuyển nhu yếu phẩm thiết yếu trong khách sạn.</v>
          </cell>
          <cell r="G458" t="str">
            <v>Ngô Gia Huy 22151017</v>
          </cell>
          <cell r="H458" t="str">
            <v xml:space="preserve">Ngô Gia Huy </v>
          </cell>
          <cell r="I458" t="str">
            <v>Đào tạo tiên tiến</v>
          </cell>
          <cell r="J458" t="str">
            <v>22151017</v>
          </cell>
          <cell r="K458" t="str">
            <v>Lê Đình Đức Vinh 22151045</v>
          </cell>
          <cell r="L458" t="str">
            <v xml:space="preserve"> Vũ Văn Phong</v>
          </cell>
          <cell r="M458" t="str">
            <v>Khoa Điện - Điện tử</v>
          </cell>
          <cell r="N458" t="str">
            <v>phongvv@hcmute.edu.vn</v>
          </cell>
          <cell r="O458" t="str">
            <v>01 Chương trình máy tính
01 Báo cáo nghiên cứu</v>
          </cell>
        </row>
        <row r="459">
          <cell r="B459" t="str">
            <v>SV2026-485</v>
          </cell>
          <cell r="C459" t="str">
            <v>R</v>
          </cell>
          <cell r="D459" t="str">
            <v>X</v>
          </cell>
          <cell r="E459"/>
          <cell r="F459" t="str">
            <v>Sử dụng học tăng cường (RL) để nâng cao phương pháp cửa sổ động (DWA) cho việc điều hướng Robot di động trong Mujoco</v>
          </cell>
          <cell r="G459" t="str">
            <v>Trịnh Minh Trí 23146039</v>
          </cell>
          <cell r="H459" t="str">
            <v xml:space="preserve">Trịnh Minh Trí </v>
          </cell>
          <cell r="I459" t="str">
            <v>Đào tạo tiên tiến</v>
          </cell>
          <cell r="J459" t="str">
            <v>23146039</v>
          </cell>
          <cell r="K459" t="str">
            <v>Đỗ Trần Quang Hà 23146010
Thượng Trí Tín 23146038
Nguyễn Quang Trí 23151191
Hứa Minh Nhựt 23151154</v>
          </cell>
          <cell r="L459" t="str">
            <v>Trần Đức Thiện</v>
          </cell>
          <cell r="M459" t="str">
            <v>Khoa Điện - Điện tử</v>
          </cell>
          <cell r="N459" t="str">
            <v>thientd@hcmute.edu.vn</v>
          </cell>
          <cell r="O459" t="str">
            <v>01 Bài báo khoa học đăng trên hội thảo quốc tế có chỉ số xuất bản ISBN/ISSN
01 Chương trình máy tính: chương trình điều khiển hoạt động được
01 Báo cáo tổng kết theo đúng quy định, hình thức trình bày của nhà trường</v>
          </cell>
        </row>
        <row r="460">
          <cell r="B460" t="str">
            <v>SV2026-486</v>
          </cell>
          <cell r="C460" t="str">
            <v>R</v>
          </cell>
          <cell r="D460" t="str">
            <v>X</v>
          </cell>
          <cell r="E460"/>
          <cell r="F460" t="str">
            <v>Nghiên cứu và Phát triển hệ thống Robot tự hành dưới nước ứng dụng Trí tuệ Nhân tạo để giám sát và nhận diện lỗi cáp quang.</v>
          </cell>
          <cell r="G460" t="str">
            <v>Nguyễn Hoàng Trung Sơn 23151028</v>
          </cell>
          <cell r="H460" t="str">
            <v xml:space="preserve">Nguyễn Hoàng Trung Sơn </v>
          </cell>
          <cell r="I460" t="str">
            <v>Đào tạo tiên tiến</v>
          </cell>
          <cell r="J460" t="str">
            <v>23151028</v>
          </cell>
          <cell r="K460" t="str">
            <v>Trịnh Duy Bách 23151004
Nguyễn Minh Các 23151005
Lê Hoàng Vũ 23151043</v>
          </cell>
          <cell r="L460" t="str">
            <v>Dương Minh Thiện</v>
          </cell>
          <cell r="M460" t="str">
            <v>Khoa Điện - Điện tử</v>
          </cell>
          <cell r="N460" t="str">
            <v>minhthien@hcmute.edu.vn</v>
          </cell>
          <cell r="O460" t="str">
            <v>01 Bài báo (viết bằng tiếng Anh) đăng toàn văn trong kỷ yếu hội thảo quốc tế có chỉ số ISBN/ISSN
01 Báo cáo tổng kết</v>
          </cell>
        </row>
        <row r="461">
          <cell r="B461" t="str">
            <v>SV2026-487</v>
          </cell>
          <cell r="C461" t="str">
            <v>R</v>
          </cell>
          <cell r="D461" t="str">
            <v>X</v>
          </cell>
          <cell r="E461"/>
          <cell r="F461" t="str">
            <v>Robot hỗ trợ vận chuyển và giám sát an toàn cho người cao tuổi</v>
          </cell>
          <cell r="G461" t="str">
            <v>Bùi Đức Tân 23151030</v>
          </cell>
          <cell r="H461" t="str">
            <v xml:space="preserve">Bùi Đức Tân </v>
          </cell>
          <cell r="I461" t="str">
            <v>Đào tạo tiên tiến</v>
          </cell>
          <cell r="J461" t="str">
            <v>23151030</v>
          </cell>
          <cell r="K461" t="str">
            <v>Nguyễn Nhật Trường 23151037
Nguyễn Trần Minh Nhựt 23151021</v>
          </cell>
          <cell r="L461" t="str">
            <v>Trần Mạnh Sơn</v>
          </cell>
          <cell r="M461" t="str">
            <v>Khoa Điện - Điện tử</v>
          </cell>
          <cell r="N461" t="str">
            <v>sontm@hcmute.edu.vn</v>
          </cell>
          <cell r="O461" t="str">
            <v>1 Báo cáo tổng kết
1 Mô hình nghiên cứu</v>
          </cell>
        </row>
        <row r="462">
          <cell r="B462" t="str">
            <v>SV2026-488</v>
          </cell>
          <cell r="C462" t="str">
            <v>R</v>
          </cell>
          <cell r="D462" t="str">
            <v>X</v>
          </cell>
          <cell r="E462"/>
          <cell r="F462" t="str">
            <v>Tìm kiếm người thất lạc bằng việc sử dụng mô hình tạo sinh ảnh</v>
          </cell>
          <cell r="G462" t="str">
            <v>Nguyễn Quỳnh Như 23110050</v>
          </cell>
          <cell r="H462" t="str">
            <v xml:space="preserve">Nguyễn Quỳnh Như </v>
          </cell>
          <cell r="I462" t="str">
            <v>Đào tạo tiên tiến</v>
          </cell>
          <cell r="J462" t="str">
            <v>23110050</v>
          </cell>
          <cell r="K462" t="str">
            <v>Nguyễn Tịnh Nhân 23110047
Nguyễn Đức Duy 23110009
Đoàn Đức Duy 23110008</v>
          </cell>
          <cell r="L462" t="str">
            <v>Nguyễn Thanh Tuấn</v>
          </cell>
          <cell r="M462" t="str">
            <v>Khoa CNTT</v>
          </cell>
          <cell r="N462" t="str">
            <v>tuannt@hcmute.edu.vn</v>
          </cell>
          <cell r="O462" t="str">
            <v>1 Báo cáo tổng quan tài liệu
1 Mô hình sinh hình ảnh (AI Model)
1 Web/App tìm kiếm người thất lạc
1 Báo cáo tổng kết</v>
          </cell>
        </row>
        <row r="463">
          <cell r="B463" t="str">
            <v>SV2026-489</v>
          </cell>
          <cell r="C463" t="str">
            <v>R (thiếu BM 06 thêm Khiêm)</v>
          </cell>
          <cell r="D463" t="str">
            <v>X</v>
          </cell>
          <cell r="E463" t="str">
            <v>x</v>
          </cell>
          <cell r="F463" t="str">
            <v>Nghiên cứu phát triển sản phẩm dù cầm tay sử dụng cơ cấu đàn hồi</v>
          </cell>
          <cell r="G463" t="str">
            <v>Nguyễn Hoàng Quân 23143078</v>
          </cell>
          <cell r="H463" t="str">
            <v xml:space="preserve">Nguyễn Hoàng Quân </v>
          </cell>
          <cell r="I463" t="str">
            <v>Đào tạo tiên tiến</v>
          </cell>
          <cell r="J463" t="str">
            <v>23143078</v>
          </cell>
          <cell r="K463" t="str">
            <v>Lê Trọng Đức 23143055
Nguyễn Cao Anh Tuấn 23143085
Võ Duy Khiêm 22144020</v>
          </cell>
          <cell r="L463" t="str">
            <v>Phạm Huy 
Tuân</v>
          </cell>
          <cell r="M463" t="str">
            <v>Khoa CKM</v>
          </cell>
          <cell r="N463" t="str">
            <v>phtuan@hcmute.edu.vn</v>
          </cell>
          <cell r="O463" t="str">
            <v>01 Báo cáo tổng kết
01 sản phẩm mô hình, thiết bị (không có hợp đồng chuyển giao công nghệ).</v>
          </cell>
        </row>
        <row r="464">
          <cell r="B464" t="str">
            <v>SV2026-491</v>
          </cell>
          <cell r="C464" t="str">
            <v>R</v>
          </cell>
          <cell r="D464"/>
          <cell r="E464" t="str">
            <v>x</v>
          </cell>
          <cell r="F464" t="str">
            <v xml:space="preserve">Nghiên cứu chế tạo thiết bị thu thập nhiệt độ khuôn
</v>
          </cell>
          <cell r="G464" t="str">
            <v>Đào Duy Phong 22143064</v>
          </cell>
          <cell r="H464" t="str">
            <v xml:space="preserve">Đào Duy Phong </v>
          </cell>
          <cell r="I464" t="str">
            <v>Đào tạo tiên tiến</v>
          </cell>
          <cell r="J464" t="str">
            <v>22143064</v>
          </cell>
          <cell r="K464" t="str">
            <v>Nguyễn Vũ Chí Tâm 22143069
Trần Minh Sơn 22143068
Nguyễn Tấn Hải 22143048</v>
          </cell>
          <cell r="L464" t="str">
            <v>Hoàng Văn Hướng</v>
          </cell>
          <cell r="M464" t="str">
            <v>Khoa CKM</v>
          </cell>
          <cell r="N464" t="str">
            <v>huonghv@
hcmute.edu.vn</v>
          </cell>
          <cell r="O464" t="str">
            <v>01 Báo cáo tổng kết
01 bản vẽ lắp DWG
01 mô hình máy đo nhiệt độ khuôn</v>
          </cell>
        </row>
        <row r="465">
          <cell r="B465" t="str">
            <v>SV2026-492</v>
          </cell>
          <cell r="C465" t="str">
            <v>R (THEM bm 06 BỎ TV Thuận)</v>
          </cell>
          <cell r="D465"/>
          <cell r="E465" t="str">
            <v>x</v>
          </cell>
          <cell r="F465" t="str">
            <v>Nghiên cứu, thiết kế mô hình phun sơn tự động chi tiết thân vỏ ô tô.</v>
          </cell>
          <cell r="G465" t="str">
            <v>Lê Phương Thành 22145065</v>
          </cell>
          <cell r="H465" t="str">
            <v xml:space="preserve">Lê Phương Thành </v>
          </cell>
          <cell r="I465" t="str">
            <v>Đào tạo tiên tiến</v>
          </cell>
          <cell r="J465" t="str">
            <v>22145065</v>
          </cell>
          <cell r="K465" t="str">
            <v>Vũ Đức Thuận 22145074
Bùi Mạc Anh Quân 22145057</v>
          </cell>
          <cell r="L465" t="str">
            <v>Thái Huy Phát</v>
          </cell>
          <cell r="M465" t="str">
            <v>Khoa Giao thông và Năng lượng</v>
          </cell>
          <cell r="N465" t="str">
            <v xml:space="preserve">phatth@hcmute.edu.vn
</v>
          </cell>
          <cell r="O465" t="str">
            <v>01 Mô hình phun sơn tự động
01 Báo cáo tổng kết</v>
          </cell>
        </row>
        <row r="466">
          <cell r="B466" t="str">
            <v>SV2026-493</v>
          </cell>
          <cell r="C466" t="str">
            <v>R</v>
          </cell>
          <cell r="D466" t="str">
            <v>X</v>
          </cell>
          <cell r="E466"/>
          <cell r="F466" t="str">
            <v xml:space="preserve">Hệ thống giám sát và cảnh báo sự cố dân dụng sử dụng PLC S7-1200 và giao thức Modbus
</v>
          </cell>
          <cell r="G466" t="str">
            <v>Lê Huy Minh 24151052</v>
          </cell>
          <cell r="H466" t="str">
            <v xml:space="preserve">Lê Huy Minh </v>
          </cell>
          <cell r="I466" t="str">
            <v>Đào tạo tiên tiến</v>
          </cell>
          <cell r="J466" t="str">
            <v>24151052</v>
          </cell>
          <cell r="K466" t="str">
            <v>Phạm Thanh Lâm 24151045
Lương Công Tuấn Anh 24151007
Nguyễn Đình Lê Phú An 24151005
Nguyễn Vũ Minh Thái 24151078</v>
          </cell>
          <cell r="L466" t="str">
            <v xml:space="preserve">Tạ Văn Phương
</v>
          </cell>
          <cell r="M466" t="str">
            <v>Khoa đào tạo tiên tiến</v>
          </cell>
          <cell r="N466" t="str">
            <v xml:space="preserve">phuongtv@.hcmute.edu.vn </v>
          </cell>
          <cell r="O466" t="str">
            <v>01 Mô hình hệ thống giám sát và cảnh báo dân dụng dùng PLC S7-1200</v>
          </cell>
        </row>
        <row r="467">
          <cell r="B467" t="str">
            <v>SV2026-494</v>
          </cell>
          <cell r="C467" t="str">
            <v>R</v>
          </cell>
          <cell r="D467"/>
          <cell r="E467"/>
          <cell r="F467" t="str">
            <v>Ứng dụng thị giác máy tính trong định vị và dẫn đường cho drone.</v>
          </cell>
          <cell r="G467" t="str">
            <v>Nguyễn Thị Thanh Kiều 20142222</v>
          </cell>
          <cell r="H467" t="str">
            <v xml:space="preserve">Nguyễn Thị Thanh Kiều </v>
          </cell>
          <cell r="I467" t="str">
            <v>Đào tạo tiên tiến</v>
          </cell>
          <cell r="J467" t="str">
            <v>20142222</v>
          </cell>
          <cell r="K467">
            <v>0</v>
          </cell>
          <cell r="L467" t="str">
            <v>Phạm Huỳnh Thế</v>
          </cell>
          <cell r="M467" t="str">
            <v>Khoa Điện - Điện tử</v>
          </cell>
          <cell r="N467" t="str">
            <v>theph@hcmute.edu.vn</v>
          </cell>
          <cell r="O467" t="str">
            <v>1 Báo cáo tổng kết
1 Mô hình nghiên cứu</v>
          </cell>
        </row>
        <row r="468">
          <cell r="B468" t="str">
            <v>SV2026-495</v>
          </cell>
          <cell r="C468" t="str">
            <v>R</v>
          </cell>
          <cell r="D468"/>
          <cell r="E468"/>
          <cell r="F468" t="str">
            <v>Nghiên cứu chế tạo thiết bị cảnh báo nguy hiểm cho người lái qua điện thoại.</v>
          </cell>
          <cell r="G468" t="str">
            <v>Trần Tú Anh 22145004</v>
          </cell>
          <cell r="H468" t="str">
            <v xml:space="preserve">Trần Tú Anh </v>
          </cell>
          <cell r="I468" t="str">
            <v>Đào tạo tiên tiến</v>
          </cell>
          <cell r="J468" t="str">
            <v>22145004</v>
          </cell>
          <cell r="K468" t="str">
            <v>Lê Hoàng Huy 22145028
Nguyễn Minh Quang 22145056
Phương Quang Thắng 22145065
Phùng Thanh Tâm 22145062</v>
          </cell>
          <cell r="L468" t="str">
            <v>Ngô Quang Thành</v>
          </cell>
          <cell r="M468" t="str">
            <v>Khoa Giao thông và Năng lượng</v>
          </cell>
          <cell r="N468" t="str">
            <v>tungdt@hcmute.edu.vn</v>
          </cell>
          <cell r="O468" t="str">
            <v>01 Thiết bị máy móc
01 Báo cáo tổng kết</v>
          </cell>
        </row>
        <row r="469">
          <cell r="B469" t="str">
            <v>SV2026-496</v>
          </cell>
          <cell r="C469" t="str">
            <v>R</v>
          </cell>
          <cell r="D469" t="str">
            <v>X</v>
          </cell>
          <cell r="E469" t="str">
            <v>x</v>
          </cell>
          <cell r="F469" t="str">
            <v>Phân tích đặc tính động lực học và quy trình kĩ thuật của hệ thống truyền động trên xe điện Vinfast VF9</v>
          </cell>
          <cell r="G469" t="str">
            <v>Huỳnh Quốc Bảo 22145006</v>
          </cell>
          <cell r="H469" t="str">
            <v xml:space="preserve">Huỳnh Quốc Bảo </v>
          </cell>
          <cell r="I469" t="str">
            <v>Đào tạo tiên tiến</v>
          </cell>
          <cell r="J469" t="str">
            <v>22145006</v>
          </cell>
          <cell r="K469" t="str">
            <v xml:space="preserve">Bùi Nguyên Bá Thiên 22145068
Lê Hoàng Hải Đăng 24145101
Trần Khương Đại 24145098
</v>
          </cell>
          <cell r="L469" t="str">
            <v>Dương Tuấn Tùng</v>
          </cell>
          <cell r="M469" t="str">
            <v>Khoa Đào tạo tiên tiến</v>
          </cell>
          <cell r="N469" t="str">
            <v>tungdt@hcmute.edu.vn
thanhnq@hcmute.edu.vn</v>
          </cell>
          <cell r="O469" t="str">
            <v>01 File mô phỏng
01 Báo cáo tổng kết</v>
          </cell>
        </row>
        <row r="470">
          <cell r="B470" t="str">
            <v>SV2026-497</v>
          </cell>
          <cell r="C470" t="str">
            <v>r (In tr 1 hđ và BM06)</v>
          </cell>
          <cell r="D470"/>
          <cell r="E470" t="str">
            <v>x</v>
          </cell>
          <cell r="F470" t="str">
            <v>Thiết kế chế tạo mô hình hệ thống truyền lực ô tô điện</v>
          </cell>
          <cell r="G470" t="str">
            <v>Đoàn Minh Tuyển 22145084</v>
          </cell>
          <cell r="H470" t="str">
            <v xml:space="preserve">Đoàn Minh Tuyển </v>
          </cell>
          <cell r="I470" t="str">
            <v>Đào tạo tiên tiến</v>
          </cell>
          <cell r="J470" t="str">
            <v>22145084</v>
          </cell>
          <cell r="K470" t="str">
            <v>Trần Đức Chính 22145013</v>
          </cell>
          <cell r="L470" t="str">
            <v>Dương Tuấn Tùng</v>
          </cell>
          <cell r="M470" t="str">
            <v>Khoa Đào tạo tiên tiến</v>
          </cell>
          <cell r="N470" t="str">
            <v>tungdt@hcmute.edu.vn</v>
          </cell>
          <cell r="O470" t="str">
            <v>01 Mô hình thực nghiệm
01 Báo cáo tổng kết</v>
          </cell>
        </row>
        <row r="471">
          <cell r="B471" t="str">
            <v>SV2026-498</v>
          </cell>
          <cell r="C471" t="str">
            <v>r (làm lại hợp đồng sai tên và them BM06 hoàn tiền)</v>
          </cell>
          <cell r="D471" t="str">
            <v>X</v>
          </cell>
          <cell r="E471" t="str">
            <v>x</v>
          </cell>
          <cell r="F471" t="str">
            <v>Thiết kế và nâng cấp máy đóng gói tự động</v>
          </cell>
          <cell r="G471" t="str">
            <v>Ngô Tuấn Anh 23142003</v>
          </cell>
          <cell r="H471" t="str">
            <v xml:space="preserve">Ngô Tuấn Anh </v>
          </cell>
          <cell r="I471" t="str">
            <v>Đào tạo tiên tiến</v>
          </cell>
          <cell r="J471" t="str">
            <v>23142003</v>
          </cell>
          <cell r="K471" t="str">
            <v>Trần Mạnh Tú 23142073
Trần Anh Kiên 25151063</v>
          </cell>
          <cell r="L471" t="str">
            <v>Tạ Văn Phương</v>
          </cell>
          <cell r="M471" t="str">
            <v>Khoa Đào tạo tiên tiến</v>
          </cell>
          <cell r="N471" t="str">
            <v>phuongtv@hcmute.edu.vn</v>
          </cell>
          <cell r="O471" t="str">
            <v>1 Báo cáo tổng kết
1 Mô hình nghiên cứu</v>
          </cell>
        </row>
        <row r="472">
          <cell r="B472" t="str">
            <v>SV2026-499</v>
          </cell>
          <cell r="C472" t="str">
            <v>r</v>
          </cell>
          <cell r="D472" t="str">
            <v>X</v>
          </cell>
          <cell r="E472" t="str">
            <v>x</v>
          </cell>
          <cell r="F472" t="str">
            <v>Thiết kế và chế tạo hệ thống chống rung chủ động - thụ động (hybrid) cho camera trên xe lu tự hành</v>
          </cell>
          <cell r="G472" t="str">
            <v>Hoàng Vũ Hà 22145021</v>
          </cell>
          <cell r="H472" t="str">
            <v xml:space="preserve">Hoàng Vũ Hà </v>
          </cell>
          <cell r="I472" t="str">
            <v>Đào tạo tiên tiến</v>
          </cell>
          <cell r="J472" t="str">
            <v>22145021</v>
          </cell>
          <cell r="K472">
            <v>0</v>
          </cell>
          <cell r="L472" t="str">
            <v>Đỗ Văn Dũng</v>
          </cell>
          <cell r="M472" t="str">
            <v>Khoa Giao thông và Năng lượng</v>
          </cell>
          <cell r="N472" t="str">
            <v>dodzung@hcmute.edu.vn</v>
          </cell>
          <cell r="O472" t="str">
            <v>1 nguyên mẫu hệ thống chống rung (có video minh họa),1 phần mềm điều khiển (mã nguồn mở trên GitHub)
1 báo cáo nghiên cứu chi tiết
1 Bài báo khoa học đăng trên tạp chí Journal of Technical Education Science (JTE) trong danh mục của HĐ GSNN tính từ 0,5 điểm trở lên</v>
          </cell>
        </row>
        <row r="473">
          <cell r="B473" t="str">
            <v>SV2026-500</v>
          </cell>
          <cell r="C473" t="str">
            <v>rr</v>
          </cell>
          <cell r="D473" t="str">
            <v>X</v>
          </cell>
          <cell r="E473"/>
          <cell r="F473" t="str">
            <v>Nghiên cứu bộ biến đổi DC-DC dựa trên kỹ thuật chuyển cuộn dây</v>
          </cell>
          <cell r="G473" t="str">
            <v>Danh Quang Huy 23KT14211</v>
          </cell>
          <cell r="H473" t="str">
            <v xml:space="preserve">Danh Quang Huy </v>
          </cell>
          <cell r="I473" t="str">
            <v>Đào tạo tiên tiến</v>
          </cell>
          <cell r="J473" t="str">
            <v>23KT14211</v>
          </cell>
          <cell r="K473">
            <v>0</v>
          </cell>
          <cell r="L473" t="str">
            <v>Đỗ Đức Trí</v>
          </cell>
          <cell r="M473" t="str">
            <v>Khoa Điện - Điện tử</v>
          </cell>
          <cell r="N473" t="str">
            <v>tridd@hcmute.edu.vn</v>
          </cell>
          <cell r="O473" t="str">
            <v>1 Bài báo đăng trên tạp chí KHGDKT thuộc ngành được tính điểm 0.5 trong danh mục Hội đồng GSNN</v>
          </cell>
        </row>
        <row r="474">
          <cell r="B474" t="str">
            <v>SV2026-501</v>
          </cell>
          <cell r="C474" t="str">
            <v>r</v>
          </cell>
          <cell r="D474" t="str">
            <v>X</v>
          </cell>
          <cell r="E474"/>
          <cell r="F474" t="str">
            <v>Nghiên cứu và triển khai mô hình Deep Learning cho ước lượng tư thế người 3D (3D Human Pose Estimation)</v>
          </cell>
          <cell r="G474" t="str">
            <v>Nguyễn Phi Long 23110037</v>
          </cell>
          <cell r="H474" t="str">
            <v xml:space="preserve">Nguyễn Phi Long </v>
          </cell>
          <cell r="I474" t="str">
            <v>Đào tạo tiên tiến</v>
          </cell>
          <cell r="J474" t="str">
            <v>23110037</v>
          </cell>
          <cell r="K474" t="str">
            <v>Nguyễn Thành Triệu 23110066
Nguyễn Đức Thắng 23110062
Võ Tuấn Khanh 23110031</v>
          </cell>
          <cell r="L474" t="str">
            <v>Nguyễn Thanh Tuấn</v>
          </cell>
          <cell r="M474" t="str">
            <v>Khoa CNTT</v>
          </cell>
          <cell r="N474" t="str">
            <v>tuannt@hcmute.edu.vn</v>
          </cell>
          <cell r="O474" t="str">
            <v>1 báo cáo nghiên cứu
1 chương trình máy tính (mã nguồn mở trên Github)</v>
          </cell>
        </row>
        <row r="475">
          <cell r="B475" t="str">
            <v>SV2026-502</v>
          </cell>
          <cell r="C475" t="str">
            <v>r</v>
          </cell>
          <cell r="D475" t="str">
            <v>X</v>
          </cell>
          <cell r="E475" t="str">
            <v>x</v>
          </cell>
          <cell r="F475" t="str">
            <v>Thiết kế và chế tạo mô hình xe nâng cẩu hàng đa dụng dùng cơ cấu thủy lực thu nhỏ</v>
          </cell>
          <cell r="G475" t="str">
            <v>Cao Viết Khoa 24143102</v>
          </cell>
          <cell r="H475" t="str">
            <v xml:space="preserve">Cao Viết Khoa </v>
          </cell>
          <cell r="I475" t="str">
            <v>Đào tạo tiên tiến</v>
          </cell>
          <cell r="J475" t="str">
            <v>24143102</v>
          </cell>
          <cell r="K475" t="str">
            <v>Lương Thế Phước 24143132
Lê Huy Hoàng 24143090
Đặng Phạm Nam An 24143060</v>
          </cell>
          <cell r="L475" t="str">
            <v>Võ Xuân Tiến</v>
          </cell>
          <cell r="M475" t="str">
            <v>Khoa CKM</v>
          </cell>
          <cell r="N475" t="str">
            <v>tienvx@hcmute.edu.vn</v>
          </cell>
          <cell r="O475" t="str">
            <v>Báo cáo tổng kết
Các kết quả mô phỏng, tính toán</v>
          </cell>
        </row>
      </sheetData>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22143069@student.hcmute.edu.vn" TargetMode="External"/><Relationship Id="rId1" Type="http://schemas.openxmlformats.org/officeDocument/2006/relationships/hyperlink" Target="mailto:24143164@student.hcmute.edu.v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334"/>
  <sheetViews>
    <sheetView tabSelected="1" zoomScale="55" zoomScaleNormal="55" workbookViewId="0">
      <pane xSplit="3" ySplit="1" topLeftCell="D2" activePane="bottomRight" state="frozen"/>
      <selection pane="topRight" activeCell="D1" sqref="D1"/>
      <selection pane="bottomLeft" activeCell="A2" sqref="A2"/>
      <selection pane="bottomRight" activeCell="V1" sqref="V1:AF1048576"/>
    </sheetView>
  </sheetViews>
  <sheetFormatPr defaultColWidth="12.44140625" defaultRowHeight="109.2" customHeight="1" x14ac:dyDescent="0.25"/>
  <cols>
    <col min="1" max="1" width="5.21875" style="82" customWidth="1"/>
    <col min="2" max="2" width="5.44140625" style="82" customWidth="1"/>
    <col min="3" max="3" width="8.5546875" style="81" customWidth="1"/>
    <col min="4" max="4" width="19.44140625" style="81" customWidth="1"/>
    <col min="5" max="5" width="12.88671875" style="81" bestFit="1" customWidth="1"/>
    <col min="6" max="6" width="22.44140625" style="81" bestFit="1" customWidth="1"/>
    <col min="7" max="7" width="18.44140625" style="81" bestFit="1" customWidth="1"/>
    <col min="8" max="8" width="15.109375" style="81" bestFit="1" customWidth="1"/>
    <col min="9" max="9" width="10.6640625" style="81" customWidth="1"/>
    <col min="10" max="10" width="6.88671875" style="81" customWidth="1"/>
    <col min="11" max="11" width="24.44140625" style="81" customWidth="1"/>
    <col min="12" max="12" width="7.5546875" style="81" customWidth="1"/>
    <col min="13" max="13" width="25.44140625" style="81" hidden="1" customWidth="1"/>
    <col min="14" max="14" width="8.88671875" style="81" customWidth="1"/>
    <col min="15" max="15" width="57.21875" style="81" hidden="1" customWidth="1"/>
    <col min="16" max="16" width="15.21875" style="95" hidden="1" customWidth="1"/>
    <col min="17" max="17" width="10.6640625" style="81" hidden="1" customWidth="1"/>
    <col min="18" max="19" width="10.6640625" style="81" customWidth="1"/>
    <col min="20" max="20" width="13.6640625" style="104" customWidth="1"/>
    <col min="21" max="21" width="12" style="104" bestFit="1" customWidth="1"/>
    <col min="22" max="22" width="22.21875" style="82" hidden="1" customWidth="1"/>
    <col min="23" max="23" width="9.109375" style="87" hidden="1" customWidth="1"/>
    <col min="24" max="24" width="28.77734375" style="81" hidden="1" customWidth="1"/>
    <col min="25" max="25" width="25.21875" style="81" hidden="1" customWidth="1"/>
    <col min="26" max="26" width="17.21875" style="81" hidden="1" customWidth="1"/>
    <col min="27" max="27" width="9.88671875" style="81" hidden="1" customWidth="1"/>
    <col min="28" max="28" width="10.44140625" style="81" hidden="1" customWidth="1"/>
    <col min="29" max="29" width="12.21875" style="81" hidden="1" customWidth="1"/>
    <col min="30" max="30" width="12" style="95" hidden="1" customWidth="1"/>
    <col min="31" max="31" width="11.109375" style="95" hidden="1" customWidth="1"/>
    <col min="32" max="32" width="13.44140625" style="81" hidden="1" customWidth="1"/>
    <col min="33" max="33" width="14.6640625" style="81" customWidth="1"/>
    <col min="34" max="34" width="20.6640625" style="81" customWidth="1"/>
    <col min="35" max="16384" width="12.44140625" style="81"/>
  </cols>
  <sheetData>
    <row r="1" spans="1:34" s="82" customFormat="1" ht="109.2" customHeight="1" x14ac:dyDescent="0.25">
      <c r="A1" s="117" t="s">
        <v>5</v>
      </c>
      <c r="B1" s="117" t="s">
        <v>1780</v>
      </c>
      <c r="C1" s="79" t="s">
        <v>1605</v>
      </c>
      <c r="D1" s="79" t="s">
        <v>1612</v>
      </c>
      <c r="E1" s="79" t="s">
        <v>1606</v>
      </c>
      <c r="F1" s="79" t="s">
        <v>1614</v>
      </c>
      <c r="G1" s="99" t="s">
        <v>1615</v>
      </c>
      <c r="H1" s="99" t="s">
        <v>1793</v>
      </c>
      <c r="I1" s="99" t="s">
        <v>1794</v>
      </c>
      <c r="J1" s="117" t="s">
        <v>1646</v>
      </c>
      <c r="K1" s="79" t="s">
        <v>1607</v>
      </c>
      <c r="L1" s="79" t="s">
        <v>1608</v>
      </c>
      <c r="M1" s="79" t="s">
        <v>1795</v>
      </c>
      <c r="N1" s="79" t="s">
        <v>1609</v>
      </c>
      <c r="O1" s="79" t="s">
        <v>1610</v>
      </c>
      <c r="P1" s="80" t="s">
        <v>1611</v>
      </c>
      <c r="Q1" s="80" t="s">
        <v>1781</v>
      </c>
      <c r="R1" s="80" t="s">
        <v>1823</v>
      </c>
      <c r="S1" s="80" t="s">
        <v>1824</v>
      </c>
      <c r="T1" s="106" t="s">
        <v>1783</v>
      </c>
      <c r="U1" s="106" t="s">
        <v>1786</v>
      </c>
      <c r="V1" s="117" t="s">
        <v>1785</v>
      </c>
      <c r="W1" s="116" t="s">
        <v>1788</v>
      </c>
      <c r="X1" s="83" t="s">
        <v>1790</v>
      </c>
      <c r="Y1" s="83" t="s">
        <v>1791</v>
      </c>
      <c r="Z1" s="83" t="s">
        <v>1792</v>
      </c>
      <c r="AA1" s="117" t="s">
        <v>1805</v>
      </c>
      <c r="AB1" s="117" t="s">
        <v>1810</v>
      </c>
      <c r="AC1" s="117" t="s">
        <v>1811</v>
      </c>
      <c r="AD1" s="111" t="s">
        <v>1802</v>
      </c>
      <c r="AE1" s="111" t="s">
        <v>1803</v>
      </c>
      <c r="AF1" s="111" t="s">
        <v>1804</v>
      </c>
      <c r="AG1" s="117" t="s">
        <v>1809</v>
      </c>
      <c r="AH1" s="117" t="s">
        <v>1816</v>
      </c>
    </row>
    <row r="2" spans="1:34" s="87" customFormat="1" ht="109.2" customHeight="1" x14ac:dyDescent="0.25">
      <c r="A2" s="83">
        <v>1</v>
      </c>
      <c r="B2" s="118" t="str">
        <f>RIGHT(C2,2)</f>
        <v>01</v>
      </c>
      <c r="C2" s="84" t="s">
        <v>739</v>
      </c>
      <c r="D2" s="85" t="s">
        <v>121</v>
      </c>
      <c r="E2" s="85" t="s">
        <v>1097</v>
      </c>
      <c r="F2" s="97" t="str">
        <f>LEFT(E2,LEN(E2)-LEN(G2))</f>
        <v xml:space="preserve">Đặng Cửu Dương </v>
      </c>
      <c r="G2" s="100" t="str">
        <f>RIGHT(E2,8)</f>
        <v>22110124</v>
      </c>
      <c r="H2" s="100" t="str">
        <f>VLOOKUP(C2,'[1]DM Đề tài SV ký HĐ (thay đổi)'!$B$1:$Q$475,15,0)</f>
        <v>22110124@student.hcmute.edu.vn</v>
      </c>
      <c r="I2" s="107" t="str">
        <f>VLOOKUP(C2,'[1]DM Đề tài SV ký HĐ (thay đổi)'!$B$1:$Q$475,16,0)</f>
        <v>0764884299</v>
      </c>
      <c r="J2" s="97" t="str">
        <f>VLOOKUP(C2,'[2]DM Đề tài SV ký HĐ (thay đổi)'!$B$1:$I$475,8,0)</f>
        <v>Công nghệ Thông tin</v>
      </c>
      <c r="K2" s="85" t="s">
        <v>1096</v>
      </c>
      <c r="L2" s="85" t="s">
        <v>122</v>
      </c>
      <c r="M2" s="97" t="str">
        <f>VLOOKUP(C2,'[2]DM Đề tài SV ký HĐ (thay đổi)'!$B$1:$O$475,13,0)</f>
        <v>dunghv@hcmute.edu.vn</v>
      </c>
      <c r="N2" s="97" t="str">
        <f>VLOOKUP(C2,'[2]DM Đề tài SV ký HĐ (thay đổi)'!$B$1:$M$475,12,0)</f>
        <v>Khoa CNTT</v>
      </c>
      <c r="O2" s="85" t="s">
        <v>123</v>
      </c>
      <c r="P2" s="86">
        <v>15000000</v>
      </c>
      <c r="Q2" s="85" t="s">
        <v>1649</v>
      </c>
      <c r="R2" s="85"/>
      <c r="S2" s="85"/>
      <c r="T2" s="101">
        <v>2</v>
      </c>
      <c r="U2" s="103" t="s">
        <v>1787</v>
      </c>
      <c r="V2" s="83"/>
      <c r="W2" s="84"/>
      <c r="X2" s="84"/>
      <c r="Y2" s="84"/>
      <c r="Z2" s="84"/>
      <c r="AA2" s="84"/>
      <c r="AB2" s="84"/>
      <c r="AC2" s="84"/>
      <c r="AD2" s="84"/>
      <c r="AE2" s="84"/>
      <c r="AF2" s="84"/>
      <c r="AG2" s="114" t="s">
        <v>1813</v>
      </c>
      <c r="AH2" s="84"/>
    </row>
    <row r="3" spans="1:34" s="87" customFormat="1" ht="109.2" customHeight="1" x14ac:dyDescent="0.25">
      <c r="A3" s="83">
        <v>2</v>
      </c>
      <c r="B3" s="118" t="str">
        <f t="shared" ref="B3:B38" si="0">RIGHT(C3,2)</f>
        <v>02</v>
      </c>
      <c r="C3" s="84" t="s">
        <v>741</v>
      </c>
      <c r="D3" s="85" t="s">
        <v>1789</v>
      </c>
      <c r="E3" s="85" t="s">
        <v>1113</v>
      </c>
      <c r="F3" s="97" t="str">
        <f t="shared" ref="F3:F41" si="1">LEFT(E3,LEN(E3)-LEN(G3))</f>
        <v xml:space="preserve">Đinh Xuân Huy </v>
      </c>
      <c r="G3" s="100" t="str">
        <f t="shared" ref="G3:G41" si="2">RIGHT(E3,8)</f>
        <v>23110102</v>
      </c>
      <c r="H3" s="100" t="str">
        <f>VLOOKUP(C3,'[1]DM Đề tài SV ký HĐ (thay đổi)'!$B$1:$Q$475,15,0)</f>
        <v>23110102@student.hcmute.edu.vn</v>
      </c>
      <c r="I3" s="107" t="str">
        <f>VLOOKUP(C3,'[1]DM Đề tài SV ký HĐ (thay đổi)'!$B$1:$Q$475,16,0)</f>
        <v>0372938403</v>
      </c>
      <c r="J3" s="97" t="str">
        <f>VLOOKUP(C3,'[2]DM Đề tài SV ký HĐ (thay đổi)'!$B$1:$I$475,8,0)</f>
        <v>Công nghệ Thông tin</v>
      </c>
      <c r="K3" s="85" t="s">
        <v>157</v>
      </c>
      <c r="L3" s="85" t="s">
        <v>122</v>
      </c>
      <c r="M3" s="97" t="str">
        <f>VLOOKUP(C3,'[2]DM Đề tài SV ký HĐ (thay đổi)'!$B$1:$O$475,13,0)</f>
        <v>dunghv@hcmute.edu.vn</v>
      </c>
      <c r="N3" s="97" t="str">
        <f>VLOOKUP(C3,'[2]DM Đề tài SV ký HĐ (thay đổi)'!$B$1:$M$475,12,0)</f>
        <v>Khoa CNTT</v>
      </c>
      <c r="O3" s="85" t="s">
        <v>1519</v>
      </c>
      <c r="P3" s="86">
        <v>15000000</v>
      </c>
      <c r="Q3" s="85" t="s">
        <v>1649</v>
      </c>
      <c r="R3" s="85"/>
      <c r="S3" s="85"/>
      <c r="T3" s="103">
        <v>2</v>
      </c>
      <c r="U3" s="103" t="s">
        <v>1787</v>
      </c>
      <c r="V3" s="83"/>
      <c r="W3" s="84"/>
      <c r="X3" s="84"/>
      <c r="Y3" s="84"/>
      <c r="Z3" s="84"/>
      <c r="AA3" s="84"/>
      <c r="AB3" s="84"/>
      <c r="AC3" s="84"/>
      <c r="AD3" s="84"/>
      <c r="AE3" s="84"/>
      <c r="AF3" s="84"/>
      <c r="AG3" s="114" t="s">
        <v>1813</v>
      </c>
      <c r="AH3" s="84"/>
    </row>
    <row r="4" spans="1:34" s="87" customFormat="1" ht="109.2" customHeight="1" x14ac:dyDescent="0.25">
      <c r="A4" s="83">
        <v>3</v>
      </c>
      <c r="B4" s="118" t="str">
        <f t="shared" si="0"/>
        <v>03</v>
      </c>
      <c r="C4" s="84" t="s">
        <v>740</v>
      </c>
      <c r="D4" s="85" t="s">
        <v>124</v>
      </c>
      <c r="E4" s="85" t="s">
        <v>1114</v>
      </c>
      <c r="F4" s="97" t="str">
        <f t="shared" si="1"/>
        <v xml:space="preserve">Đinh Văn Sáng </v>
      </c>
      <c r="G4" s="100" t="str">
        <f t="shared" si="2"/>
        <v>23110302</v>
      </c>
      <c r="H4" s="100" t="str">
        <f>VLOOKUP(C4,'[1]DM Đề tài SV ký HĐ (thay đổi)'!$B$1:$Q$475,15,0)</f>
        <v>23110302@student.hcmute.edu.vn</v>
      </c>
      <c r="I4" s="107" t="str">
        <f>VLOOKUP(C4,'[1]DM Đề tài SV ký HĐ (thay đổi)'!$B$1:$Q$475,16,0)</f>
        <v>0387781676</v>
      </c>
      <c r="J4" s="97" t="str">
        <f>VLOOKUP(C4,'[2]DM Đề tài SV ký HĐ (thay đổi)'!$B$1:$I$475,8,0)</f>
        <v>Công nghệ Thông tin</v>
      </c>
      <c r="K4" s="85" t="s">
        <v>158</v>
      </c>
      <c r="L4" s="85" t="s">
        <v>736</v>
      </c>
      <c r="M4" s="97" t="str">
        <f>VLOOKUP(C4,'[2]DM Đề tài SV ký HĐ (thay đổi)'!$B$1:$O$475,13,0)</f>
        <v>doanminhtri@hcmute.edu.vn</v>
      </c>
      <c r="N4" s="97" t="str">
        <f>VLOOKUP(C4,'[2]DM Đề tài SV ký HĐ (thay đổi)'!$B$1:$M$475,12,0)</f>
        <v>Khoa CNTT</v>
      </c>
      <c r="O4" s="85" t="s">
        <v>1476</v>
      </c>
      <c r="P4" s="86">
        <v>10000000</v>
      </c>
      <c r="Q4" s="84" t="s">
        <v>1648</v>
      </c>
      <c r="R4" s="84"/>
      <c r="S4" s="84"/>
      <c r="T4" s="101">
        <v>2</v>
      </c>
      <c r="U4" s="101" t="s">
        <v>1787</v>
      </c>
      <c r="V4" s="83"/>
      <c r="W4" s="84"/>
      <c r="X4" s="84"/>
      <c r="Y4" s="84"/>
      <c r="Z4" s="84"/>
      <c r="AA4" s="84"/>
      <c r="AB4" s="84"/>
      <c r="AC4" s="84"/>
      <c r="AD4" s="84"/>
      <c r="AE4" s="84"/>
      <c r="AF4" s="84"/>
      <c r="AG4" s="113" t="s">
        <v>1814</v>
      </c>
      <c r="AH4" s="84"/>
    </row>
    <row r="5" spans="1:34" s="87" customFormat="1" ht="109.2" customHeight="1" x14ac:dyDescent="0.25">
      <c r="A5" s="83">
        <v>7</v>
      </c>
      <c r="B5" s="118" t="str">
        <f t="shared" si="0"/>
        <v>07</v>
      </c>
      <c r="C5" s="84" t="s">
        <v>742</v>
      </c>
      <c r="D5" s="85" t="s">
        <v>1544</v>
      </c>
      <c r="E5" s="85" t="s">
        <v>159</v>
      </c>
      <c r="F5" s="97" t="str">
        <f t="shared" si="1"/>
        <v xml:space="preserve">Tạ Nghĩa Nhân </v>
      </c>
      <c r="G5" s="100" t="str">
        <f t="shared" si="2"/>
        <v>22110388</v>
      </c>
      <c r="H5" s="100" t="str">
        <f>VLOOKUP(C5,'[1]DM Đề tài SV ký HĐ (thay đổi)'!$B$1:$Q$475,15,0)</f>
        <v>nghianhanta@gmail.com</v>
      </c>
      <c r="I5" s="107" t="str">
        <f>VLOOKUP(C5,'[1]DM Đề tài SV ký HĐ (thay đổi)'!$B$1:$Q$475,16,0)</f>
        <v>0337324208</v>
      </c>
      <c r="J5" s="97" t="str">
        <f>VLOOKUP(C5,'[2]DM Đề tài SV ký HĐ (thay đổi)'!$B$1:$I$475,8,0)</f>
        <v>Công nghệ Thông tin</v>
      </c>
      <c r="K5" s="85"/>
      <c r="L5" s="85" t="s">
        <v>126</v>
      </c>
      <c r="M5" s="97" t="str">
        <f>VLOOKUP(C5,'[2]DM Đề tài SV ký HĐ (thay đổi)'!$B$1:$O$475,13,0)</f>
        <v>quanbm@hcmute.edu.vn</v>
      </c>
      <c r="N5" s="97" t="str">
        <f>VLOOKUP(C5,'[2]DM Đề tài SV ký HĐ (thay đổi)'!$B$1:$M$475,12,0)</f>
        <v>Khoa CNTT</v>
      </c>
      <c r="O5" s="85" t="s">
        <v>1659</v>
      </c>
      <c r="P5" s="86">
        <v>10000000</v>
      </c>
      <c r="Q5" s="84" t="s">
        <v>1648</v>
      </c>
      <c r="R5" s="84"/>
      <c r="S5" s="84"/>
      <c r="T5" s="103">
        <v>2</v>
      </c>
      <c r="U5" s="103" t="s">
        <v>1787</v>
      </c>
      <c r="V5" s="83"/>
      <c r="W5" s="84"/>
      <c r="X5" s="84"/>
      <c r="Y5" s="84"/>
      <c r="Z5" s="84"/>
      <c r="AA5" s="84"/>
      <c r="AB5" s="84"/>
      <c r="AC5" s="84"/>
      <c r="AD5" s="84"/>
      <c r="AE5" s="84"/>
      <c r="AF5" s="84"/>
      <c r="AG5" s="114" t="s">
        <v>1813</v>
      </c>
      <c r="AH5" s="84"/>
    </row>
    <row r="6" spans="1:34" s="87" customFormat="1" ht="109.2" customHeight="1" x14ac:dyDescent="0.25">
      <c r="A6" s="83">
        <v>8</v>
      </c>
      <c r="B6" s="118" t="str">
        <f t="shared" si="0"/>
        <v>08</v>
      </c>
      <c r="C6" s="84" t="s">
        <v>743</v>
      </c>
      <c r="D6" s="85" t="s">
        <v>1657</v>
      </c>
      <c r="E6" s="85" t="s">
        <v>160</v>
      </c>
      <c r="F6" s="97" t="str">
        <f t="shared" si="1"/>
        <v xml:space="preserve">Phạm Đăng Quang </v>
      </c>
      <c r="G6" s="100" t="str">
        <f t="shared" si="2"/>
        <v>23110143</v>
      </c>
      <c r="H6" s="100" t="str">
        <f>VLOOKUP(C6,'[1]DM Đề tài SV ký HĐ (thay đổi)'!$B$1:$Q$475,15,0)</f>
        <v>23110143@student.hcmute.edu.vn</v>
      </c>
      <c r="I6" s="107" t="str">
        <f>VLOOKUP(C6,'[1]DM Đề tài SV ký HĐ (thay đổi)'!$B$1:$Q$475,16,0)</f>
        <v>0347560113 (Zalo:0705236316)</v>
      </c>
      <c r="J6" s="97" t="str">
        <f>VLOOKUP(C6,'[2]DM Đề tài SV ký HĐ (thay đổi)'!$B$1:$I$475,8,0)</f>
        <v>Công nghệ Thông tin</v>
      </c>
      <c r="K6" s="85" t="s">
        <v>127</v>
      </c>
      <c r="L6" s="85" t="s">
        <v>126</v>
      </c>
      <c r="M6" s="97" t="str">
        <f>VLOOKUP(C6,'[2]DM Đề tài SV ký HĐ (thay đổi)'!$B$1:$O$475,13,0)</f>
        <v>quanbm@hcmute.edu.vn</v>
      </c>
      <c r="N6" s="97" t="str">
        <f>VLOOKUP(C6,'[2]DM Đề tài SV ký HĐ (thay đổi)'!$B$1:$M$475,12,0)</f>
        <v>Khoa CNTT</v>
      </c>
      <c r="O6" s="85" t="s">
        <v>128</v>
      </c>
      <c r="P6" s="86">
        <v>10000000</v>
      </c>
      <c r="Q6" s="84" t="s">
        <v>1648</v>
      </c>
      <c r="R6" s="84"/>
      <c r="S6" s="84"/>
      <c r="T6" s="103">
        <v>2</v>
      </c>
      <c r="U6" s="103" t="s">
        <v>1787</v>
      </c>
      <c r="V6" s="83"/>
      <c r="W6" s="84"/>
      <c r="X6" s="84"/>
      <c r="Y6" s="84"/>
      <c r="Z6" s="84"/>
      <c r="AA6" s="84"/>
      <c r="AB6" s="84"/>
      <c r="AC6" s="84"/>
      <c r="AD6" s="84"/>
      <c r="AE6" s="84"/>
      <c r="AF6" s="84"/>
      <c r="AG6" s="114" t="s">
        <v>1813</v>
      </c>
      <c r="AH6" s="84"/>
    </row>
    <row r="7" spans="1:34" s="87" customFormat="1" ht="109.2" customHeight="1" x14ac:dyDescent="0.25">
      <c r="A7" s="83">
        <v>9</v>
      </c>
      <c r="B7" s="118" t="str">
        <f t="shared" si="0"/>
        <v>10</v>
      </c>
      <c r="C7" s="84" t="s">
        <v>744</v>
      </c>
      <c r="D7" s="85" t="s">
        <v>130</v>
      </c>
      <c r="E7" s="85" t="s">
        <v>1741</v>
      </c>
      <c r="F7" s="97" t="str">
        <f t="shared" si="1"/>
        <v xml:space="preserve">Nguyễn Hoàng Việt Sang </v>
      </c>
      <c r="G7" s="100" t="str">
        <f t="shared" si="2"/>
        <v>22110221</v>
      </c>
      <c r="H7" s="100" t="str">
        <f>VLOOKUP(C7,'[1]DM Đề tài SV ký HĐ (thay đổi)'!$B$1:$Q$475,15,0)</f>
        <v>22110220@student.hcmute.edu.vn</v>
      </c>
      <c r="I7" s="107" t="str">
        <f>VLOOKUP(C7,'[1]DM Đề tài SV ký HĐ (thay đổi)'!$B$1:$Q$475,16,0)</f>
        <v>0976458034</v>
      </c>
      <c r="J7" s="97" t="str">
        <f>VLOOKUP(C7,'[2]DM Đề tài SV ký HĐ (thay đổi)'!$B$1:$I$475,8,0)</f>
        <v>Công nghệ Thông tin</v>
      </c>
      <c r="K7" s="85" t="s">
        <v>1121</v>
      </c>
      <c r="L7" s="85" t="s">
        <v>129</v>
      </c>
      <c r="M7" s="97" t="str">
        <f>VLOOKUP(C7,'[2]DM Đề tài SV ký HĐ (thay đổi)'!$B$1:$O$475,13,0)</f>
        <v>sonnt@hcmute.edu.vn</v>
      </c>
      <c r="N7" s="97" t="str">
        <f>VLOOKUP(C7,'[2]DM Đề tài SV ký HĐ (thay đổi)'!$B$1:$M$475,12,0)</f>
        <v>Khoa CNTT</v>
      </c>
      <c r="O7" s="85" t="s">
        <v>1477</v>
      </c>
      <c r="P7" s="86">
        <v>5000000</v>
      </c>
      <c r="Q7" s="84" t="s">
        <v>1647</v>
      </c>
      <c r="R7" s="84"/>
      <c r="S7" s="84"/>
      <c r="T7" s="103">
        <v>2</v>
      </c>
      <c r="U7" s="103" t="s">
        <v>1787</v>
      </c>
      <c r="V7" s="83"/>
      <c r="W7" s="84"/>
      <c r="X7" s="84"/>
      <c r="Y7" s="84"/>
      <c r="Z7" s="84"/>
      <c r="AA7" s="84"/>
      <c r="AB7" s="84"/>
      <c r="AC7" s="84"/>
      <c r="AD7" s="84"/>
      <c r="AE7" s="84"/>
      <c r="AF7" s="84"/>
      <c r="AG7" s="113" t="s">
        <v>1814</v>
      </c>
      <c r="AH7" s="84"/>
    </row>
    <row r="8" spans="1:34" s="87" customFormat="1" ht="109.2" customHeight="1" x14ac:dyDescent="0.25">
      <c r="A8" s="83">
        <v>10</v>
      </c>
      <c r="B8" s="118" t="str">
        <f t="shared" si="0"/>
        <v>11</v>
      </c>
      <c r="C8" s="84" t="s">
        <v>745</v>
      </c>
      <c r="D8" s="85" t="s">
        <v>131</v>
      </c>
      <c r="E8" s="85" t="s">
        <v>1740</v>
      </c>
      <c r="F8" s="97" t="str">
        <f t="shared" si="1"/>
        <v xml:space="preserve">Lê Văn Phát </v>
      </c>
      <c r="G8" s="100" t="str">
        <f t="shared" si="2"/>
        <v>22110197</v>
      </c>
      <c r="H8" s="100" t="str">
        <f>VLOOKUP(C8,'[1]DM Đề tài SV ký HĐ (thay đổi)'!$B$1:$Q$475,15,0)</f>
        <v>vanphat15it@gmail.com</v>
      </c>
      <c r="I8" s="107" t="str">
        <f>VLOOKUP(C8,'[1]DM Đề tài SV ký HĐ (thay đổi)'!$B$1:$Q$475,16,0)</f>
        <v>0857139116</v>
      </c>
      <c r="J8" s="97" t="str">
        <f>VLOOKUP(C8,'[2]DM Đề tài SV ký HĐ (thay đổi)'!$B$1:$I$475,8,0)</f>
        <v>Công nghệ Thông tin</v>
      </c>
      <c r="K8" s="85" t="s">
        <v>132</v>
      </c>
      <c r="L8" s="85" t="s">
        <v>133</v>
      </c>
      <c r="M8" s="97" t="str">
        <f>VLOOKUP(C8,'[2]DM Đề tài SV ký HĐ (thay đổi)'!$B$1:$O$475,13,0)</f>
        <v>vinhlv@hcmute.edu.vn</v>
      </c>
      <c r="N8" s="97" t="str">
        <f>VLOOKUP(C8,'[2]DM Đề tài SV ký HĐ (thay đổi)'!$B$1:$M$475,12,0)</f>
        <v>Khoa CNTT</v>
      </c>
      <c r="O8" s="85" t="s">
        <v>1755</v>
      </c>
      <c r="P8" s="86">
        <v>10000000</v>
      </c>
      <c r="Q8" s="84" t="s">
        <v>1648</v>
      </c>
      <c r="R8" s="84"/>
      <c r="S8" s="84"/>
      <c r="T8" s="103">
        <v>2</v>
      </c>
      <c r="U8" s="103" t="s">
        <v>1787</v>
      </c>
      <c r="V8" s="83"/>
      <c r="W8" s="84"/>
      <c r="X8" s="84"/>
      <c r="Y8" s="84"/>
      <c r="Z8" s="84"/>
      <c r="AA8" s="84"/>
      <c r="AB8" s="84"/>
      <c r="AC8" s="84"/>
      <c r="AD8" s="84"/>
      <c r="AE8" s="84"/>
      <c r="AF8" s="84"/>
      <c r="AG8" s="114" t="s">
        <v>1813</v>
      </c>
      <c r="AH8" s="84"/>
    </row>
    <row r="9" spans="1:34" s="87" customFormat="1" ht="109.2" customHeight="1" x14ac:dyDescent="0.25">
      <c r="A9" s="83">
        <v>12</v>
      </c>
      <c r="B9" s="118" t="str">
        <f t="shared" si="0"/>
        <v>13</v>
      </c>
      <c r="C9" s="84" t="s">
        <v>746</v>
      </c>
      <c r="D9" s="85" t="s">
        <v>135</v>
      </c>
      <c r="E9" s="85" t="s">
        <v>1782</v>
      </c>
      <c r="F9" s="97" t="str">
        <f t="shared" si="1"/>
        <v xml:space="preserve">Nguyễn Hoàng Gia Huy </v>
      </c>
      <c r="G9" s="100" t="str">
        <f t="shared" si="2"/>
        <v>24162046</v>
      </c>
      <c r="H9" s="100" t="str">
        <f>VLOOKUP(C9,'[1]DM Đề tài SV ký HĐ (thay đổi)'!$B$1:$Q$475,15,0)</f>
        <v>24162046@student.hcmute.edu.vn</v>
      </c>
      <c r="I9" s="107" t="str">
        <f>VLOOKUP(C9,'[1]DM Đề tài SV ký HĐ (thay đổi)'!$B$1:$Q$475,16,0)</f>
        <v>0794964161</v>
      </c>
      <c r="J9" s="97" t="str">
        <f>VLOOKUP(C9,'[2]DM Đề tài SV ký HĐ (thay đổi)'!$B$1:$I$475,8,0)</f>
        <v>Công nghệ Thông tin</v>
      </c>
      <c r="K9" s="85" t="s">
        <v>161</v>
      </c>
      <c r="L9" s="85" t="s">
        <v>134</v>
      </c>
      <c r="M9" s="97" t="str">
        <f>VLOOKUP(C9,'[2]DM Đề tài SV ký HĐ (thay đổi)'!$B$1:$O$475,13,0)</f>
        <v>vanntth@hcmute.edu.vn</v>
      </c>
      <c r="N9" s="97" t="str">
        <f>VLOOKUP(C9,'[2]DM Đề tài SV ký HĐ (thay đổi)'!$B$1:$M$475,12,0)</f>
        <v>Khoa CNTT</v>
      </c>
      <c r="O9" s="85" t="s">
        <v>1478</v>
      </c>
      <c r="P9" s="86">
        <v>5000000</v>
      </c>
      <c r="Q9" s="84" t="s">
        <v>1647</v>
      </c>
      <c r="R9" s="84"/>
      <c r="S9" s="84"/>
      <c r="T9" s="103">
        <v>2</v>
      </c>
      <c r="U9" s="103" t="s">
        <v>1787</v>
      </c>
      <c r="V9" s="83"/>
      <c r="W9" s="84"/>
      <c r="X9" s="84"/>
      <c r="Y9" s="84"/>
      <c r="Z9" s="84"/>
      <c r="AA9" s="84"/>
      <c r="AB9" s="84"/>
      <c r="AC9" s="84"/>
      <c r="AD9" s="84"/>
      <c r="AE9" s="84"/>
      <c r="AF9" s="84"/>
      <c r="AG9" s="113" t="s">
        <v>1814</v>
      </c>
      <c r="AH9" s="84"/>
    </row>
    <row r="10" spans="1:34" s="87" customFormat="1" ht="109.2" customHeight="1" x14ac:dyDescent="0.25">
      <c r="A10" s="83">
        <v>13</v>
      </c>
      <c r="B10" s="118" t="str">
        <f t="shared" si="0"/>
        <v>14</v>
      </c>
      <c r="C10" s="84" t="s">
        <v>747</v>
      </c>
      <c r="D10" s="85" t="s">
        <v>1736</v>
      </c>
      <c r="E10" s="85" t="s">
        <v>1616</v>
      </c>
      <c r="F10" s="97" t="str">
        <f t="shared" si="1"/>
        <v xml:space="preserve">Đinh Thiên Bảo </v>
      </c>
      <c r="G10" s="100" t="str">
        <f t="shared" si="2"/>
        <v>24162009</v>
      </c>
      <c r="H10" s="100" t="str">
        <f>VLOOKUP(C10,'[1]DM Đề tài SV ký HĐ (thay đổi)'!$B$1:$Q$475,15,0)</f>
        <v>24162009@student.hcmute.edu.vn</v>
      </c>
      <c r="I10" s="107" t="str">
        <f>VLOOKUP(C10,'[1]DM Đề tài SV ký HĐ (thay đổi)'!$B$1:$Q$475,16,0)</f>
        <v>0947031218</v>
      </c>
      <c r="J10" s="97" t="str">
        <f>VLOOKUP(C10,'[2]DM Đề tài SV ký HĐ (thay đổi)'!$B$1:$I$475,8,0)</f>
        <v>Công nghệ Thông tin</v>
      </c>
      <c r="K10" s="85" t="s">
        <v>1125</v>
      </c>
      <c r="L10" s="85" t="s">
        <v>134</v>
      </c>
      <c r="M10" s="97" t="str">
        <f>VLOOKUP(C10,'[2]DM Đề tài SV ký HĐ (thay đổi)'!$B$1:$O$475,13,0)</f>
        <v>vanntth@hcmute.edu.vn</v>
      </c>
      <c r="N10" s="97" t="str">
        <f>VLOOKUP(C10,'[2]DM Đề tài SV ký HĐ (thay đổi)'!$B$1:$M$475,12,0)</f>
        <v>Khoa CNTT</v>
      </c>
      <c r="O10" s="85" t="s">
        <v>1479</v>
      </c>
      <c r="P10" s="86">
        <v>5000000</v>
      </c>
      <c r="Q10" s="84" t="s">
        <v>1647</v>
      </c>
      <c r="R10" s="84"/>
      <c r="S10" s="84"/>
      <c r="T10" s="101">
        <v>2</v>
      </c>
      <c r="U10" s="101" t="s">
        <v>1787</v>
      </c>
      <c r="V10" s="83"/>
      <c r="W10" s="84"/>
      <c r="X10" s="84"/>
      <c r="Y10" s="84"/>
      <c r="Z10" s="84"/>
      <c r="AA10" s="84"/>
      <c r="AB10" s="84"/>
      <c r="AC10" s="84"/>
      <c r="AD10" s="84"/>
      <c r="AE10" s="84"/>
      <c r="AF10" s="84"/>
      <c r="AG10" s="114" t="s">
        <v>1813</v>
      </c>
      <c r="AH10" s="84"/>
    </row>
    <row r="11" spans="1:34" s="87" customFormat="1" ht="109.2" customHeight="1" x14ac:dyDescent="0.25">
      <c r="A11" s="83">
        <v>14</v>
      </c>
      <c r="B11" s="118" t="str">
        <f t="shared" si="0"/>
        <v>15</v>
      </c>
      <c r="C11" s="84" t="s">
        <v>748</v>
      </c>
      <c r="D11" s="85" t="s">
        <v>136</v>
      </c>
      <c r="E11" s="85" t="s">
        <v>162</v>
      </c>
      <c r="F11" s="97" t="str">
        <f t="shared" si="1"/>
        <v xml:space="preserve">Dương Đình Ngọc Khang </v>
      </c>
      <c r="G11" s="100" t="str">
        <f t="shared" si="2"/>
        <v>23162036</v>
      </c>
      <c r="H11" s="100" t="str">
        <f>VLOOKUP(C11,'[1]DM Đề tài SV ký HĐ (thay đổi)'!$B$1:$Q$475,15,0)</f>
        <v>23162036@student.hcmute.edu.vn</v>
      </c>
      <c r="I11" s="107" t="str">
        <f>VLOOKUP(C11,'[1]DM Đề tài SV ký HĐ (thay đổi)'!$B$1:$Q$475,16,0)</f>
        <v>0987545761</v>
      </c>
      <c r="J11" s="97" t="str">
        <f>VLOOKUP(C11,'[2]DM Đề tài SV ký HĐ (thay đổi)'!$B$1:$I$475,8,0)</f>
        <v>Công nghệ Thông tin</v>
      </c>
      <c r="K11" s="85" t="s">
        <v>1122</v>
      </c>
      <c r="L11" s="85" t="s">
        <v>134</v>
      </c>
      <c r="M11" s="97" t="str">
        <f>VLOOKUP(C11,'[2]DM Đề tài SV ký HĐ (thay đổi)'!$B$1:$O$475,13,0)</f>
        <v>vanntth@hcmute.edu.vn</v>
      </c>
      <c r="N11" s="97" t="str">
        <f>VLOOKUP(C11,'[2]DM Đề tài SV ký HĐ (thay đổi)'!$B$1:$M$475,12,0)</f>
        <v>Khoa CNTT</v>
      </c>
      <c r="O11" s="85" t="s">
        <v>1480</v>
      </c>
      <c r="P11" s="86">
        <v>5000000</v>
      </c>
      <c r="Q11" s="84" t="s">
        <v>1647</v>
      </c>
      <c r="R11" s="84"/>
      <c r="S11" s="84"/>
      <c r="T11" s="101">
        <v>2</v>
      </c>
      <c r="U11" s="101" t="s">
        <v>1787</v>
      </c>
      <c r="V11" s="83"/>
      <c r="W11" s="84"/>
      <c r="X11" s="84"/>
      <c r="Y11" s="84"/>
      <c r="Z11" s="84"/>
      <c r="AA11" s="84"/>
      <c r="AB11" s="84"/>
      <c r="AC11" s="84"/>
      <c r="AD11" s="84"/>
      <c r="AE11" s="84"/>
      <c r="AF11" s="84"/>
      <c r="AG11" s="114" t="s">
        <v>1813</v>
      </c>
      <c r="AH11" s="84"/>
    </row>
    <row r="12" spans="1:34" s="87" customFormat="1" ht="109.2" customHeight="1" x14ac:dyDescent="0.25">
      <c r="A12" s="83">
        <v>17</v>
      </c>
      <c r="B12" s="118" t="str">
        <f t="shared" si="0"/>
        <v>19</v>
      </c>
      <c r="C12" s="84" t="s">
        <v>749</v>
      </c>
      <c r="D12" s="85" t="s">
        <v>1481</v>
      </c>
      <c r="E12" s="85" t="s">
        <v>163</v>
      </c>
      <c r="F12" s="97" t="str">
        <f t="shared" si="1"/>
        <v xml:space="preserve">Trần Như Quỳnh </v>
      </c>
      <c r="G12" s="100" t="str">
        <f t="shared" si="2"/>
        <v>22110218</v>
      </c>
      <c r="H12" s="100" t="str">
        <f>VLOOKUP(C12,'[1]DM Đề tài SV ký HĐ (thay đổi)'!$B$1:$Q$475,15,0)</f>
        <v>trannhuquynh.010116@gmail.com</v>
      </c>
      <c r="I12" s="107" t="str">
        <f>VLOOKUP(C12,'[1]DM Đề tài SV ký HĐ (thay đổi)'!$B$1:$Q$475,16,0)</f>
        <v>0828121299</v>
      </c>
      <c r="J12" s="97" t="str">
        <f>VLOOKUP(C12,'[2]DM Đề tài SV ký HĐ (thay đổi)'!$B$1:$I$475,8,0)</f>
        <v>Công nghệ Thông tin</v>
      </c>
      <c r="K12" s="85" t="s">
        <v>164</v>
      </c>
      <c r="L12" s="85" t="s">
        <v>138</v>
      </c>
      <c r="M12" s="97" t="str">
        <f>VLOOKUP(C12,'[2]DM Đề tài SV ký HĐ (thay đổi)'!$B$1:$O$475,13,0)</f>
        <v>trangpth@hcmute.edu.vn</v>
      </c>
      <c r="N12" s="97" t="str">
        <f>VLOOKUP(C12,'[2]DM Đề tài SV ký HĐ (thay đổi)'!$B$1:$M$475,12,0)</f>
        <v>Khoa CNTT</v>
      </c>
      <c r="O12" s="85" t="s">
        <v>125</v>
      </c>
      <c r="P12" s="86">
        <v>5000000</v>
      </c>
      <c r="Q12" s="84" t="s">
        <v>1647</v>
      </c>
      <c r="R12" s="84"/>
      <c r="S12" s="84"/>
      <c r="T12" s="101">
        <v>2</v>
      </c>
      <c r="U12" s="101" t="s">
        <v>1787</v>
      </c>
      <c r="V12" s="83"/>
      <c r="W12" s="84"/>
      <c r="X12" s="84"/>
      <c r="Y12" s="84"/>
      <c r="Z12" s="84"/>
      <c r="AA12" s="84"/>
      <c r="AB12" s="84"/>
      <c r="AC12" s="84"/>
      <c r="AD12" s="84"/>
      <c r="AE12" s="84"/>
      <c r="AF12" s="84"/>
      <c r="AG12" s="113" t="s">
        <v>1814</v>
      </c>
      <c r="AH12" s="84"/>
    </row>
    <row r="13" spans="1:34" s="87" customFormat="1" ht="109.2" customHeight="1" x14ac:dyDescent="0.25">
      <c r="A13" s="83">
        <v>19</v>
      </c>
      <c r="B13" s="118" t="str">
        <f t="shared" si="0"/>
        <v>21</v>
      </c>
      <c r="C13" s="84" t="s">
        <v>750</v>
      </c>
      <c r="D13" s="85" t="s">
        <v>1673</v>
      </c>
      <c r="E13" s="85" t="s">
        <v>165</v>
      </c>
      <c r="F13" s="97" t="str">
        <f t="shared" si="1"/>
        <v xml:space="preserve">Nguyễn Phúc Bảo </v>
      </c>
      <c r="G13" s="100" t="str">
        <f t="shared" si="2"/>
        <v>22110285</v>
      </c>
      <c r="H13" s="100" t="str">
        <f>VLOOKUP(C13,'[1]DM Đề tài SV ký HĐ (thay đổi)'!$B$1:$Q$475,15,0)</f>
        <v>baonguyen02102004@gmail.com</v>
      </c>
      <c r="I13" s="107" t="str">
        <f>VLOOKUP(C13,'[1]DM Đề tài SV ký HĐ (thay đổi)'!$B$1:$Q$475,16,0)</f>
        <v>0984585142</v>
      </c>
      <c r="J13" s="97" t="str">
        <f>VLOOKUP(C13,'[2]DM Đề tài SV ký HĐ (thay đổi)'!$B$1:$I$475,8,0)</f>
        <v>Công nghệ Thông tin</v>
      </c>
      <c r="K13" s="85" t="s">
        <v>1115</v>
      </c>
      <c r="L13" s="85" t="s">
        <v>139</v>
      </c>
      <c r="M13" s="97" t="str">
        <f>VLOOKUP(C13,'[2]DM Đề tài SV ký HĐ (thay đổi)'!$B$1:$O$475,13,0)</f>
        <v>thuyan@hcmute.edu.vn</v>
      </c>
      <c r="N13" s="97" t="str">
        <f>VLOOKUP(C13,'[2]DM Đề tài SV ký HĐ (thay đổi)'!$B$1:$M$475,12,0)</f>
        <v>Khoa CNTT</v>
      </c>
      <c r="O13" s="85" t="s">
        <v>1482</v>
      </c>
      <c r="P13" s="86">
        <v>10000000</v>
      </c>
      <c r="Q13" s="84" t="s">
        <v>1648</v>
      </c>
      <c r="R13" s="84"/>
      <c r="S13" s="84"/>
      <c r="T13" s="101">
        <v>2</v>
      </c>
      <c r="U13" s="103" t="s">
        <v>1787</v>
      </c>
      <c r="V13" s="83"/>
      <c r="W13" s="84"/>
      <c r="X13" s="84"/>
      <c r="Y13" s="84"/>
      <c r="Z13" s="84"/>
      <c r="AA13" s="84"/>
      <c r="AB13" s="84"/>
      <c r="AC13" s="84"/>
      <c r="AD13" s="84"/>
      <c r="AE13" s="84"/>
      <c r="AF13" s="84"/>
      <c r="AG13" s="113" t="s">
        <v>1814</v>
      </c>
      <c r="AH13" s="84"/>
    </row>
    <row r="14" spans="1:34" s="87" customFormat="1" ht="109.2" customHeight="1" x14ac:dyDescent="0.25">
      <c r="A14" s="83">
        <v>23</v>
      </c>
      <c r="B14" s="83" t="str">
        <f t="shared" si="0"/>
        <v>25</v>
      </c>
      <c r="C14" s="84" t="s">
        <v>751</v>
      </c>
      <c r="D14" s="85" t="s">
        <v>140</v>
      </c>
      <c r="E14" s="85" t="s">
        <v>166</v>
      </c>
      <c r="F14" s="97" t="str">
        <f t="shared" si="1"/>
        <v xml:space="preserve">Lê Quang Minh </v>
      </c>
      <c r="G14" s="100" t="str">
        <f t="shared" si="2"/>
        <v>24162072</v>
      </c>
      <c r="H14" s="100" t="str">
        <f>VLOOKUP(C14,'[1]DM Đề tài SV ký HĐ (thay đổi)'!$B$1:$Q$475,15,0)</f>
        <v>24162072@student.hcmute.edu.vn</v>
      </c>
      <c r="I14" s="107" t="str">
        <f>VLOOKUP(C14,'[1]DM Đề tài SV ký HĐ (thay đổi)'!$B$1:$Q$475,16,0)</f>
        <v>0986402215</v>
      </c>
      <c r="J14" s="97" t="str">
        <f>VLOOKUP(C14,'[2]DM Đề tài SV ký HĐ (thay đổi)'!$B$1:$I$475,8,0)</f>
        <v>Công nghệ Thông tin</v>
      </c>
      <c r="K14" s="85" t="s">
        <v>141</v>
      </c>
      <c r="L14" s="85" t="s">
        <v>142</v>
      </c>
      <c r="M14" s="97" t="str">
        <f>VLOOKUP(C14,'[2]DM Đề tài SV ký HĐ (thay đổi)'!$B$1:$O$475,13,0)</f>
        <v>chaultm@hcmute.edu.vn</v>
      </c>
      <c r="N14" s="97" t="str">
        <f>VLOOKUP(C14,'[2]DM Đề tài SV ký HĐ (thay đổi)'!$B$1:$M$475,12,0)</f>
        <v>Khoa CNTT</v>
      </c>
      <c r="O14" s="85" t="s">
        <v>1483</v>
      </c>
      <c r="P14" s="86">
        <v>5000000</v>
      </c>
      <c r="Q14" s="84" t="s">
        <v>1647</v>
      </c>
      <c r="R14" s="84"/>
      <c r="S14" s="84"/>
      <c r="T14" s="105" t="s">
        <v>1827</v>
      </c>
      <c r="U14" s="103"/>
      <c r="V14" s="83"/>
      <c r="W14" s="84"/>
      <c r="X14" s="84"/>
      <c r="Y14" s="84"/>
      <c r="Z14" s="84"/>
      <c r="AA14" s="84"/>
      <c r="AB14" s="84"/>
      <c r="AC14" s="84"/>
      <c r="AD14" s="84"/>
      <c r="AE14" s="84"/>
      <c r="AF14" s="84"/>
      <c r="AG14" s="85"/>
      <c r="AH14" s="96" t="s">
        <v>1818</v>
      </c>
    </row>
    <row r="15" spans="1:34" s="87" customFormat="1" ht="109.2" customHeight="1" x14ac:dyDescent="0.25">
      <c r="A15" s="83">
        <v>24</v>
      </c>
      <c r="B15" s="118" t="str">
        <f t="shared" si="0"/>
        <v>26</v>
      </c>
      <c r="C15" s="84" t="s">
        <v>752</v>
      </c>
      <c r="D15" s="85" t="s">
        <v>143</v>
      </c>
      <c r="E15" s="85" t="s">
        <v>167</v>
      </c>
      <c r="F15" s="97" t="str">
        <f t="shared" si="1"/>
        <v xml:space="preserve">Mai Quốc Thái </v>
      </c>
      <c r="G15" s="100" t="str">
        <f t="shared" si="2"/>
        <v>23133071</v>
      </c>
      <c r="H15" s="100" t="str">
        <f>VLOOKUP(C15,'[1]DM Đề tài SV ký HĐ (thay đổi)'!$B$1:$Q$475,15,0)</f>
        <v>23133071@student.hcmute.edu.vn</v>
      </c>
      <c r="I15" s="107" t="str">
        <f>VLOOKUP(C15,'[1]DM Đề tài SV ký HĐ (thay đổi)'!$B$1:$Q$475,16,0)</f>
        <v>0355033919</v>
      </c>
      <c r="J15" s="97" t="str">
        <f>VLOOKUP(C15,'[2]DM Đề tài SV ký HĐ (thay đổi)'!$B$1:$I$475,8,0)</f>
        <v>Công nghệ Thông tin</v>
      </c>
      <c r="K15" s="85"/>
      <c r="L15" s="85" t="s">
        <v>144</v>
      </c>
      <c r="M15" s="97" t="str">
        <f>VLOOKUP(C15,'[2]DM Đề tài SV ký HĐ (thay đổi)'!$B$1:$O$475,13,0)</f>
        <v>thept@hcmute.edu.vn</v>
      </c>
      <c r="N15" s="97" t="str">
        <f>VLOOKUP(C15,'[2]DM Đề tài SV ký HĐ (thay đổi)'!$B$1:$M$475,12,0)</f>
        <v>Khoa CNTT</v>
      </c>
      <c r="O15" s="85" t="s">
        <v>1756</v>
      </c>
      <c r="P15" s="86">
        <v>10000000</v>
      </c>
      <c r="Q15" s="84" t="s">
        <v>1648</v>
      </c>
      <c r="R15" s="84"/>
      <c r="S15" s="84"/>
      <c r="T15" s="103">
        <v>2</v>
      </c>
      <c r="U15" s="103" t="s">
        <v>1787</v>
      </c>
      <c r="V15" s="83"/>
      <c r="W15" s="84"/>
      <c r="X15" s="84"/>
      <c r="Y15" s="84"/>
      <c r="Z15" s="84"/>
      <c r="AA15" s="84"/>
      <c r="AB15" s="84"/>
      <c r="AC15" s="84"/>
      <c r="AD15" s="84"/>
      <c r="AE15" s="84"/>
      <c r="AF15" s="84"/>
      <c r="AG15" s="114" t="s">
        <v>1813</v>
      </c>
      <c r="AH15" s="84"/>
    </row>
    <row r="16" spans="1:34" s="87" customFormat="1" ht="109.2" customHeight="1" x14ac:dyDescent="0.25">
      <c r="A16" s="83">
        <v>26</v>
      </c>
      <c r="B16" s="118" t="str">
        <f t="shared" si="0"/>
        <v>28</v>
      </c>
      <c r="C16" s="84" t="s">
        <v>753</v>
      </c>
      <c r="D16" s="85" t="s">
        <v>145</v>
      </c>
      <c r="E16" s="85" t="s">
        <v>1123</v>
      </c>
      <c r="F16" s="97" t="str">
        <f t="shared" si="1"/>
        <v xml:space="preserve">Phan Thiên Phúc </v>
      </c>
      <c r="G16" s="100" t="str">
        <f t="shared" si="2"/>
        <v>22110203</v>
      </c>
      <c r="H16" s="100" t="str">
        <f>VLOOKUP(C16,'[1]DM Đề tài SV ký HĐ (thay đổi)'!$B$1:$Q$475,15,0)</f>
        <v>22110203@student.hcmute.edu.vn</v>
      </c>
      <c r="I16" s="107" t="str">
        <f>VLOOKUP(C16,'[1]DM Đề tài SV ký HĐ (thay đổi)'!$B$1:$Q$475,16,0)</f>
        <v>0942388053</v>
      </c>
      <c r="J16" s="97" t="str">
        <f>VLOOKUP(C16,'[2]DM Đề tài SV ký HĐ (thay đổi)'!$B$1:$I$475,8,0)</f>
        <v>Công nghệ Thông tin</v>
      </c>
      <c r="K16" s="85" t="s">
        <v>1116</v>
      </c>
      <c r="L16" s="85" t="s">
        <v>144</v>
      </c>
      <c r="M16" s="97" t="str">
        <f>VLOOKUP(C16,'[2]DM Đề tài SV ký HĐ (thay đổi)'!$B$1:$O$475,13,0)</f>
        <v>thept@hcmute.edu.vn</v>
      </c>
      <c r="N16" s="97" t="str">
        <f>VLOOKUP(C16,'[2]DM Đề tài SV ký HĐ (thay đổi)'!$B$1:$M$475,12,0)</f>
        <v>Khoa CNTT</v>
      </c>
      <c r="O16" s="85" t="s">
        <v>125</v>
      </c>
      <c r="P16" s="86">
        <v>5000000</v>
      </c>
      <c r="Q16" s="84" t="s">
        <v>1647</v>
      </c>
      <c r="R16" s="84"/>
      <c r="S16" s="84"/>
      <c r="T16" s="101">
        <v>2</v>
      </c>
      <c r="U16" s="101" t="s">
        <v>1787</v>
      </c>
      <c r="V16" s="83"/>
      <c r="W16" s="84"/>
      <c r="X16" s="84"/>
      <c r="Y16" s="84"/>
      <c r="Z16" s="84"/>
      <c r="AA16" s="84"/>
      <c r="AB16" s="84"/>
      <c r="AC16" s="84"/>
      <c r="AD16" s="84"/>
      <c r="AE16" s="84"/>
      <c r="AF16" s="84"/>
      <c r="AG16" s="113" t="s">
        <v>1814</v>
      </c>
      <c r="AH16" s="84"/>
    </row>
    <row r="17" spans="1:34" s="87" customFormat="1" ht="109.2" customHeight="1" x14ac:dyDescent="0.25">
      <c r="A17" s="83">
        <v>29</v>
      </c>
      <c r="B17" s="83" t="str">
        <f t="shared" si="0"/>
        <v>31</v>
      </c>
      <c r="C17" s="84" t="s">
        <v>754</v>
      </c>
      <c r="D17" s="84" t="s">
        <v>1484</v>
      </c>
      <c r="E17" s="84" t="s">
        <v>1117</v>
      </c>
      <c r="F17" s="97" t="str">
        <f t="shared" si="1"/>
        <v xml:space="preserve">Lê Nguyên Thiên Phúc </v>
      </c>
      <c r="G17" s="100" t="str">
        <f t="shared" si="2"/>
        <v>22110201</v>
      </c>
      <c r="H17" s="100" t="str">
        <f>VLOOKUP(C17,'[1]DM Đề tài SV ký HĐ (thay đổi)'!$B$1:$Q$475,15,0)</f>
        <v>22110201@student.hcmute.edu.vn</v>
      </c>
      <c r="I17" s="107" t="str">
        <f>VLOOKUP(C17,'[1]DM Đề tài SV ký HĐ (thay đổi)'!$B$1:$Q$475,16,0)</f>
        <v>0337104445</v>
      </c>
      <c r="J17" s="97" t="str">
        <f>VLOOKUP(C17,'[2]DM Đề tài SV ký HĐ (thay đổi)'!$B$1:$I$475,8,0)</f>
        <v>Công nghệ Thông tin</v>
      </c>
      <c r="K17" s="84" t="s">
        <v>1124</v>
      </c>
      <c r="L17" s="84" t="s">
        <v>147</v>
      </c>
      <c r="M17" s="97" t="str">
        <f>VLOOKUP(C17,'[2]DM Đề tài SV ký HĐ (thay đổi)'!$B$1:$O$475,13,0)</f>
        <v>thinhlv@hcmute.edu.vn</v>
      </c>
      <c r="N17" s="97" t="str">
        <f>VLOOKUP(C17,'[2]DM Đề tài SV ký HĐ (thay đổi)'!$B$1:$M$475,12,0)</f>
        <v>Khoa CNTT</v>
      </c>
      <c r="O17" s="85" t="s">
        <v>125</v>
      </c>
      <c r="P17" s="86">
        <v>5000000</v>
      </c>
      <c r="Q17" s="84" t="s">
        <v>1647</v>
      </c>
      <c r="R17" s="84"/>
      <c r="S17" s="84"/>
      <c r="T17" s="105" t="s">
        <v>1830</v>
      </c>
      <c r="U17" s="103" t="s">
        <v>1787</v>
      </c>
      <c r="V17" s="83"/>
      <c r="W17" s="84"/>
      <c r="X17" s="84"/>
      <c r="Y17" s="84"/>
      <c r="Z17" s="84"/>
      <c r="AA17" s="84"/>
      <c r="AB17" s="84" t="s">
        <v>1829</v>
      </c>
      <c r="AC17" s="84" t="s">
        <v>1829</v>
      </c>
      <c r="AD17" s="84" t="s">
        <v>1829</v>
      </c>
      <c r="AE17" s="84" t="s">
        <v>1829</v>
      </c>
      <c r="AF17" s="84"/>
      <c r="AG17" s="113" t="s">
        <v>1814</v>
      </c>
      <c r="AH17" s="84" t="s">
        <v>1829</v>
      </c>
    </row>
    <row r="18" spans="1:34" s="87" customFormat="1" ht="109.2" customHeight="1" x14ac:dyDescent="0.25">
      <c r="A18" s="83">
        <v>30</v>
      </c>
      <c r="B18" s="118" t="str">
        <f t="shared" si="0"/>
        <v>32</v>
      </c>
      <c r="C18" s="84" t="s">
        <v>755</v>
      </c>
      <c r="D18" s="84" t="s">
        <v>1485</v>
      </c>
      <c r="E18" s="84" t="s">
        <v>148</v>
      </c>
      <c r="F18" s="97" t="str">
        <f t="shared" si="1"/>
        <v xml:space="preserve">Phan Văn Quân </v>
      </c>
      <c r="G18" s="100" t="str">
        <f t="shared" si="2"/>
        <v>22110214</v>
      </c>
      <c r="H18" s="100" t="str">
        <f>VLOOKUP(C18,'[1]DM Đề tài SV ký HĐ (thay đổi)'!$B$1:$Q$475,15,0)</f>
        <v xml:space="preserve">22110214@student.hcmute.edu.vn   </v>
      </c>
      <c r="I18" s="107">
        <f>VLOOKUP(C18,'[1]DM Đề tài SV ký HĐ (thay đổi)'!$B$1:$Q$475,16,0)</f>
        <v>947119702</v>
      </c>
      <c r="J18" s="97" t="str">
        <f>VLOOKUP(C18,'[2]DM Đề tài SV ký HĐ (thay đổi)'!$B$1:$I$475,8,0)</f>
        <v>Công nghệ Thông tin</v>
      </c>
      <c r="K18" s="84" t="s">
        <v>149</v>
      </c>
      <c r="L18" s="84" t="s">
        <v>147</v>
      </c>
      <c r="M18" s="97" t="str">
        <f>VLOOKUP(C18,'[2]DM Đề tài SV ký HĐ (thay đổi)'!$B$1:$O$475,13,0)</f>
        <v>thinhlv@hcmute.edu.vn</v>
      </c>
      <c r="N18" s="97" t="str">
        <f>VLOOKUP(C18,'[2]DM Đề tài SV ký HĐ (thay đổi)'!$B$1:$M$475,12,0)</f>
        <v>Khoa CNTT</v>
      </c>
      <c r="O18" s="85" t="s">
        <v>1749</v>
      </c>
      <c r="P18" s="86">
        <v>10000000</v>
      </c>
      <c r="Q18" s="84" t="s">
        <v>1648</v>
      </c>
      <c r="R18" s="84"/>
      <c r="S18" s="84"/>
      <c r="T18" s="103">
        <v>2</v>
      </c>
      <c r="U18" s="103" t="s">
        <v>1787</v>
      </c>
      <c r="V18" s="83"/>
      <c r="W18" s="84"/>
      <c r="X18" s="84"/>
      <c r="Y18" s="84"/>
      <c r="Z18" s="84"/>
      <c r="AA18" s="84"/>
      <c r="AB18" s="84"/>
      <c r="AC18" s="84"/>
      <c r="AD18" s="84"/>
      <c r="AE18" s="84"/>
      <c r="AF18" s="84"/>
      <c r="AG18" s="114" t="s">
        <v>1813</v>
      </c>
      <c r="AH18" s="84"/>
    </row>
    <row r="19" spans="1:34" s="87" customFormat="1" ht="109.2" customHeight="1" x14ac:dyDescent="0.25">
      <c r="A19" s="83">
        <v>34</v>
      </c>
      <c r="B19" s="118" t="str">
        <f t="shared" si="0"/>
        <v>36</v>
      </c>
      <c r="C19" s="84" t="s">
        <v>756</v>
      </c>
      <c r="D19" s="84" t="s">
        <v>151</v>
      </c>
      <c r="E19" s="84" t="s">
        <v>1118</v>
      </c>
      <c r="F19" s="97" t="str">
        <f t="shared" si="1"/>
        <v xml:space="preserve">Nguyễn Nam Hy </v>
      </c>
      <c r="G19" s="100" t="str">
        <f t="shared" si="2"/>
        <v>22133029</v>
      </c>
      <c r="H19" s="100" t="str">
        <f>VLOOKUP(C19,'[1]DM Đề tài SV ký HĐ (thay đổi)'!$B$1:$Q$475,15,0)</f>
        <v>22133029@student.hcmute.edu.vn</v>
      </c>
      <c r="I19" s="107" t="str">
        <f>VLOOKUP(C19,'[1]DM Đề tài SV ký HĐ (thay đổi)'!$B$1:$Q$475,16,0)</f>
        <v>038.960.0712</v>
      </c>
      <c r="J19" s="97" t="str">
        <f>VLOOKUP(C19,'[2]DM Đề tài SV ký HĐ (thay đổi)'!$B$1:$I$475,8,0)</f>
        <v>Công nghệ Thông tin</v>
      </c>
      <c r="K19" s="85"/>
      <c r="L19" s="84" t="s">
        <v>150</v>
      </c>
      <c r="M19" s="97" t="str">
        <f>VLOOKUP(C19,'[2]DM Đề tài SV ký HĐ (thay đổi)'!$B$1:$O$475,13,0)</f>
        <v>ductt@hcmute.edu.vn</v>
      </c>
      <c r="N19" s="97" t="str">
        <f>VLOOKUP(C19,'[2]DM Đề tài SV ký HĐ (thay đổi)'!$B$1:$M$475,12,0)</f>
        <v>Khoa CNTT</v>
      </c>
      <c r="O19" s="85" t="s">
        <v>1486</v>
      </c>
      <c r="P19" s="86">
        <v>15000000</v>
      </c>
      <c r="Q19" s="85" t="s">
        <v>1649</v>
      </c>
      <c r="R19" s="85"/>
      <c r="S19" s="85"/>
      <c r="T19" s="101">
        <v>2</v>
      </c>
      <c r="U19" s="101" t="s">
        <v>1787</v>
      </c>
      <c r="V19" s="83"/>
      <c r="W19" s="84"/>
      <c r="X19" s="84"/>
      <c r="Y19" s="84"/>
      <c r="Z19" s="84"/>
      <c r="AA19" s="84"/>
      <c r="AB19" s="84"/>
      <c r="AC19" s="84"/>
      <c r="AD19" s="84"/>
      <c r="AE19" s="84"/>
      <c r="AF19" s="84"/>
      <c r="AG19" s="113" t="s">
        <v>1814</v>
      </c>
      <c r="AH19" s="84"/>
    </row>
    <row r="20" spans="1:34" s="87" customFormat="1" ht="109.2" customHeight="1" x14ac:dyDescent="0.25">
      <c r="A20" s="83">
        <v>35</v>
      </c>
      <c r="B20" s="118" t="str">
        <f t="shared" si="0"/>
        <v>37</v>
      </c>
      <c r="C20" s="84" t="s">
        <v>757</v>
      </c>
      <c r="D20" s="85" t="s">
        <v>1729</v>
      </c>
      <c r="E20" s="85" t="s">
        <v>168</v>
      </c>
      <c r="F20" s="97" t="str">
        <f t="shared" si="1"/>
        <v xml:space="preserve">Trần Thị Trung Đoan </v>
      </c>
      <c r="G20" s="100" t="str">
        <f t="shared" si="2"/>
        <v>22110130</v>
      </c>
      <c r="H20" s="100" t="str">
        <f>VLOOKUP(C20,'[1]DM Đề tài SV ký HĐ (thay đổi)'!$B$1:$Q$475,15,0)</f>
        <v>22110130@student.hcmute.edu.vn</v>
      </c>
      <c r="I20" s="107" t="str">
        <f>VLOOKUP(C20,'[1]DM Đề tài SV ký HĐ (thay đổi)'!$B$1:$Q$475,16,0)</f>
        <v>0905746661</v>
      </c>
      <c r="J20" s="97" t="str">
        <f>VLOOKUP(C20,'[2]DM Đề tài SV ký HĐ (thay đổi)'!$B$1:$I$475,8,0)</f>
        <v>Công nghệ Thông tin</v>
      </c>
      <c r="K20" s="85" t="s">
        <v>1119</v>
      </c>
      <c r="L20" s="85" t="s">
        <v>152</v>
      </c>
      <c r="M20" s="97" t="str">
        <f>VLOOKUP(C20,'[2]DM Đề tài SV ký HĐ (thay đổi)'!$B$1:$O$475,13,0)</f>
        <v>phuongttn@hcmute.edu.vn</v>
      </c>
      <c r="N20" s="97" t="str">
        <f>VLOOKUP(C20,'[2]DM Đề tài SV ký HĐ (thay đổi)'!$B$1:$M$475,12,0)</f>
        <v>Khoa CNTT</v>
      </c>
      <c r="O20" s="85" t="s">
        <v>1757</v>
      </c>
      <c r="P20" s="86">
        <v>10000000</v>
      </c>
      <c r="Q20" s="84" t="s">
        <v>1648</v>
      </c>
      <c r="R20" s="84"/>
      <c r="S20" s="84"/>
      <c r="T20" s="101">
        <v>2</v>
      </c>
      <c r="U20" s="101" t="s">
        <v>1787</v>
      </c>
      <c r="V20" s="83"/>
      <c r="W20" s="84"/>
      <c r="X20" s="84"/>
      <c r="Y20" s="84"/>
      <c r="Z20" s="84"/>
      <c r="AA20" s="84"/>
      <c r="AB20" s="84"/>
      <c r="AC20" s="84"/>
      <c r="AD20" s="84"/>
      <c r="AE20" s="84"/>
      <c r="AF20" s="84"/>
      <c r="AG20" s="114" t="s">
        <v>1813</v>
      </c>
      <c r="AH20" s="84"/>
    </row>
    <row r="21" spans="1:34" s="87" customFormat="1" ht="52.8" customHeight="1" x14ac:dyDescent="0.25">
      <c r="A21" s="83">
        <v>36</v>
      </c>
      <c r="B21" s="118" t="str">
        <f t="shared" si="0"/>
        <v>38</v>
      </c>
      <c r="C21" s="84" t="s">
        <v>758</v>
      </c>
      <c r="D21" s="84" t="s">
        <v>153</v>
      </c>
      <c r="E21" s="84" t="s">
        <v>169</v>
      </c>
      <c r="F21" s="97" t="str">
        <f t="shared" si="1"/>
        <v xml:space="preserve">Hồ Việt Anh </v>
      </c>
      <c r="G21" s="100" t="str">
        <f t="shared" si="2"/>
        <v>23133002</v>
      </c>
      <c r="H21" s="100" t="str">
        <f>VLOOKUP(C21,'[1]DM Đề tài SV ký HĐ (thay đổi)'!$B$1:$Q$475,15,0)</f>
        <v>23133002@student.hcmute.edu.vn</v>
      </c>
      <c r="I21" s="107" t="str">
        <f>VLOOKUP(C21,'[1]DM Đề tài SV ký HĐ (thay đổi)'!$B$1:$Q$475,16,0)</f>
        <v>094.900.0030</v>
      </c>
      <c r="J21" s="97" t="str">
        <f>VLOOKUP(C21,'[2]DM Đề tài SV ký HĐ (thay đổi)'!$B$1:$I$475,8,0)</f>
        <v>Công nghệ Thông tin</v>
      </c>
      <c r="K21" s="84" t="s">
        <v>1120</v>
      </c>
      <c r="L21" s="84" t="s">
        <v>154</v>
      </c>
      <c r="M21" s="97" t="str">
        <f>VLOOKUP(C21,'[2]DM Đề tài SV ký HĐ (thay đổi)'!$B$1:$O$475,13,0)</f>
        <v>hoangqd@hcmute.edu.vn</v>
      </c>
      <c r="N21" s="121" t="s">
        <v>1825</v>
      </c>
      <c r="O21" s="85" t="s">
        <v>1757</v>
      </c>
      <c r="P21" s="86">
        <v>10000000</v>
      </c>
      <c r="Q21" s="84" t="s">
        <v>1648</v>
      </c>
      <c r="R21" s="84"/>
      <c r="S21" s="84"/>
      <c r="T21" s="101">
        <v>2</v>
      </c>
      <c r="U21" s="101" t="s">
        <v>1787</v>
      </c>
      <c r="V21" s="83"/>
      <c r="W21" s="84"/>
      <c r="X21" s="84"/>
      <c r="Y21" s="84"/>
      <c r="Z21" s="84"/>
      <c r="AA21" s="84"/>
      <c r="AB21" s="84"/>
      <c r="AC21" s="84"/>
      <c r="AD21" s="84"/>
      <c r="AE21" s="84"/>
      <c r="AF21" s="84"/>
      <c r="AG21" s="114" t="s">
        <v>1813</v>
      </c>
      <c r="AH21" s="84"/>
    </row>
    <row r="22" spans="1:34" s="87" customFormat="1" ht="109.2" customHeight="1" x14ac:dyDescent="0.25">
      <c r="A22" s="83">
        <v>42</v>
      </c>
      <c r="B22" s="118" t="str">
        <f t="shared" si="0"/>
        <v>44</v>
      </c>
      <c r="C22" s="84" t="s">
        <v>759</v>
      </c>
      <c r="D22" s="84" t="s">
        <v>1564</v>
      </c>
      <c r="E22" s="84" t="s">
        <v>1098</v>
      </c>
      <c r="F22" s="97" t="str">
        <f t="shared" si="1"/>
        <v xml:space="preserve">Võ Thị Quỳnh Trâm </v>
      </c>
      <c r="G22" s="100" t="str">
        <f t="shared" si="2"/>
        <v>23109159</v>
      </c>
      <c r="H22" s="100" t="str">
        <f>VLOOKUP(C22,'[1]DM Đề tài SV ký HĐ (thay đổi)'!$B$1:$Q$475,15,0)</f>
        <v>23109159@student.hcmute.edu.vn</v>
      </c>
      <c r="I22" s="107" t="str">
        <f>VLOOKUP(C22,'[1]DM Đề tài SV ký HĐ (thay đổi)'!$B$1:$Q$475,16,0)</f>
        <v>0858382309</v>
      </c>
      <c r="J22" s="97" t="str">
        <f>VLOOKUP(C22,'[2]DM Đề tài SV ký HĐ (thay đổi)'!$B$1:$I$475,8,0)</f>
        <v>Thời trang và Du lịch</v>
      </c>
      <c r="K22" s="84" t="s">
        <v>1099</v>
      </c>
      <c r="L22" s="84" t="s">
        <v>721</v>
      </c>
      <c r="M22" s="97" t="str">
        <f>VLOOKUP(C22,'[2]DM Đề tài SV ký HĐ (thay đổi)'!$B$1:$O$475,13,0)</f>
        <v>nta@hcmute.edu.vn</v>
      </c>
      <c r="N22" s="97" t="str">
        <f>VLOOKUP(C22,'[2]DM Đề tài SV ký HĐ (thay đổi)'!$B$1:$M$475,12,0)</f>
        <v>Khoa Thời trang và Du lịch</v>
      </c>
      <c r="O22" s="88" t="s">
        <v>1488</v>
      </c>
      <c r="P22" s="89">
        <v>15000000</v>
      </c>
      <c r="Q22" s="85" t="s">
        <v>1649</v>
      </c>
      <c r="R22" s="85"/>
      <c r="S22" s="85"/>
      <c r="T22" s="101">
        <v>2</v>
      </c>
      <c r="U22" s="101" t="s">
        <v>1787</v>
      </c>
      <c r="V22" s="83"/>
      <c r="W22" s="84"/>
      <c r="X22" s="84"/>
      <c r="Y22" s="84"/>
      <c r="Z22" s="84"/>
      <c r="AA22" s="84"/>
      <c r="AB22" s="84"/>
      <c r="AC22" s="84"/>
      <c r="AD22" s="84"/>
      <c r="AE22" s="84"/>
      <c r="AF22" s="84"/>
      <c r="AG22" s="114" t="s">
        <v>1813</v>
      </c>
      <c r="AH22" s="84"/>
    </row>
    <row r="23" spans="1:34" s="87" customFormat="1" ht="109.2" customHeight="1" x14ac:dyDescent="0.25">
      <c r="A23" s="83">
        <v>43</v>
      </c>
      <c r="B23" s="118" t="str">
        <f t="shared" si="0"/>
        <v>45</v>
      </c>
      <c r="C23" s="84" t="s">
        <v>760</v>
      </c>
      <c r="D23" s="84" t="s">
        <v>155</v>
      </c>
      <c r="E23" s="84" t="s">
        <v>1100</v>
      </c>
      <c r="F23" s="97" t="str">
        <f t="shared" si="1"/>
        <v xml:space="preserve">Ngô Đặng Khánh Ly </v>
      </c>
      <c r="G23" s="100" t="str">
        <f t="shared" si="2"/>
        <v>24123035</v>
      </c>
      <c r="H23" s="100" t="str">
        <f>VLOOKUP(C23,'[1]DM Đề tài SV ký HĐ (thay đổi)'!$B$1:$Q$475,15,0)</f>
        <v>24123035@student.hcmute.edu.vn</v>
      </c>
      <c r="I23" s="107" t="str">
        <f>VLOOKUP(C23,'[1]DM Đề tài SV ký HĐ (thay đổi)'!$B$1:$Q$475,16,0)</f>
        <v>0334216492</v>
      </c>
      <c r="J23" s="97" t="str">
        <f>VLOOKUP(C23,'[2]DM Đề tài SV ký HĐ (thay đổi)'!$B$1:$I$475,8,0)</f>
        <v>Thời trang và Du lịch</v>
      </c>
      <c r="K23" s="84" t="s">
        <v>1101</v>
      </c>
      <c r="L23" s="84" t="s">
        <v>730</v>
      </c>
      <c r="M23" s="97" t="str">
        <f>VLOOKUP(C23,'[2]DM Đề tài SV ký HĐ (thay đổi)'!$B$1:$O$475,13,0)</f>
        <v>camtuspkt@hcmute.edu.vn</v>
      </c>
      <c r="N23" s="97" t="str">
        <f>VLOOKUP(C23,'[2]DM Đề tài SV ký HĐ (thay đổi)'!$B$1:$M$475,12,0)</f>
        <v>Khoa Thời trang và Du lịch</v>
      </c>
      <c r="O23" s="88" t="s">
        <v>1487</v>
      </c>
      <c r="P23" s="89">
        <v>15000000</v>
      </c>
      <c r="Q23" s="85" t="s">
        <v>1649</v>
      </c>
      <c r="R23" s="85"/>
      <c r="S23" s="85"/>
      <c r="T23" s="103">
        <v>2</v>
      </c>
      <c r="U23" s="103" t="s">
        <v>1787</v>
      </c>
      <c r="V23" s="83"/>
      <c r="W23" s="84"/>
      <c r="X23" s="84"/>
      <c r="Y23" s="84"/>
      <c r="Z23" s="84"/>
      <c r="AA23" s="84"/>
      <c r="AB23" s="84"/>
      <c r="AC23" s="84"/>
      <c r="AD23" s="84"/>
      <c r="AE23" s="84"/>
      <c r="AF23" s="84"/>
      <c r="AG23" s="114" t="s">
        <v>1813</v>
      </c>
      <c r="AH23" s="84"/>
    </row>
    <row r="24" spans="1:34" s="87" customFormat="1" ht="109.2" customHeight="1" x14ac:dyDescent="0.25">
      <c r="A24" s="83">
        <v>44</v>
      </c>
      <c r="B24" s="83" t="str">
        <f t="shared" si="0"/>
        <v>46</v>
      </c>
      <c r="C24" s="84" t="s">
        <v>761</v>
      </c>
      <c r="D24" s="84" t="s">
        <v>156</v>
      </c>
      <c r="E24" s="84" t="s">
        <v>1102</v>
      </c>
      <c r="F24" s="97" t="str">
        <f t="shared" si="1"/>
        <v xml:space="preserve">Võ Đăng Khoa </v>
      </c>
      <c r="G24" s="100" t="str">
        <f t="shared" si="2"/>
        <v>24123028</v>
      </c>
      <c r="H24" s="100" t="str">
        <f>VLOOKUP(C24,'[1]DM Đề tài SV ký HĐ (thay đổi)'!$B$1:$Q$475,15,0)</f>
        <v>24123028@student.hcmute.edu.vn</v>
      </c>
      <c r="I24" s="107" t="str">
        <f>VLOOKUP(C24,'[1]DM Đề tài SV ký HĐ (thay đổi)'!$B$1:$Q$475,16,0)</f>
        <v>0838450992</v>
      </c>
      <c r="J24" s="97" t="str">
        <f>VLOOKUP(C24,'[2]DM Đề tài SV ký HĐ (thay đổi)'!$B$1:$I$475,8,0)</f>
        <v>Thời trang và Du lịch</v>
      </c>
      <c r="K24" s="84" t="s">
        <v>1730</v>
      </c>
      <c r="L24" s="84" t="s">
        <v>730</v>
      </c>
      <c r="M24" s="97" t="str">
        <f>VLOOKUP(C24,'[2]DM Đề tài SV ký HĐ (thay đổi)'!$B$1:$O$475,13,0)</f>
        <v>camtuspkt@hcmute.edu.vn</v>
      </c>
      <c r="N24" s="97" t="str">
        <f>VLOOKUP(C24,'[2]DM Đề tài SV ký HĐ (thay đổi)'!$B$1:$M$475,12,0)</f>
        <v>Khoa Thời trang và Du lịch</v>
      </c>
      <c r="O24" s="88" t="s">
        <v>1487</v>
      </c>
      <c r="P24" s="89">
        <v>15000000</v>
      </c>
      <c r="Q24" s="85" t="s">
        <v>1649</v>
      </c>
      <c r="R24" s="85"/>
      <c r="S24" s="85"/>
      <c r="T24" s="105" t="s">
        <v>1827</v>
      </c>
      <c r="U24" s="103"/>
      <c r="V24" s="83"/>
      <c r="W24" s="84"/>
      <c r="X24" s="84"/>
      <c r="Y24" s="84"/>
      <c r="Z24" s="84"/>
      <c r="AA24" s="84"/>
      <c r="AB24" s="84"/>
      <c r="AC24" s="84"/>
      <c r="AD24" s="84"/>
      <c r="AE24" s="84"/>
      <c r="AF24" s="84"/>
      <c r="AG24" s="85"/>
      <c r="AH24" s="96" t="s">
        <v>1818</v>
      </c>
    </row>
    <row r="25" spans="1:34" s="87" customFormat="1" ht="109.2" customHeight="1" x14ac:dyDescent="0.25">
      <c r="A25" s="83">
        <v>45</v>
      </c>
      <c r="B25" s="83" t="str">
        <f t="shared" si="0"/>
        <v>47</v>
      </c>
      <c r="C25" s="84" t="s">
        <v>762</v>
      </c>
      <c r="D25" s="84" t="s">
        <v>1103</v>
      </c>
      <c r="E25" s="84" t="s">
        <v>1108</v>
      </c>
      <c r="F25" s="97" t="str">
        <f t="shared" si="1"/>
        <v xml:space="preserve">Phòng Ngọc Anh Thư </v>
      </c>
      <c r="G25" s="100" t="str">
        <f t="shared" si="2"/>
        <v>24164044</v>
      </c>
      <c r="H25" s="100" t="str">
        <f>VLOOKUP(C25,'[1]DM Đề tài SV ký HĐ (thay đổi)'!$B$1:$Q$475,15,0)</f>
        <v>thuphong1003@gmail.com</v>
      </c>
      <c r="I25" s="107" t="str">
        <f>VLOOKUP(C25,'[1]DM Đề tài SV ký HĐ (thay đổi)'!$B$1:$Q$475,16,0)</f>
        <v>0788701319</v>
      </c>
      <c r="J25" s="97" t="str">
        <f>VLOOKUP(C25,'[2]DM Đề tài SV ký HĐ (thay đổi)'!$B$1:$I$475,8,0)</f>
        <v>Viện Sư phạm Kỹ thuật</v>
      </c>
      <c r="K25" s="84"/>
      <c r="L25" s="84" t="s">
        <v>705</v>
      </c>
      <c r="M25" s="97" t="str">
        <f>VLOOKUP(C25,'[2]DM Đề tài SV ký HĐ (thay đổi)'!$B$1:$O$475,13,0)</f>
        <v xml:space="preserve">hoanganh@hcmute.edu.vn </v>
      </c>
      <c r="N25" s="97" t="str">
        <f>VLOOKUP(C25,'[2]DM Đề tài SV ký HĐ (thay đổi)'!$B$1:$M$475,12,0)</f>
        <v>Viện SPKT</v>
      </c>
      <c r="O25" s="84" t="s">
        <v>1758</v>
      </c>
      <c r="P25" s="90">
        <v>5000000</v>
      </c>
      <c r="Q25" s="84" t="s">
        <v>1647</v>
      </c>
      <c r="R25" s="84"/>
      <c r="S25" s="84"/>
      <c r="T25" s="101" t="s">
        <v>1828</v>
      </c>
      <c r="U25" s="106" t="s">
        <v>1827</v>
      </c>
      <c r="V25" s="83"/>
      <c r="W25" s="84"/>
      <c r="X25" s="84"/>
      <c r="Y25" s="84"/>
      <c r="Z25" s="84"/>
      <c r="AA25" s="84"/>
      <c r="AB25" s="84"/>
      <c r="AC25" s="84"/>
      <c r="AD25" s="84"/>
      <c r="AE25" s="84"/>
      <c r="AF25" s="84"/>
      <c r="AG25" s="85"/>
      <c r="AH25" s="96" t="s">
        <v>1818</v>
      </c>
    </row>
    <row r="26" spans="1:34" s="87" customFormat="1" ht="109.2" customHeight="1" x14ac:dyDescent="0.25">
      <c r="A26" s="83">
        <v>46</v>
      </c>
      <c r="B26" s="118" t="str">
        <f t="shared" si="0"/>
        <v>48</v>
      </c>
      <c r="C26" s="84" t="s">
        <v>763</v>
      </c>
      <c r="D26" s="84" t="s">
        <v>1104</v>
      </c>
      <c r="E26" s="84" t="s">
        <v>1109</v>
      </c>
      <c r="F26" s="97" t="str">
        <f t="shared" si="1"/>
        <v xml:space="preserve">Huỳnh Ngọc Gia Hân </v>
      </c>
      <c r="G26" s="100" t="str">
        <f t="shared" si="2"/>
        <v>24164014</v>
      </c>
      <c r="H26" s="100" t="str">
        <f>VLOOKUP(C26,'[1]DM Đề tài SV ký HĐ (thay đổi)'!$B$1:$Q$475,15,0)</f>
        <v>24164014@student.hcmute.edu.vn</v>
      </c>
      <c r="I26" s="107" t="str">
        <f>VLOOKUP(C26,'[1]DM Đề tài SV ký HĐ (thay đổi)'!$B$1:$Q$475,16,0)</f>
        <v>0817945068</v>
      </c>
      <c r="J26" s="97" t="str">
        <f>VLOOKUP(C26,'[2]DM Đề tài SV ký HĐ (thay đổi)'!$B$1:$I$475,8,0)</f>
        <v>Viện Sư phạm Kỹ thuật</v>
      </c>
      <c r="K26" s="84" t="s">
        <v>1110</v>
      </c>
      <c r="L26" s="84" t="s">
        <v>700</v>
      </c>
      <c r="M26" s="97" t="str">
        <f>VLOOKUP(C26,'[2]DM Đề tài SV ký HĐ (thay đổi)'!$B$1:$O$475,13,0)</f>
        <v>chidp@hcmute.edu.vn</v>
      </c>
      <c r="N26" s="97" t="str">
        <f>VLOOKUP(C26,'[2]DM Đề tài SV ký HĐ (thay đổi)'!$B$1:$M$475,12,0)</f>
        <v>Viện SPKT</v>
      </c>
      <c r="O26" s="84" t="s">
        <v>1759</v>
      </c>
      <c r="P26" s="90">
        <v>5000000</v>
      </c>
      <c r="Q26" s="84" t="s">
        <v>1647</v>
      </c>
      <c r="R26" s="84"/>
      <c r="S26" s="84"/>
      <c r="T26" s="101">
        <v>2</v>
      </c>
      <c r="U26" s="101" t="s">
        <v>1787</v>
      </c>
      <c r="V26" s="83"/>
      <c r="W26" s="84"/>
      <c r="X26" s="84"/>
      <c r="Y26" s="84"/>
      <c r="Z26" s="84"/>
      <c r="AA26" s="84"/>
      <c r="AB26" s="84"/>
      <c r="AC26" s="84"/>
      <c r="AD26" s="84"/>
      <c r="AE26" s="84"/>
      <c r="AF26" s="84"/>
      <c r="AG26" s="113" t="s">
        <v>1814</v>
      </c>
      <c r="AH26" s="84"/>
    </row>
    <row r="27" spans="1:34" s="87" customFormat="1" ht="109.2" customHeight="1" x14ac:dyDescent="0.25">
      <c r="A27" s="83">
        <v>47</v>
      </c>
      <c r="B27" s="118" t="str">
        <f t="shared" si="0"/>
        <v>49</v>
      </c>
      <c r="C27" s="84" t="s">
        <v>764</v>
      </c>
      <c r="D27" s="84" t="s">
        <v>1105</v>
      </c>
      <c r="E27" s="84" t="s">
        <v>1111</v>
      </c>
      <c r="F27" s="97" t="str">
        <f t="shared" si="1"/>
        <v xml:space="preserve">Vũ Ngọc Minh Châu </v>
      </c>
      <c r="G27" s="100" t="str">
        <f t="shared" si="2"/>
        <v>24164007</v>
      </c>
      <c r="H27" s="100" t="str">
        <f>VLOOKUP(C27,'[1]DM Đề tài SV ký HĐ (thay đổi)'!$B$1:$Q$475,15,0)</f>
        <v>24164007@student.hcmute.edu.vn</v>
      </c>
      <c r="I27" s="107" t="str">
        <f>VLOOKUP(C27,'[1]DM Đề tài SV ký HĐ (thay đổi)'!$B$1:$Q$475,16,0)</f>
        <v>0965246640</v>
      </c>
      <c r="J27" s="97" t="str">
        <f>VLOOKUP(C27,'[2]DM Đề tài SV ký HĐ (thay đổi)'!$B$1:$I$475,8,0)</f>
        <v>Viện Sư phạm Kỹ thuật</v>
      </c>
      <c r="K27" s="84" t="s">
        <v>170</v>
      </c>
      <c r="L27" s="84" t="s">
        <v>702</v>
      </c>
      <c r="M27" s="97" t="str">
        <f>VLOOKUP(C27,'[2]DM Đề tài SV ký HĐ (thay đổi)'!$B$1:$O$475,13,0)</f>
        <v xml:space="preserve">mytrang@hcmute.edu.vn </v>
      </c>
      <c r="N27" s="97" t="str">
        <f>VLOOKUP(C27,'[2]DM Đề tài SV ký HĐ (thay đổi)'!$B$1:$M$475,12,0)</f>
        <v>Viện SPKT</v>
      </c>
      <c r="O27" s="84" t="s">
        <v>1760</v>
      </c>
      <c r="P27" s="90">
        <v>5000000</v>
      </c>
      <c r="Q27" s="84" t="s">
        <v>1647</v>
      </c>
      <c r="R27" s="84"/>
      <c r="S27" s="84"/>
      <c r="T27" s="105"/>
      <c r="U27" s="103" t="s">
        <v>1787</v>
      </c>
      <c r="V27" s="83"/>
      <c r="W27" s="84"/>
      <c r="X27" s="84"/>
      <c r="Y27" s="84"/>
      <c r="Z27" s="84"/>
      <c r="AA27" s="84"/>
      <c r="AB27" s="84"/>
      <c r="AC27" s="84"/>
      <c r="AD27" s="84"/>
      <c r="AE27" s="84"/>
      <c r="AF27" s="84"/>
      <c r="AG27" s="113" t="s">
        <v>1814</v>
      </c>
      <c r="AH27" s="84"/>
    </row>
    <row r="28" spans="1:34" s="87" customFormat="1" ht="109.2" customHeight="1" x14ac:dyDescent="0.25">
      <c r="A28" s="83">
        <v>48</v>
      </c>
      <c r="B28" s="118" t="str">
        <f t="shared" si="0"/>
        <v>50</v>
      </c>
      <c r="C28" s="84" t="s">
        <v>765</v>
      </c>
      <c r="D28" s="84" t="s">
        <v>1106</v>
      </c>
      <c r="E28" s="84" t="s">
        <v>1112</v>
      </c>
      <c r="F28" s="97" t="str">
        <f t="shared" si="1"/>
        <v xml:space="preserve">Huỳnh Thị Kim Tiến </v>
      </c>
      <c r="G28" s="100" t="str">
        <f t="shared" si="2"/>
        <v>24951018</v>
      </c>
      <c r="H28" s="100" t="str">
        <f>VLOOKUP(C28,'[1]DM Đề tài SV ký HĐ (thay đổi)'!$B$1:$Q$475,15,0)</f>
        <v xml:space="preserve">24951018@student.hcmute.edu.vn
</v>
      </c>
      <c r="I28" s="107" t="str">
        <f>VLOOKUP(C28,'[1]DM Đề tài SV ký HĐ (thay đổi)'!$B$1:$Q$475,16,0)</f>
        <v>0704 46 3394</v>
      </c>
      <c r="J28" s="97" t="str">
        <f>VLOOKUP(C28,'[2]DM Đề tài SV ký HĐ (thay đổi)'!$B$1:$I$475,8,0)</f>
        <v>Viện Sư phạm Kỹ thuật</v>
      </c>
      <c r="K28" s="84" t="s">
        <v>1107</v>
      </c>
      <c r="L28" s="84" t="s">
        <v>699</v>
      </c>
      <c r="M28" s="97" t="str">
        <f>VLOOKUP(C28,'[2]DM Đề tài SV ký HĐ (thay đổi)'!$B$1:$O$475,13,0)</f>
        <v xml:space="preserve">hiendtd@hcmute.edu.vn </v>
      </c>
      <c r="N28" s="97" t="str">
        <f>VLOOKUP(C28,'[2]DM Đề tài SV ký HĐ (thay đổi)'!$B$1:$M$475,12,0)</f>
        <v>Viện SPKT</v>
      </c>
      <c r="O28" s="84" t="s">
        <v>1761</v>
      </c>
      <c r="P28" s="91">
        <v>15000000</v>
      </c>
      <c r="Q28" s="85" t="s">
        <v>1649</v>
      </c>
      <c r="R28" s="85"/>
      <c r="S28" s="85"/>
      <c r="T28" s="103">
        <v>2</v>
      </c>
      <c r="U28" s="103" t="s">
        <v>1787</v>
      </c>
      <c r="V28" s="83"/>
      <c r="W28" s="84"/>
      <c r="X28" s="84"/>
      <c r="Y28" s="84"/>
      <c r="Z28" s="84"/>
      <c r="AA28" s="84"/>
      <c r="AB28" s="84"/>
      <c r="AC28" s="84"/>
      <c r="AD28" s="84"/>
      <c r="AE28" s="84"/>
      <c r="AF28" s="84"/>
      <c r="AG28" s="113" t="s">
        <v>1814</v>
      </c>
      <c r="AH28" s="84"/>
    </row>
    <row r="29" spans="1:34" s="87" customFormat="1" ht="109.2" customHeight="1" x14ac:dyDescent="0.25">
      <c r="A29" s="83">
        <v>49</v>
      </c>
      <c r="B29" s="118" t="str">
        <f t="shared" si="0"/>
        <v>51</v>
      </c>
      <c r="C29" s="84" t="s">
        <v>766</v>
      </c>
      <c r="D29" s="84" t="s">
        <v>171</v>
      </c>
      <c r="E29" s="84" t="s">
        <v>1133</v>
      </c>
      <c r="F29" s="97" t="str">
        <f t="shared" si="1"/>
        <v xml:space="preserve">Hồ Ngọc Như Ý </v>
      </c>
      <c r="G29" s="100" t="str">
        <f t="shared" si="2"/>
        <v>23156075</v>
      </c>
      <c r="H29" s="100" t="str">
        <f>VLOOKUP(C29,'[1]DM Đề tài SV ký HĐ (thay đổi)'!$B$1:$Q$475,15,0)</f>
        <v xml:space="preserve">23156075@student.hcmute.edu.vn  </v>
      </c>
      <c r="I29" s="107" t="str">
        <f>VLOOKUP(C29,'[1]DM Đề tài SV ký HĐ (thay đổi)'!$B$1:$Q$475,16,0)</f>
        <v xml:space="preserve"> 0355 666 772</v>
      </c>
      <c r="J29" s="97" t="str">
        <f>VLOOKUP(C29,'[2]DM Đề tài SV ký HĐ (thay đổi)'!$B$1:$I$475,8,0)</f>
        <v>In - Truyền thông</v>
      </c>
      <c r="K29" s="84"/>
      <c r="L29" s="84" t="s">
        <v>172</v>
      </c>
      <c r="M29" s="97" t="str">
        <f>VLOOKUP(C29,'[2]DM Đề tài SV ký HĐ (thay đổi)'!$B$1:$O$475,13,0)</f>
        <v>chauntn@hcmute.edu.vn</v>
      </c>
      <c r="N29" s="97" t="str">
        <f>VLOOKUP(C29,'[2]DM Đề tài SV ký HĐ (thay đổi)'!$B$1:$M$475,12,0)</f>
        <v>Khoa In và Truyền thông</v>
      </c>
      <c r="O29" s="84" t="s">
        <v>1733</v>
      </c>
      <c r="P29" s="90">
        <v>10000000</v>
      </c>
      <c r="Q29" s="84" t="s">
        <v>1648</v>
      </c>
      <c r="R29" s="84"/>
      <c r="S29" s="84"/>
      <c r="T29" s="103">
        <v>2</v>
      </c>
      <c r="U29" s="103" t="s">
        <v>1787</v>
      </c>
      <c r="V29" s="83"/>
      <c r="W29" s="84"/>
      <c r="X29" s="84"/>
      <c r="Y29" s="84"/>
      <c r="Z29" s="84"/>
      <c r="AA29" s="84"/>
      <c r="AB29" s="84"/>
      <c r="AC29" s="84"/>
      <c r="AD29" s="84"/>
      <c r="AE29" s="84"/>
      <c r="AF29" s="84"/>
      <c r="AG29" s="114" t="s">
        <v>1813</v>
      </c>
      <c r="AH29" s="84"/>
    </row>
    <row r="30" spans="1:34" s="87" customFormat="1" ht="109.2" customHeight="1" x14ac:dyDescent="0.25">
      <c r="A30" s="83">
        <v>50</v>
      </c>
      <c r="B30" s="118" t="str">
        <f t="shared" si="0"/>
        <v>52</v>
      </c>
      <c r="C30" s="84" t="s">
        <v>767</v>
      </c>
      <c r="D30" s="84" t="s">
        <v>19</v>
      </c>
      <c r="E30" s="84" t="s">
        <v>1126</v>
      </c>
      <c r="F30" s="97" t="str">
        <f t="shared" si="1"/>
        <v xml:space="preserve">Đoàn Lê Trung Hậu </v>
      </c>
      <c r="G30" s="100" t="str">
        <f t="shared" si="2"/>
        <v>23130015</v>
      </c>
      <c r="H30" s="100" t="str">
        <f>VLOOKUP(C30,'[1]DM Đề tài SV ký HĐ (thay đổi)'!$B$1:$Q$475,15,0)</f>
        <v>23130015@student.hcmute.edu.vn</v>
      </c>
      <c r="I30" s="107" t="str">
        <f>VLOOKUP(C30,'[1]DM Đề tài SV ký HĐ (thay đổi)'!$B$1:$Q$475,16,0)</f>
        <v>0981099392</v>
      </c>
      <c r="J30" s="97" t="str">
        <f>VLOOKUP(C30,'[2]DM Đề tài SV ký HĐ (thay đổi)'!$B$1:$I$475,8,0)</f>
        <v>Khoa học ứng dụng</v>
      </c>
      <c r="K30" s="84" t="s">
        <v>21</v>
      </c>
      <c r="L30" s="84" t="s">
        <v>701</v>
      </c>
      <c r="M30" s="97" t="str">
        <f>VLOOKUP(C30,'[2]DM Đề tài SV ký HĐ (thay đổi)'!$B$1:$O$475,13,0)</f>
        <v>binhdh@hcmute.edu.vn</v>
      </c>
      <c r="N30" s="97" t="str">
        <f>VLOOKUP(C30,'[2]DM Đề tài SV ký HĐ (thay đổi)'!$B$1:$M$475,12,0)</f>
        <v>Khoa Khoa học ứng dụng</v>
      </c>
      <c r="O30" s="84" t="s">
        <v>25</v>
      </c>
      <c r="P30" s="86">
        <v>15000000</v>
      </c>
      <c r="Q30" s="85" t="s">
        <v>1649</v>
      </c>
      <c r="R30" s="85"/>
      <c r="S30" s="85"/>
      <c r="T30" s="101">
        <v>2</v>
      </c>
      <c r="U30" s="101" t="s">
        <v>1787</v>
      </c>
      <c r="V30" s="83"/>
      <c r="W30" s="84"/>
      <c r="X30" s="84"/>
      <c r="Y30" s="84"/>
      <c r="Z30" s="84"/>
      <c r="AA30" s="84"/>
      <c r="AB30" s="84"/>
      <c r="AC30" s="84"/>
      <c r="AD30" s="84"/>
      <c r="AE30" s="84"/>
      <c r="AF30" s="84"/>
      <c r="AG30" s="114" t="s">
        <v>1813</v>
      </c>
      <c r="AH30" s="84"/>
    </row>
    <row r="31" spans="1:34" s="87" customFormat="1" ht="109.2" customHeight="1" x14ac:dyDescent="0.25">
      <c r="A31" s="83">
        <v>51</v>
      </c>
      <c r="B31" s="118" t="str">
        <f t="shared" si="0"/>
        <v>53</v>
      </c>
      <c r="C31" s="84" t="s">
        <v>768</v>
      </c>
      <c r="D31" s="84" t="s">
        <v>26</v>
      </c>
      <c r="E31" s="84" t="s">
        <v>1127</v>
      </c>
      <c r="F31" s="97" t="str">
        <f t="shared" si="1"/>
        <v xml:space="preserve">Phạm Quang Đạt </v>
      </c>
      <c r="G31" s="100" t="str">
        <f t="shared" si="2"/>
        <v>22130006</v>
      </c>
      <c r="H31" s="100" t="str">
        <f>VLOOKUP(C31,'[1]DM Đề tài SV ký HĐ (thay đổi)'!$B$1:$Q$475,15,0)</f>
        <v>22130006@student.hcmute.edu.vn</v>
      </c>
      <c r="I31" s="107" t="str">
        <f>VLOOKUP(C31,'[1]DM Đề tài SV ký HĐ (thay đổi)'!$B$1:$Q$475,16,0)</f>
        <v>0345697860</v>
      </c>
      <c r="J31" s="97" t="str">
        <f>VLOOKUP(C31,'[2]DM Đề tài SV ký HĐ (thay đổi)'!$B$1:$I$475,8,0)</f>
        <v>Khoa học ứng dụng</v>
      </c>
      <c r="K31" s="84" t="s">
        <v>28</v>
      </c>
      <c r="L31" s="84" t="s">
        <v>701</v>
      </c>
      <c r="M31" s="97" t="str">
        <f>VLOOKUP(C31,'[2]DM Đề tài SV ký HĐ (thay đổi)'!$B$1:$O$475,13,0)</f>
        <v>binhdh@hcmute.edu.vn</v>
      </c>
      <c r="N31" s="97" t="str">
        <f>VLOOKUP(C31,'[2]DM Đề tài SV ký HĐ (thay đổi)'!$B$1:$M$475,12,0)</f>
        <v>Khoa Khoa học ứng dụng</v>
      </c>
      <c r="O31" s="84" t="s">
        <v>25</v>
      </c>
      <c r="P31" s="86">
        <v>15000000</v>
      </c>
      <c r="Q31" s="85" t="s">
        <v>1649</v>
      </c>
      <c r="R31" s="85"/>
      <c r="S31" s="85"/>
      <c r="T31" s="101">
        <v>2</v>
      </c>
      <c r="U31" s="101" t="s">
        <v>1787</v>
      </c>
      <c r="V31" s="83"/>
      <c r="W31" s="84"/>
      <c r="X31" s="84"/>
      <c r="Y31" s="84"/>
      <c r="Z31" s="84"/>
      <c r="AA31" s="84"/>
      <c r="AB31" s="84"/>
      <c r="AC31" s="84"/>
      <c r="AD31" s="84"/>
      <c r="AE31" s="84"/>
      <c r="AF31" s="84"/>
      <c r="AG31" s="114" t="s">
        <v>1813</v>
      </c>
      <c r="AH31" s="84"/>
    </row>
    <row r="32" spans="1:34" s="87" customFormat="1" ht="109.2" customHeight="1" x14ac:dyDescent="0.25">
      <c r="A32" s="83">
        <v>53</v>
      </c>
      <c r="B32" s="118" t="str">
        <f t="shared" si="0"/>
        <v>55</v>
      </c>
      <c r="C32" s="84" t="s">
        <v>769</v>
      </c>
      <c r="D32" s="84" t="s">
        <v>36</v>
      </c>
      <c r="E32" s="84" t="s">
        <v>1128</v>
      </c>
      <c r="F32" s="97" t="str">
        <f t="shared" si="1"/>
        <v xml:space="preserve">Trương Văn Phước </v>
      </c>
      <c r="G32" s="100" t="str">
        <f t="shared" si="2"/>
        <v>23130040</v>
      </c>
      <c r="H32" s="100" t="str">
        <f>VLOOKUP(C32,'[1]DM Đề tài SV ký HĐ (thay đổi)'!$B$1:$Q$475,15,0)</f>
        <v>23130040@student.hcmute.edu.vn</v>
      </c>
      <c r="I32" s="107">
        <f>VLOOKUP(C32,'[1]DM Đề tài SV ký HĐ (thay đổi)'!$B$1:$Q$475,16,0)</f>
        <v>762958950</v>
      </c>
      <c r="J32" s="97" t="str">
        <f>VLOOKUP(C32,'[2]DM Đề tài SV ký HĐ (thay đổi)'!$B$1:$I$475,8,0)</f>
        <v>Khoa học ứng dụng</v>
      </c>
      <c r="K32" s="84" t="s">
        <v>1658</v>
      </c>
      <c r="L32" s="84" t="s">
        <v>719</v>
      </c>
      <c r="M32" s="97" t="str">
        <f>VLOOKUP(C32,'[2]DM Đề tài SV ký HĐ (thay đổi)'!$B$1:$O$475,13,0)</f>
        <v>thuyntn@hcmute.edu.vn</v>
      </c>
      <c r="N32" s="97" t="str">
        <f>VLOOKUP(C32,'[2]DM Đề tài SV ký HĐ (thay đổi)'!$B$1:$M$475,12,0)</f>
        <v>Khoa Khoa học ứng dụng</v>
      </c>
      <c r="O32" s="84" t="s">
        <v>1489</v>
      </c>
      <c r="P32" s="86">
        <v>15000000</v>
      </c>
      <c r="Q32" s="85" t="s">
        <v>1649</v>
      </c>
      <c r="R32" s="85"/>
      <c r="S32" s="85"/>
      <c r="T32" s="101">
        <v>2</v>
      </c>
      <c r="U32" s="101" t="s">
        <v>1787</v>
      </c>
      <c r="V32" s="83"/>
      <c r="W32" s="84"/>
      <c r="X32" s="84"/>
      <c r="Y32" s="84"/>
      <c r="Z32" s="84"/>
      <c r="AA32" s="84"/>
      <c r="AB32" s="84"/>
      <c r="AC32" s="84"/>
      <c r="AD32" s="84"/>
      <c r="AE32" s="84"/>
      <c r="AF32" s="84"/>
      <c r="AG32" s="114" t="s">
        <v>1813</v>
      </c>
      <c r="AH32" s="84"/>
    </row>
    <row r="33" spans="1:34" s="87" customFormat="1" ht="109.2" customHeight="1" x14ac:dyDescent="0.25">
      <c r="A33" s="83">
        <v>54</v>
      </c>
      <c r="B33" s="118" t="str">
        <f t="shared" si="0"/>
        <v>56</v>
      </c>
      <c r="C33" s="84" t="s">
        <v>770</v>
      </c>
      <c r="D33" s="84" t="s">
        <v>42</v>
      </c>
      <c r="E33" s="84" t="s">
        <v>1129</v>
      </c>
      <c r="F33" s="97" t="str">
        <f t="shared" si="1"/>
        <v xml:space="preserve">Hoàng Nguyễn Quỳnh Anh </v>
      </c>
      <c r="G33" s="100" t="str">
        <f t="shared" si="2"/>
        <v>22130001</v>
      </c>
      <c r="H33" s="100" t="str">
        <f>VLOOKUP(C33,'[1]DM Đề tài SV ký HĐ (thay đổi)'!$B$1:$Q$475,15,0)</f>
        <v>22130001@student.hcmute.edu.vn</v>
      </c>
      <c r="I33" s="107" t="str">
        <f>VLOOKUP(C33,'[1]DM Đề tài SV ký HĐ (thay đổi)'!$B$1:$Q$475,16,0)</f>
        <v>0375427241</v>
      </c>
      <c r="J33" s="97" t="str">
        <f>VLOOKUP(C33,'[2]DM Đề tài SV ký HĐ (thay đổi)'!$B$1:$I$475,8,0)</f>
        <v>Khoa học ứng dụng</v>
      </c>
      <c r="K33" s="84" t="s">
        <v>44</v>
      </c>
      <c r="L33" s="84" t="s">
        <v>701</v>
      </c>
      <c r="M33" s="97" t="str">
        <f>VLOOKUP(C33,'[2]DM Đề tài SV ký HĐ (thay đổi)'!$B$1:$O$475,13,0)</f>
        <v>binhdh@hcmute.edu.vn</v>
      </c>
      <c r="N33" s="97" t="str">
        <f>VLOOKUP(C33,'[2]DM Đề tài SV ký HĐ (thay đổi)'!$B$1:$M$475,12,0)</f>
        <v>Khoa Khoa học ứng dụng</v>
      </c>
      <c r="O33" s="84" t="s">
        <v>25</v>
      </c>
      <c r="P33" s="86">
        <v>15000000</v>
      </c>
      <c r="Q33" s="85" t="s">
        <v>1649</v>
      </c>
      <c r="R33" s="85"/>
      <c r="S33" s="85"/>
      <c r="T33" s="101">
        <v>2</v>
      </c>
      <c r="U33" s="101" t="s">
        <v>1787</v>
      </c>
      <c r="V33" s="83"/>
      <c r="W33" s="84"/>
      <c r="X33" s="84"/>
      <c r="Y33" s="84"/>
      <c r="Z33" s="84"/>
      <c r="AA33" s="84"/>
      <c r="AB33" s="84"/>
      <c r="AC33" s="84"/>
      <c r="AD33" s="84"/>
      <c r="AE33" s="84"/>
      <c r="AF33" s="84"/>
      <c r="AG33" s="114" t="s">
        <v>1813</v>
      </c>
      <c r="AH33" s="84"/>
    </row>
    <row r="34" spans="1:34" s="87" customFormat="1" ht="109.2" customHeight="1" x14ac:dyDescent="0.25">
      <c r="A34" s="83">
        <v>55</v>
      </c>
      <c r="B34" s="118" t="str">
        <f t="shared" si="0"/>
        <v>57</v>
      </c>
      <c r="C34" s="84" t="s">
        <v>771</v>
      </c>
      <c r="D34" s="84" t="s">
        <v>46</v>
      </c>
      <c r="E34" s="84" t="s">
        <v>1130</v>
      </c>
      <c r="F34" s="97" t="str">
        <f t="shared" si="1"/>
        <v xml:space="preserve">Nguyễn Thị Thanh Thảo </v>
      </c>
      <c r="G34" s="100" t="str">
        <f t="shared" si="2"/>
        <v>22130022</v>
      </c>
      <c r="H34" s="100" t="str">
        <f>VLOOKUP(C34,'[1]DM Đề tài SV ký HĐ (thay đổi)'!$B$1:$Q$475,15,0)</f>
        <v>22130022@student.hcmute.edu.vn</v>
      </c>
      <c r="I34" s="107" t="str">
        <f>VLOOKUP(C34,'[1]DM Đề tài SV ký HĐ (thay đổi)'!$B$1:$Q$475,16,0)</f>
        <v>0347283072</v>
      </c>
      <c r="J34" s="97" t="str">
        <f>VLOOKUP(C34,'[2]DM Đề tài SV ký HĐ (thay đổi)'!$B$1:$I$475,8,0)</f>
        <v>Khoa học ứng dụng</v>
      </c>
      <c r="K34" s="84" t="s">
        <v>1132</v>
      </c>
      <c r="L34" s="84" t="s">
        <v>701</v>
      </c>
      <c r="M34" s="97" t="str">
        <f>VLOOKUP(C34,'[2]DM Đề tài SV ký HĐ (thay đổi)'!$B$1:$O$475,13,0)</f>
        <v>binhdh@hcmute.edu.vn</v>
      </c>
      <c r="N34" s="97" t="str">
        <f>VLOOKUP(C34,'[2]DM Đề tài SV ký HĐ (thay đổi)'!$B$1:$M$475,12,0)</f>
        <v>Khoa Khoa học ứng dụng</v>
      </c>
      <c r="O34" s="84" t="s">
        <v>25</v>
      </c>
      <c r="P34" s="86">
        <v>15000000</v>
      </c>
      <c r="Q34" s="85" t="s">
        <v>1649</v>
      </c>
      <c r="R34" s="85"/>
      <c r="S34" s="85"/>
      <c r="T34" s="101">
        <v>2</v>
      </c>
      <c r="U34" s="101" t="s">
        <v>1787</v>
      </c>
      <c r="V34" s="83"/>
      <c r="W34" s="84"/>
      <c r="X34" s="84"/>
      <c r="Y34" s="84"/>
      <c r="Z34" s="84"/>
      <c r="AA34" s="84"/>
      <c r="AB34" s="84"/>
      <c r="AC34" s="84"/>
      <c r="AD34" s="84"/>
      <c r="AE34" s="84"/>
      <c r="AF34" s="84"/>
      <c r="AG34" s="114" t="s">
        <v>1813</v>
      </c>
      <c r="AH34" s="84"/>
    </row>
    <row r="35" spans="1:34" s="87" customFormat="1" ht="109.2" customHeight="1" x14ac:dyDescent="0.25">
      <c r="A35" s="83">
        <v>56</v>
      </c>
      <c r="B35" s="118" t="str">
        <f t="shared" si="0"/>
        <v>58</v>
      </c>
      <c r="C35" s="84" t="s">
        <v>772</v>
      </c>
      <c r="D35" s="84" t="s">
        <v>1669</v>
      </c>
      <c r="E35" s="84" t="s">
        <v>1131</v>
      </c>
      <c r="F35" s="97" t="str">
        <f t="shared" si="1"/>
        <v xml:space="preserve">Nguyễn Văn Bình </v>
      </c>
      <c r="G35" s="100" t="str">
        <f t="shared" si="2"/>
        <v>23130006</v>
      </c>
      <c r="H35" s="100" t="str">
        <f>VLOOKUP(C35,'[1]DM Đề tài SV ký HĐ (thay đổi)'!$B$1:$Q$475,15,0)</f>
        <v>23130006@student.hcmute.edu.vn</v>
      </c>
      <c r="I35" s="107" t="str">
        <f>VLOOKUP(C35,'[1]DM Đề tài SV ký HĐ (thay đổi)'!$B$1:$Q$475,16,0)</f>
        <v>*0345724436</v>
      </c>
      <c r="J35" s="97" t="str">
        <f>VLOOKUP(C35,'[2]DM Đề tài SV ký HĐ (thay đổi)'!$B$1:$I$475,8,0)</f>
        <v>Khoa học ứng dụng</v>
      </c>
      <c r="K35" s="84" t="s">
        <v>1670</v>
      </c>
      <c r="L35" s="84" t="s">
        <v>724</v>
      </c>
      <c r="M35" s="97" t="str">
        <f>VLOOKUP(C35,'[2]DM Đề tài SV ký HĐ (thay đổi)'!$B$1:$O$475,13,0)</f>
        <v>linhnv@hcmute.edu.vn</v>
      </c>
      <c r="N35" s="97" t="str">
        <f>VLOOKUP(C35,'[2]DM Đề tài SV ký HĐ (thay đổi)'!$B$1:$M$475,12,0)</f>
        <v>Khoa Khoa học ứng dụng</v>
      </c>
      <c r="O35" s="84" t="s">
        <v>55</v>
      </c>
      <c r="P35" s="86">
        <v>15000000</v>
      </c>
      <c r="Q35" s="85" t="s">
        <v>1649</v>
      </c>
      <c r="R35" s="85"/>
      <c r="S35" s="85"/>
      <c r="T35" s="101">
        <v>2</v>
      </c>
      <c r="U35" s="101" t="s">
        <v>1787</v>
      </c>
      <c r="V35" s="83"/>
      <c r="W35" s="84"/>
      <c r="X35" s="84"/>
      <c r="Y35" s="84"/>
      <c r="Z35" s="84"/>
      <c r="AA35" s="84"/>
      <c r="AB35" s="84"/>
      <c r="AC35" s="84"/>
      <c r="AD35" s="84"/>
      <c r="AE35" s="84"/>
      <c r="AF35" s="84"/>
      <c r="AG35" s="113" t="s">
        <v>1814</v>
      </c>
      <c r="AH35" s="84"/>
    </row>
    <row r="36" spans="1:34" s="87" customFormat="1" ht="109.2" customHeight="1" x14ac:dyDescent="0.25">
      <c r="A36" s="83">
        <v>58</v>
      </c>
      <c r="B36" s="118" t="str">
        <f t="shared" si="0"/>
        <v>60</v>
      </c>
      <c r="C36" s="84" t="s">
        <v>773</v>
      </c>
      <c r="D36" s="84" t="s">
        <v>60</v>
      </c>
      <c r="E36" s="84" t="s">
        <v>1259</v>
      </c>
      <c r="F36" s="97" t="str">
        <f t="shared" si="1"/>
        <v xml:space="preserve">Võ Hữu Nghĩa </v>
      </c>
      <c r="G36" s="100" t="str">
        <f t="shared" si="2"/>
        <v>22130017</v>
      </c>
      <c r="H36" s="100" t="str">
        <f>VLOOKUP(C36,'[1]DM Đề tài SV ký HĐ (thay đổi)'!$B$1:$Q$475,15,0)</f>
        <v>22130017@student.hcmute.edu.vn</v>
      </c>
      <c r="I36" s="107" t="str">
        <f>VLOOKUP(C36,'[1]DM Đề tài SV ký HĐ (thay đổi)'!$B$1:$Q$475,16,0)</f>
        <v>0979082146</v>
      </c>
      <c r="J36" s="97" t="str">
        <f>VLOOKUP(C36,'[2]DM Đề tài SV ký HĐ (thay đổi)'!$B$1:$I$475,8,0)</f>
        <v>Khoa học ứng dụng</v>
      </c>
      <c r="K36" s="84" t="s">
        <v>62</v>
      </c>
      <c r="L36" s="84" t="s">
        <v>724</v>
      </c>
      <c r="M36" s="97" t="str">
        <f>VLOOKUP(C36,'[2]DM Đề tài SV ký HĐ (thay đổi)'!$B$1:$O$475,13,0)</f>
        <v>linhnv@hcmute.edu.vn</v>
      </c>
      <c r="N36" s="97" t="str">
        <f>VLOOKUP(C36,'[2]DM Đề tài SV ký HĐ (thay đổi)'!$B$1:$M$475,12,0)</f>
        <v>Khoa Khoa học ứng dụng</v>
      </c>
      <c r="O36" s="84" t="s">
        <v>55</v>
      </c>
      <c r="P36" s="86">
        <v>15000000</v>
      </c>
      <c r="Q36" s="85" t="s">
        <v>1649</v>
      </c>
      <c r="R36" s="85"/>
      <c r="S36" s="85"/>
      <c r="T36" s="101">
        <v>2</v>
      </c>
      <c r="U36" s="101" t="s">
        <v>1787</v>
      </c>
      <c r="V36" s="83"/>
      <c r="W36" s="84"/>
      <c r="X36" s="84"/>
      <c r="Y36" s="84"/>
      <c r="Z36" s="84"/>
      <c r="AA36" s="84"/>
      <c r="AB36" s="84"/>
      <c r="AC36" s="84"/>
      <c r="AD36" s="84"/>
      <c r="AE36" s="84"/>
      <c r="AF36" s="84"/>
      <c r="AG36" s="114" t="s">
        <v>1813</v>
      </c>
      <c r="AH36" s="84"/>
    </row>
    <row r="37" spans="1:34" s="87" customFormat="1" ht="109.2" customHeight="1" x14ac:dyDescent="0.25">
      <c r="A37" s="83">
        <v>60</v>
      </c>
      <c r="B37" s="118" t="str">
        <f t="shared" si="0"/>
        <v>62</v>
      </c>
      <c r="C37" s="84" t="s">
        <v>774</v>
      </c>
      <c r="D37" s="84" t="s">
        <v>67</v>
      </c>
      <c r="E37" s="84" t="s">
        <v>1260</v>
      </c>
      <c r="F37" s="97" t="str">
        <f t="shared" si="1"/>
        <v xml:space="preserve">Lê Thị Phương Nhi </v>
      </c>
      <c r="G37" s="100" t="str">
        <f t="shared" si="2"/>
        <v>23130037</v>
      </c>
      <c r="H37" s="100" t="str">
        <f>VLOOKUP(C37,'[1]DM Đề tài SV ký HĐ (thay đổi)'!$B$1:$Q$475,15,0)</f>
        <v>23130037@student.hcmute.edu.vn</v>
      </c>
      <c r="I37" s="107" t="str">
        <f>VLOOKUP(C37,'[1]DM Đề tài SV ký HĐ (thay đổi)'!$B$1:$Q$475,16,0)</f>
        <v>0348522754</v>
      </c>
      <c r="J37" s="97" t="str">
        <f>VLOOKUP(C37,'[2]DM Đề tài SV ký HĐ (thay đổi)'!$B$1:$I$475,8,0)</f>
        <v>Khoa học ứng dụng</v>
      </c>
      <c r="K37" s="84" t="s">
        <v>1655</v>
      </c>
      <c r="L37" s="84" t="s">
        <v>727</v>
      </c>
      <c r="M37" s="97" t="str">
        <f>VLOOKUP(C37,'[2]DM Đề tài SV ký HĐ (thay đổi)'!$B$1:$O$475,13,0)</f>
        <v>hangptk@hcmute.edu.vn</v>
      </c>
      <c r="N37" s="97" t="str">
        <f>VLOOKUP(C37,'[2]DM Đề tài SV ký HĐ (thay đổi)'!$B$1:$M$475,12,0)</f>
        <v>Khoa Khoa học ứng dụng</v>
      </c>
      <c r="O37" s="84" t="s">
        <v>55</v>
      </c>
      <c r="P37" s="86">
        <v>15000000</v>
      </c>
      <c r="Q37" s="85" t="s">
        <v>1649</v>
      </c>
      <c r="R37" s="85"/>
      <c r="S37" s="85"/>
      <c r="T37" s="101">
        <v>2</v>
      </c>
      <c r="U37" s="101" t="s">
        <v>1787</v>
      </c>
      <c r="V37" s="83"/>
      <c r="W37" s="84"/>
      <c r="X37" s="84"/>
      <c r="Y37" s="84"/>
      <c r="Z37" s="84"/>
      <c r="AA37" s="84"/>
      <c r="AB37" s="84"/>
      <c r="AC37" s="84"/>
      <c r="AD37" s="84"/>
      <c r="AE37" s="84"/>
      <c r="AF37" s="84"/>
      <c r="AG37" s="114" t="s">
        <v>1813</v>
      </c>
      <c r="AH37" s="84"/>
    </row>
    <row r="38" spans="1:34" s="87" customFormat="1" ht="109.2" customHeight="1" x14ac:dyDescent="0.25">
      <c r="A38" s="83">
        <v>61</v>
      </c>
      <c r="B38" s="118" t="str">
        <f t="shared" si="0"/>
        <v>63</v>
      </c>
      <c r="C38" s="84" t="s">
        <v>775</v>
      </c>
      <c r="D38" s="84" t="s">
        <v>72</v>
      </c>
      <c r="E38" s="84" t="s">
        <v>1261</v>
      </c>
      <c r="F38" s="97" t="str">
        <f t="shared" si="1"/>
        <v xml:space="preserve">Trần Đình Tuấn </v>
      </c>
      <c r="G38" s="100" t="str">
        <f t="shared" si="2"/>
        <v>22130025</v>
      </c>
      <c r="H38" s="100" t="str">
        <f>VLOOKUP(C38,'[1]DM Đề tài SV ký HĐ (thay đổi)'!$B$1:$Q$475,15,0)</f>
        <v>22130025@student.hcmute.edu.vn</v>
      </c>
      <c r="I38" s="107" t="str">
        <f>VLOOKUP(C38,'[1]DM Đề tài SV ký HĐ (thay đổi)'!$B$1:$Q$475,16,0)</f>
        <v>0839087154</v>
      </c>
      <c r="J38" s="97" t="str">
        <f>VLOOKUP(C38,'[2]DM Đề tài SV ký HĐ (thay đổi)'!$B$1:$I$475,8,0)</f>
        <v>Khoa học ứng dụng</v>
      </c>
      <c r="K38" s="84" t="s">
        <v>1262</v>
      </c>
      <c r="L38" s="84" t="s">
        <v>727</v>
      </c>
      <c r="M38" s="97" t="str">
        <f>VLOOKUP(C38,'[2]DM Đề tài SV ký HĐ (thay đổi)'!$B$1:$O$475,13,0)</f>
        <v>hangptk@hcmute.edu.vn</v>
      </c>
      <c r="N38" s="97" t="str">
        <f>VLOOKUP(C38,'[2]DM Đề tài SV ký HĐ (thay đổi)'!$B$1:$M$475,12,0)</f>
        <v>Khoa Khoa học ứng dụng</v>
      </c>
      <c r="O38" s="84" t="s">
        <v>55</v>
      </c>
      <c r="P38" s="86">
        <v>15000000</v>
      </c>
      <c r="Q38" s="85" t="s">
        <v>1649</v>
      </c>
      <c r="R38" s="85"/>
      <c r="S38" s="85"/>
      <c r="T38" s="101">
        <v>2</v>
      </c>
      <c r="U38" s="101" t="s">
        <v>1787</v>
      </c>
      <c r="V38" s="83"/>
      <c r="W38" s="84"/>
      <c r="X38" s="84"/>
      <c r="Y38" s="84"/>
      <c r="Z38" s="84"/>
      <c r="AA38" s="84"/>
      <c r="AB38" s="84"/>
      <c r="AC38" s="84"/>
      <c r="AD38" s="84"/>
      <c r="AE38" s="84"/>
      <c r="AF38" s="84"/>
      <c r="AG38" s="114" t="s">
        <v>1813</v>
      </c>
      <c r="AH38" s="84"/>
    </row>
    <row r="39" spans="1:34" s="87" customFormat="1" ht="109.2" customHeight="1" x14ac:dyDescent="0.25">
      <c r="A39" s="83">
        <v>62</v>
      </c>
      <c r="B39" s="118" t="str">
        <f t="shared" ref="B39:B66" si="3">RIGHT(C39,2)</f>
        <v>64</v>
      </c>
      <c r="C39" s="84" t="s">
        <v>776</v>
      </c>
      <c r="D39" s="84" t="s">
        <v>76</v>
      </c>
      <c r="E39" s="84" t="s">
        <v>77</v>
      </c>
      <c r="F39" s="97" t="str">
        <f t="shared" si="1"/>
        <v xml:space="preserve">Lê Minh Tiến </v>
      </c>
      <c r="G39" s="100" t="str">
        <f t="shared" si="2"/>
        <v>23130053</v>
      </c>
      <c r="H39" s="100" t="str">
        <f>VLOOKUP(C39,'[1]DM Đề tài SV ký HĐ (thay đổi)'!$B$1:$Q$475,15,0)</f>
        <v>23130053@student.hcmute.edu.vn</v>
      </c>
      <c r="I39" s="107" t="str">
        <f>VLOOKUP(C39,'[1]DM Đề tài SV ký HĐ (thay đổi)'!$B$1:$Q$475,16,0)</f>
        <v>0589941368</v>
      </c>
      <c r="J39" s="97" t="str">
        <f>VLOOKUP(C39,'[2]DM Đề tài SV ký HĐ (thay đổi)'!$B$1:$I$475,8,0)</f>
        <v>Khoa học ứng dụng</v>
      </c>
      <c r="K39" s="84" t="s">
        <v>1263</v>
      </c>
      <c r="L39" s="84" t="s">
        <v>710</v>
      </c>
      <c r="M39" s="97" t="str">
        <f>VLOOKUP(C39,'[2]DM Đề tài SV ký HĐ (thay đổi)'!$B$1:$O$475,13,0)</f>
        <v>dangnh@hcmute.edu.vn</v>
      </c>
      <c r="N39" s="97" t="str">
        <f>VLOOKUP(C39,'[2]DM Đề tài SV ký HĐ (thay đổi)'!$B$1:$M$475,12,0)</f>
        <v>Khoa Khoa học ứng dụng</v>
      </c>
      <c r="O39" s="84" t="s">
        <v>55</v>
      </c>
      <c r="P39" s="86">
        <v>15000000</v>
      </c>
      <c r="Q39" s="85" t="s">
        <v>1649</v>
      </c>
      <c r="R39" s="85"/>
      <c r="S39" s="85"/>
      <c r="T39" s="101">
        <v>2</v>
      </c>
      <c r="U39" s="101" t="s">
        <v>1787</v>
      </c>
      <c r="V39" s="83"/>
      <c r="W39" s="84"/>
      <c r="X39" s="84"/>
      <c r="Y39" s="84"/>
      <c r="Z39" s="84"/>
      <c r="AA39" s="84"/>
      <c r="AB39" s="84"/>
      <c r="AC39" s="84"/>
      <c r="AD39" s="84"/>
      <c r="AE39" s="84"/>
      <c r="AF39" s="84"/>
      <c r="AG39" s="114" t="s">
        <v>1813</v>
      </c>
      <c r="AH39" s="84"/>
    </row>
    <row r="40" spans="1:34" s="87" customFormat="1" ht="109.2" customHeight="1" x14ac:dyDescent="0.25">
      <c r="A40" s="83">
        <v>63</v>
      </c>
      <c r="B40" s="118" t="str">
        <f t="shared" si="3"/>
        <v>65</v>
      </c>
      <c r="C40" s="84" t="s">
        <v>777</v>
      </c>
      <c r="D40" s="84" t="s">
        <v>80</v>
      </c>
      <c r="E40" s="84" t="s">
        <v>1264</v>
      </c>
      <c r="F40" s="97" t="str">
        <f t="shared" si="1"/>
        <v xml:space="preserve">Thạch Bảo Khang </v>
      </c>
      <c r="G40" s="100" t="str">
        <f t="shared" si="2"/>
        <v>22130014</v>
      </c>
      <c r="H40" s="100" t="str">
        <f>VLOOKUP(C40,'[1]DM Đề tài SV ký HĐ (thay đổi)'!$B$1:$Q$475,15,0)</f>
        <v>22130014@student.hcmute.edu.vn</v>
      </c>
      <c r="I40" s="107">
        <f>VLOOKUP(C40,'[1]DM Đề tài SV ký HĐ (thay đổi)'!$B$1:$Q$475,16,0)</f>
        <v>932766448</v>
      </c>
      <c r="J40" s="97" t="str">
        <f>VLOOKUP(C40,'[2]DM Đề tài SV ký HĐ (thay đổi)'!$B$1:$I$475,8,0)</f>
        <v>Khoa học ứng dụng</v>
      </c>
      <c r="K40" s="84" t="s">
        <v>1654</v>
      </c>
      <c r="L40" s="84" t="s">
        <v>727</v>
      </c>
      <c r="M40" s="97" t="str">
        <f>VLOOKUP(C40,'[2]DM Đề tài SV ký HĐ (thay đổi)'!$B$1:$O$475,13,0)</f>
        <v>hangptk@hcmute.edu.vn</v>
      </c>
      <c r="N40" s="97" t="str">
        <f>VLOOKUP(C40,'[2]DM Đề tài SV ký HĐ (thay đổi)'!$B$1:$M$475,12,0)</f>
        <v>Khoa Khoa học ứng dụng</v>
      </c>
      <c r="O40" s="84" t="s">
        <v>55</v>
      </c>
      <c r="P40" s="86">
        <v>15000000</v>
      </c>
      <c r="Q40" s="85" t="s">
        <v>1649</v>
      </c>
      <c r="R40" s="85"/>
      <c r="S40" s="85"/>
      <c r="T40" s="101">
        <v>2</v>
      </c>
      <c r="U40" s="101" t="s">
        <v>1787</v>
      </c>
      <c r="V40" s="83"/>
      <c r="W40" s="84"/>
      <c r="X40" s="84"/>
      <c r="Y40" s="84"/>
      <c r="Z40" s="84"/>
      <c r="AA40" s="84"/>
      <c r="AB40" s="84"/>
      <c r="AC40" s="84"/>
      <c r="AD40" s="84"/>
      <c r="AE40" s="84"/>
      <c r="AF40" s="84"/>
      <c r="AG40" s="114" t="s">
        <v>1813</v>
      </c>
      <c r="AH40" s="84"/>
    </row>
    <row r="41" spans="1:34" s="87" customFormat="1" ht="109.2" customHeight="1" x14ac:dyDescent="0.25">
      <c r="A41" s="83">
        <v>64</v>
      </c>
      <c r="B41" s="118" t="str">
        <f t="shared" si="3"/>
        <v>66</v>
      </c>
      <c r="C41" s="84" t="s">
        <v>778</v>
      </c>
      <c r="D41" s="84" t="s">
        <v>1718</v>
      </c>
      <c r="E41" s="84" t="s">
        <v>85</v>
      </c>
      <c r="F41" s="97" t="str">
        <f t="shared" si="1"/>
        <v xml:space="preserve">Phạm Thị Bích Diệp
</v>
      </c>
      <c r="G41" s="100" t="str">
        <f t="shared" si="2"/>
        <v>22130005</v>
      </c>
      <c r="H41" s="100" t="str">
        <f>VLOOKUP(C41,'[1]DM Đề tài SV ký HĐ (thay đổi)'!$B$1:$Q$475,15,0)</f>
        <v>22130005@student.hcmute.edu.vn</v>
      </c>
      <c r="I41" s="107">
        <f>VLOOKUP(C41,'[1]DM Đề tài SV ký HĐ (thay đổi)'!$B$1:$Q$475,16,0)</f>
        <v>862388734</v>
      </c>
      <c r="J41" s="97" t="str">
        <f>VLOOKUP(C41,'[2]DM Đề tài SV ký HĐ (thay đổi)'!$B$1:$I$475,8,0)</f>
        <v>Khoa học ứng dụng</v>
      </c>
      <c r="K41" s="84" t="s">
        <v>1265</v>
      </c>
      <c r="L41" s="84" t="s">
        <v>710</v>
      </c>
      <c r="M41" s="97" t="str">
        <f>VLOOKUP(C41,'[2]DM Đề tài SV ký HĐ (thay đổi)'!$B$1:$O$475,13,0)</f>
        <v>dangnh@hcmute.edu.vn</v>
      </c>
      <c r="N41" s="97" t="str">
        <f>VLOOKUP(C41,'[2]DM Đề tài SV ký HĐ (thay đổi)'!$B$1:$M$475,12,0)</f>
        <v>Khoa Khoa học ứng dụng</v>
      </c>
      <c r="O41" s="84" t="s">
        <v>55</v>
      </c>
      <c r="P41" s="86">
        <v>15000000</v>
      </c>
      <c r="Q41" s="85" t="s">
        <v>1649</v>
      </c>
      <c r="R41" s="85"/>
      <c r="S41" s="85"/>
      <c r="T41" s="101">
        <v>2</v>
      </c>
      <c r="U41" s="101" t="s">
        <v>1787</v>
      </c>
      <c r="V41" s="83"/>
      <c r="W41" s="84"/>
      <c r="X41" s="84"/>
      <c r="Y41" s="84"/>
      <c r="Z41" s="84"/>
      <c r="AA41" s="84"/>
      <c r="AB41" s="84"/>
      <c r="AC41" s="84"/>
      <c r="AD41" s="84" t="s">
        <v>1796</v>
      </c>
      <c r="AE41" s="84"/>
      <c r="AF41" s="84"/>
      <c r="AG41" s="114" t="s">
        <v>1813</v>
      </c>
      <c r="AH41" s="96" t="s">
        <v>1819</v>
      </c>
    </row>
    <row r="42" spans="1:34" s="87" customFormat="1" ht="109.2" customHeight="1" x14ac:dyDescent="0.25">
      <c r="A42" s="83">
        <v>66</v>
      </c>
      <c r="B42" s="118" t="str">
        <f t="shared" si="3"/>
        <v>68</v>
      </c>
      <c r="C42" s="84" t="s">
        <v>779</v>
      </c>
      <c r="D42" s="84" t="s">
        <v>93</v>
      </c>
      <c r="E42" s="84" t="s">
        <v>1266</v>
      </c>
      <c r="F42" s="97" t="str">
        <f t="shared" ref="F42:F97" si="4">LEFT(E42,LEN(E42)-LEN(G42))</f>
        <v xml:space="preserve">Dương Hồng Dịu Thơ </v>
      </c>
      <c r="G42" s="100" t="str">
        <f t="shared" ref="G42:G97" si="5">RIGHT(E42,8)</f>
        <v>22130023</v>
      </c>
      <c r="H42" s="100" t="str">
        <f>VLOOKUP(C42,'[1]DM Đề tài SV ký HĐ (thay đổi)'!$B$1:$Q$475,15,0)</f>
        <v>22130023@student.hcmute.edu.vn</v>
      </c>
      <c r="I42" s="107">
        <f>VLOOKUP(C42,'[1]DM Đề tài SV ký HĐ (thay đổi)'!$B$1:$Q$475,16,0)</f>
        <v>337552351</v>
      </c>
      <c r="J42" s="97" t="str">
        <f>VLOOKUP(C42,'[2]DM Đề tài SV ký HĐ (thay đổi)'!$B$1:$I$475,8,0)</f>
        <v>Khoa học ứng dụng</v>
      </c>
      <c r="K42" s="84" t="s">
        <v>1719</v>
      </c>
      <c r="L42" s="84" t="s">
        <v>735</v>
      </c>
      <c r="M42" s="97" t="str">
        <f>VLOOKUP(C42,'[2]DM Đề tài SV ký HĐ (thay đổi)'!$B$1:$O$475,13,0)</f>
        <v>chittk@hcmute.edu.vn</v>
      </c>
      <c r="N42" s="97" t="str">
        <f>VLOOKUP(C42,'[2]DM Đề tài SV ký HĐ (thay đổi)'!$B$1:$M$475,12,0)</f>
        <v>Khoa Khoa học ứng dụng</v>
      </c>
      <c r="O42" s="84" t="s">
        <v>55</v>
      </c>
      <c r="P42" s="86">
        <v>15000000</v>
      </c>
      <c r="Q42" s="85" t="s">
        <v>1649</v>
      </c>
      <c r="R42" s="85"/>
      <c r="S42" s="85"/>
      <c r="T42" s="101">
        <v>2</v>
      </c>
      <c r="U42" s="101" t="s">
        <v>1787</v>
      </c>
      <c r="V42" s="83"/>
      <c r="W42" s="84"/>
      <c r="X42" s="84"/>
      <c r="Y42" s="84"/>
      <c r="Z42" s="84"/>
      <c r="AA42" s="84"/>
      <c r="AB42" s="84"/>
      <c r="AC42" s="84"/>
      <c r="AD42" s="84"/>
      <c r="AE42" s="84"/>
      <c r="AF42" s="84"/>
      <c r="AG42" s="114" t="s">
        <v>1813</v>
      </c>
      <c r="AH42" s="84"/>
    </row>
    <row r="43" spans="1:34" s="87" customFormat="1" ht="109.2" customHeight="1" x14ac:dyDescent="0.25">
      <c r="A43" s="83">
        <v>67</v>
      </c>
      <c r="B43" s="118" t="str">
        <f t="shared" si="3"/>
        <v>69</v>
      </c>
      <c r="C43" s="84" t="s">
        <v>780</v>
      </c>
      <c r="D43" s="84" t="s">
        <v>96</v>
      </c>
      <c r="E43" s="84" t="s">
        <v>1267</v>
      </c>
      <c r="F43" s="97" t="str">
        <f t="shared" si="4"/>
        <v xml:space="preserve">Nguyễn Minh Tiến </v>
      </c>
      <c r="G43" s="100" t="str">
        <f t="shared" si="5"/>
        <v>23130054</v>
      </c>
      <c r="H43" s="100" t="str">
        <f>VLOOKUP(C43,'[1]DM Đề tài SV ký HĐ (thay đổi)'!$B$1:$Q$475,15,0)</f>
        <v>23130054@student.hcmute.edu.vn</v>
      </c>
      <c r="I43" s="107">
        <f>VLOOKUP(C43,'[1]DM Đề tài SV ký HĐ (thay đổi)'!$B$1:$Q$475,16,0)</f>
        <v>348148809</v>
      </c>
      <c r="J43" s="97" t="str">
        <f>VLOOKUP(C43,'[2]DM Đề tài SV ký HĐ (thay đổi)'!$B$1:$I$475,8,0)</f>
        <v>Khoa học ứng dụng</v>
      </c>
      <c r="K43" s="84" t="s">
        <v>1716</v>
      </c>
      <c r="L43" s="84" t="s">
        <v>727</v>
      </c>
      <c r="M43" s="97" t="str">
        <f>VLOOKUP(C43,'[2]DM Đề tài SV ký HĐ (thay đổi)'!$B$1:$O$475,13,0)</f>
        <v>hangptk@hcmute.edu.vn</v>
      </c>
      <c r="N43" s="97" t="str">
        <f>VLOOKUP(C43,'[2]DM Đề tài SV ký HĐ (thay đổi)'!$B$1:$M$475,12,0)</f>
        <v>Khoa Khoa học ứng dụng</v>
      </c>
      <c r="O43" s="84" t="s">
        <v>55</v>
      </c>
      <c r="P43" s="86">
        <v>15000000</v>
      </c>
      <c r="Q43" s="85" t="s">
        <v>1649</v>
      </c>
      <c r="R43" s="85"/>
      <c r="S43" s="85"/>
      <c r="T43" s="105">
        <v>2</v>
      </c>
      <c r="U43" s="103" t="s">
        <v>1787</v>
      </c>
      <c r="V43" s="83"/>
      <c r="W43" s="84"/>
      <c r="X43" s="84"/>
      <c r="Y43" s="84"/>
      <c r="Z43" s="84"/>
      <c r="AA43" s="84"/>
      <c r="AB43" s="84"/>
      <c r="AC43" s="84"/>
      <c r="AD43" s="84"/>
      <c r="AE43" s="84"/>
      <c r="AF43" s="84"/>
      <c r="AG43" s="113" t="s">
        <v>1814</v>
      </c>
      <c r="AH43" s="84"/>
    </row>
    <row r="44" spans="1:34" s="87" customFormat="1" ht="109.2" customHeight="1" x14ac:dyDescent="0.25">
      <c r="A44" s="83">
        <v>68</v>
      </c>
      <c r="B44" s="118" t="str">
        <f t="shared" si="3"/>
        <v>70</v>
      </c>
      <c r="C44" s="84" t="s">
        <v>781</v>
      </c>
      <c r="D44" s="84" t="s">
        <v>1589</v>
      </c>
      <c r="E44" s="84" t="s">
        <v>1268</v>
      </c>
      <c r="F44" s="97" t="str">
        <f t="shared" si="4"/>
        <v xml:space="preserve">Đặng Tô Hoài Vy </v>
      </c>
      <c r="G44" s="100" t="str">
        <f t="shared" si="5"/>
        <v>22130026</v>
      </c>
      <c r="H44" s="100" t="str">
        <f>VLOOKUP(C44,'[1]DM Đề tài SV ký HĐ (thay đổi)'!$B$1:$Q$475,15,0)</f>
        <v>22130026@student.hcmute.edu.vn</v>
      </c>
      <c r="I44" s="107" t="str">
        <f>VLOOKUP(C44,'[1]DM Đề tài SV ký HĐ (thay đổi)'!$B$1:$Q$475,16,0)</f>
        <v>0367303489</v>
      </c>
      <c r="J44" s="97" t="str">
        <f>VLOOKUP(C44,'[2]DM Đề tài SV ký HĐ (thay đổi)'!$B$1:$I$475,8,0)</f>
        <v>Khoa học ứng dụng</v>
      </c>
      <c r="K44" s="84" t="s">
        <v>1269</v>
      </c>
      <c r="L44" s="84" t="s">
        <v>712</v>
      </c>
      <c r="M44" s="97" t="str">
        <f>VLOOKUP(C44,'[2]DM Đề tài SV ký HĐ (thay đổi)'!$B$1:$O$475,13,0)</f>
        <v>thanhnc@hcmute.edu.vn</v>
      </c>
      <c r="N44" s="97" t="str">
        <f>VLOOKUP(C44,'[2]DM Đề tài SV ký HĐ (thay đổi)'!$B$1:$M$475,12,0)</f>
        <v>Khoa Khoa học ứng dụng</v>
      </c>
      <c r="O44" s="84" t="s">
        <v>55</v>
      </c>
      <c r="P44" s="86">
        <v>15000000</v>
      </c>
      <c r="Q44" s="85" t="s">
        <v>1649</v>
      </c>
      <c r="R44" s="85"/>
      <c r="S44" s="85"/>
      <c r="T44" s="101">
        <v>2</v>
      </c>
      <c r="U44" s="101" t="s">
        <v>1787</v>
      </c>
      <c r="V44" s="83"/>
      <c r="W44" s="84"/>
      <c r="X44" s="84"/>
      <c r="Y44" s="84"/>
      <c r="Z44" s="84"/>
      <c r="AA44" s="84"/>
      <c r="AB44" s="84"/>
      <c r="AC44" s="84"/>
      <c r="AD44" s="84"/>
      <c r="AE44" s="84"/>
      <c r="AF44" s="84"/>
      <c r="AG44" s="114" t="s">
        <v>1813</v>
      </c>
      <c r="AH44" s="84"/>
    </row>
    <row r="45" spans="1:34" s="87" customFormat="1" ht="109.2" customHeight="1" x14ac:dyDescent="0.25">
      <c r="A45" s="83">
        <v>69</v>
      </c>
      <c r="B45" s="118" t="str">
        <f t="shared" si="3"/>
        <v>71</v>
      </c>
      <c r="C45" s="84" t="s">
        <v>782</v>
      </c>
      <c r="D45" s="84" t="s">
        <v>104</v>
      </c>
      <c r="E45" s="84" t="s">
        <v>1270</v>
      </c>
      <c r="F45" s="97" t="str">
        <f t="shared" si="4"/>
        <v xml:space="preserve">Phạm Thị Kim Hiên </v>
      </c>
      <c r="G45" s="100" t="str">
        <f t="shared" si="5"/>
        <v>24130029</v>
      </c>
      <c r="H45" s="100" t="str">
        <f>VLOOKUP(C45,'[1]DM Đề tài SV ký HĐ (thay đổi)'!$B$1:$Q$475,15,0)</f>
        <v>24130029@student.hcmute.edu.vn</v>
      </c>
      <c r="I45" s="107" t="str">
        <f>VLOOKUP(C45,'[1]DM Đề tài SV ký HĐ (thay đổi)'!$B$1:$Q$475,16,0)</f>
        <v>0866685271</v>
      </c>
      <c r="J45" s="97" t="str">
        <f>VLOOKUP(C45,'[2]DM Đề tài SV ký HĐ (thay đổi)'!$B$1:$I$475,8,0)</f>
        <v>Khoa học ứng dụng</v>
      </c>
      <c r="K45" s="84" t="s">
        <v>1271</v>
      </c>
      <c r="L45" s="84" t="s">
        <v>712</v>
      </c>
      <c r="M45" s="97" t="str">
        <f>VLOOKUP(C45,'[2]DM Đề tài SV ký HĐ (thay đổi)'!$B$1:$O$475,13,0)</f>
        <v>thanhnc@hcmute.edu.vn</v>
      </c>
      <c r="N45" s="97" t="str">
        <f>VLOOKUP(C45,'[2]DM Đề tài SV ký HĐ (thay đổi)'!$B$1:$M$475,12,0)</f>
        <v>Khoa Khoa học ứng dụng</v>
      </c>
      <c r="O45" s="84" t="s">
        <v>55</v>
      </c>
      <c r="P45" s="86">
        <v>15000000</v>
      </c>
      <c r="Q45" s="85" t="s">
        <v>1649</v>
      </c>
      <c r="R45" s="85"/>
      <c r="S45" s="85"/>
      <c r="T45" s="101">
        <v>2</v>
      </c>
      <c r="U45" s="101" t="s">
        <v>1787</v>
      </c>
      <c r="V45" s="83"/>
      <c r="W45" s="84"/>
      <c r="X45" s="84"/>
      <c r="Y45" s="84"/>
      <c r="Z45" s="84"/>
      <c r="AA45" s="84"/>
      <c r="AB45" s="84"/>
      <c r="AC45" s="84"/>
      <c r="AD45" s="84"/>
      <c r="AE45" s="84"/>
      <c r="AF45" s="84"/>
      <c r="AG45" s="114" t="s">
        <v>1813</v>
      </c>
      <c r="AH45" s="84"/>
    </row>
    <row r="46" spans="1:34" s="87" customFormat="1" ht="109.2" customHeight="1" x14ac:dyDescent="0.25">
      <c r="A46" s="83">
        <v>70</v>
      </c>
      <c r="B46" s="118" t="str">
        <f t="shared" si="3"/>
        <v>72</v>
      </c>
      <c r="C46" s="84" t="s">
        <v>783</v>
      </c>
      <c r="D46" s="84" t="s">
        <v>108</v>
      </c>
      <c r="E46" s="84" t="s">
        <v>1271</v>
      </c>
      <c r="F46" s="97" t="str">
        <f t="shared" si="4"/>
        <v xml:space="preserve">Huỳnh Ngọc Mỹ Duyên </v>
      </c>
      <c r="G46" s="100" t="str">
        <f t="shared" si="5"/>
        <v>24130016</v>
      </c>
      <c r="H46" s="100" t="str">
        <f>VLOOKUP(C46,'[1]DM Đề tài SV ký HĐ (thay đổi)'!$B$1:$Q$475,15,0)</f>
        <v>24130016@student.hcmute.edu.vn</v>
      </c>
      <c r="I46" s="107" t="str">
        <f>VLOOKUP(C46,'[1]DM Đề tài SV ký HĐ (thay đổi)'!$B$1:$Q$475,16,0)</f>
        <v>0765418805</v>
      </c>
      <c r="J46" s="97" t="str">
        <f>VLOOKUP(C46,'[2]DM Đề tài SV ký HĐ (thay đổi)'!$B$1:$I$475,8,0)</f>
        <v>Khoa học ứng dụng</v>
      </c>
      <c r="K46" s="84" t="s">
        <v>1272</v>
      </c>
      <c r="L46" s="84" t="s">
        <v>712</v>
      </c>
      <c r="M46" s="97" t="str">
        <f>VLOOKUP(C46,'[2]DM Đề tài SV ký HĐ (thay đổi)'!$B$1:$O$475,13,0)</f>
        <v>thanhnc@hcmute.edu.vn</v>
      </c>
      <c r="N46" s="97" t="str">
        <f>VLOOKUP(C46,'[2]DM Đề tài SV ký HĐ (thay đổi)'!$B$1:$M$475,12,0)</f>
        <v>Khoa Khoa học ứng dụng</v>
      </c>
      <c r="O46" s="84" t="s">
        <v>55</v>
      </c>
      <c r="P46" s="86">
        <v>15000000</v>
      </c>
      <c r="Q46" s="85" t="s">
        <v>1649</v>
      </c>
      <c r="R46" s="85"/>
      <c r="S46" s="85"/>
      <c r="T46" s="101">
        <v>2</v>
      </c>
      <c r="U46" s="101" t="s">
        <v>1787</v>
      </c>
      <c r="V46" s="83"/>
      <c r="W46" s="84"/>
      <c r="X46" s="84"/>
      <c r="Y46" s="84"/>
      <c r="Z46" s="84"/>
      <c r="AA46" s="84"/>
      <c r="AB46" s="84"/>
      <c r="AC46" s="84"/>
      <c r="AD46" s="84"/>
      <c r="AE46" s="84"/>
      <c r="AF46" s="84"/>
      <c r="AG46" s="114" t="s">
        <v>1813</v>
      </c>
      <c r="AH46" s="84"/>
    </row>
    <row r="47" spans="1:34" s="87" customFormat="1" ht="109.2" customHeight="1" x14ac:dyDescent="0.25">
      <c r="A47" s="83">
        <v>71</v>
      </c>
      <c r="B47" s="118" t="str">
        <f t="shared" si="3"/>
        <v>73</v>
      </c>
      <c r="C47" s="84" t="s">
        <v>784</v>
      </c>
      <c r="D47" s="84" t="s">
        <v>111</v>
      </c>
      <c r="E47" s="84" t="s">
        <v>1269</v>
      </c>
      <c r="F47" s="97" t="str">
        <f t="shared" si="4"/>
        <v xml:space="preserve">Võ Văn Chương </v>
      </c>
      <c r="G47" s="100" t="str">
        <f t="shared" si="5"/>
        <v>24130009</v>
      </c>
      <c r="H47" s="100" t="str">
        <f>VLOOKUP(C47,'[1]DM Đề tài SV ký HĐ (thay đổi)'!$B$1:$Q$475,15,0)</f>
        <v>24130009@student.hcmute.edu.vn</v>
      </c>
      <c r="I47" s="107" t="str">
        <f>VLOOKUP(C47,'[1]DM Đề tài SV ký HĐ (thay đổi)'!$B$1:$Q$475,16,0)</f>
        <v>0898986419</v>
      </c>
      <c r="J47" s="97" t="str">
        <f>VLOOKUP(C47,'[2]DM Đề tài SV ký HĐ (thay đổi)'!$B$1:$I$475,8,0)</f>
        <v>Khoa học ứng dụng</v>
      </c>
      <c r="K47" s="84" t="s">
        <v>1270</v>
      </c>
      <c r="L47" s="84" t="s">
        <v>712</v>
      </c>
      <c r="M47" s="97" t="str">
        <f>VLOOKUP(C47,'[2]DM Đề tài SV ký HĐ (thay đổi)'!$B$1:$O$475,13,0)</f>
        <v>thanhnc@hcmute.edu.vn</v>
      </c>
      <c r="N47" s="97" t="str">
        <f>VLOOKUP(C47,'[2]DM Đề tài SV ký HĐ (thay đổi)'!$B$1:$M$475,12,0)</f>
        <v>Khoa Khoa học ứng dụng</v>
      </c>
      <c r="O47" s="84" t="s">
        <v>55</v>
      </c>
      <c r="P47" s="86">
        <v>15000000</v>
      </c>
      <c r="Q47" s="85" t="s">
        <v>1649</v>
      </c>
      <c r="R47" s="85"/>
      <c r="S47" s="85"/>
      <c r="T47" s="101">
        <v>2</v>
      </c>
      <c r="U47" s="101" t="s">
        <v>1787</v>
      </c>
      <c r="V47" s="83"/>
      <c r="W47" s="84"/>
      <c r="X47" s="84"/>
      <c r="Y47" s="84"/>
      <c r="Z47" s="84"/>
      <c r="AA47" s="84"/>
      <c r="AB47" s="84"/>
      <c r="AC47" s="84"/>
      <c r="AD47" s="84"/>
      <c r="AE47" s="84"/>
      <c r="AF47" s="84"/>
      <c r="AG47" s="114" t="s">
        <v>1813</v>
      </c>
      <c r="AH47" s="84"/>
    </row>
    <row r="48" spans="1:34" s="87" customFormat="1" ht="109.2" customHeight="1" x14ac:dyDescent="0.25">
      <c r="A48" s="83">
        <v>72</v>
      </c>
      <c r="B48" s="118" t="str">
        <f t="shared" si="3"/>
        <v>74</v>
      </c>
      <c r="C48" s="84" t="s">
        <v>785</v>
      </c>
      <c r="D48" s="84" t="s">
        <v>173</v>
      </c>
      <c r="E48" s="84" t="s">
        <v>1617</v>
      </c>
      <c r="F48" s="97" t="str">
        <f t="shared" si="4"/>
        <v xml:space="preserve">Nguyễn Hữu Lượng </v>
      </c>
      <c r="G48" s="100" t="str">
        <f t="shared" si="5"/>
        <v>22144347</v>
      </c>
      <c r="H48" s="100" t="str">
        <f>VLOOKUP(C48,'[1]DM Đề tài SV ký HĐ (thay đổi)'!$B$1:$Q$475,15,0)</f>
        <v>22144347@student.hcmute.edu.vn</v>
      </c>
      <c r="I48" s="107" t="str">
        <f>VLOOKUP(C48,'[1]DM Đề tài SV ký HĐ (thay đổi)'!$B$1:$Q$475,16,0)</f>
        <v>0395655352</v>
      </c>
      <c r="J48" s="97" t="str">
        <f>VLOOKUP(C48,'[2]DM Đề tài SV ký HĐ (thay đổi)'!$B$1:$I$475,8,0)</f>
        <v>Cơ khí Chế tạo máy</v>
      </c>
      <c r="K48" s="84" t="s">
        <v>1359</v>
      </c>
      <c r="L48" s="84" t="s">
        <v>174</v>
      </c>
      <c r="M48" s="97" t="str">
        <f>VLOOKUP(C48,'[2]DM Đề tài SV ký HĐ (thay đổi)'!$B$1:$O$475,13,0)</f>
        <v>nvthuc@hcmute.edu.vn</v>
      </c>
      <c r="N48" s="97" t="str">
        <f>VLOOKUP(C48,'[2]DM Đề tài SV ký HĐ (thay đổi)'!$B$1:$M$475,12,0)</f>
        <v>Khoa CKM</v>
      </c>
      <c r="O48" s="88" t="s">
        <v>373</v>
      </c>
      <c r="P48" s="92">
        <v>5000000</v>
      </c>
      <c r="Q48" s="84" t="s">
        <v>1647</v>
      </c>
      <c r="R48" s="84"/>
      <c r="S48" s="84"/>
      <c r="T48" s="101" t="s">
        <v>1784</v>
      </c>
      <c r="U48" s="101" t="s">
        <v>1787</v>
      </c>
      <c r="V48" s="101" t="s">
        <v>1784</v>
      </c>
      <c r="W48" s="84"/>
      <c r="X48" s="84"/>
      <c r="Y48" s="84"/>
      <c r="Z48" s="84"/>
      <c r="AA48" s="84" t="s">
        <v>1829</v>
      </c>
      <c r="AB48" s="84" t="s">
        <v>1829</v>
      </c>
      <c r="AC48" s="84" t="s">
        <v>1829</v>
      </c>
      <c r="AD48" s="84" t="s">
        <v>1826</v>
      </c>
      <c r="AE48" s="84" t="s">
        <v>1829</v>
      </c>
      <c r="AF48" s="84"/>
      <c r="AG48" s="114" t="s">
        <v>1813</v>
      </c>
      <c r="AH48" s="84"/>
    </row>
    <row r="49" spans="1:34" s="87" customFormat="1" ht="109.2" customHeight="1" x14ac:dyDescent="0.25">
      <c r="A49" s="83">
        <v>73</v>
      </c>
      <c r="B49" s="118" t="str">
        <f t="shared" si="3"/>
        <v>75</v>
      </c>
      <c r="C49" s="84" t="s">
        <v>786</v>
      </c>
      <c r="D49" s="88" t="s">
        <v>176</v>
      </c>
      <c r="E49" s="88" t="s">
        <v>1360</v>
      </c>
      <c r="F49" s="97" t="str">
        <f t="shared" si="4"/>
        <v xml:space="preserve">Nguyễn Thành Danh </v>
      </c>
      <c r="G49" s="100" t="str">
        <f t="shared" si="5"/>
        <v>22146282</v>
      </c>
      <c r="H49" s="100" t="str">
        <f>VLOOKUP(C49,'[1]DM Đề tài SV ký HĐ (thay đổi)'!$B$1:$Q$475,15,0)</f>
        <v>22146282@student.hcmute.edu.vn</v>
      </c>
      <c r="I49" s="107" t="str">
        <f>VLOOKUP(C49,'[1]DM Đề tài SV ký HĐ (thay đổi)'!$B$1:$Q$475,16,0)</f>
        <v>0942365776</v>
      </c>
      <c r="J49" s="97" t="str">
        <f>VLOOKUP(C49,'[2]DM Đề tài SV ký HĐ (thay đổi)'!$B$1:$I$475,8,0)</f>
        <v>Cơ khí Chế tạo máy</v>
      </c>
      <c r="K49" s="88" t="s">
        <v>1361</v>
      </c>
      <c r="L49" s="84" t="s">
        <v>177</v>
      </c>
      <c r="M49" s="97" t="str">
        <f>VLOOKUP(C49,'[2]DM Đề tài SV ký HĐ (thay đổi)'!$B$1:$O$475,13,0)</f>
        <v>thanh.hlnn@hcmute.edu.vn</v>
      </c>
      <c r="N49" s="97" t="str">
        <f>VLOOKUP(C49,'[2]DM Đề tài SV ký HĐ (thay đổi)'!$B$1:$M$475,12,0)</f>
        <v>Khoa CKM</v>
      </c>
      <c r="O49" s="88" t="s">
        <v>1520</v>
      </c>
      <c r="P49" s="92">
        <v>10000000</v>
      </c>
      <c r="Q49" s="84" t="s">
        <v>1648</v>
      </c>
      <c r="R49" s="84"/>
      <c r="S49" s="84"/>
      <c r="T49" s="101">
        <v>2</v>
      </c>
      <c r="U49" s="101" t="s">
        <v>1787</v>
      </c>
      <c r="V49" s="83"/>
      <c r="W49" s="84"/>
      <c r="X49" s="84"/>
      <c r="Y49" s="84"/>
      <c r="Z49" s="84"/>
      <c r="AA49" s="84"/>
      <c r="AB49" s="84"/>
      <c r="AC49" s="84"/>
      <c r="AD49" s="84"/>
      <c r="AE49" s="84"/>
      <c r="AF49" s="84"/>
      <c r="AG49" s="113" t="s">
        <v>1814</v>
      </c>
      <c r="AH49" s="84"/>
    </row>
    <row r="50" spans="1:34" s="87" customFormat="1" ht="109.2" customHeight="1" x14ac:dyDescent="0.25">
      <c r="A50" s="83">
        <v>75</v>
      </c>
      <c r="B50" s="118" t="str">
        <f t="shared" si="3"/>
        <v>77</v>
      </c>
      <c r="C50" s="84" t="s">
        <v>787</v>
      </c>
      <c r="D50" s="84" t="s">
        <v>178</v>
      </c>
      <c r="E50" s="88" t="s">
        <v>1722</v>
      </c>
      <c r="F50" s="97" t="str">
        <f t="shared" si="4"/>
        <v xml:space="preserve">Nguyễn Quốc Huy </v>
      </c>
      <c r="G50" s="100" t="str">
        <f t="shared" si="5"/>
        <v>22144104</v>
      </c>
      <c r="H50" s="100" t="str">
        <f>VLOOKUP(C50,'[1]DM Đề tài SV ký HĐ (thay đổi)'!$B$1:$Q$475,15,0)</f>
        <v>22144104@student.hcmute.edu.vn</v>
      </c>
      <c r="I50" s="107" t="str">
        <f>VLOOKUP(C50,'[1]DM Đề tài SV ký HĐ (thay đổi)'!$B$1:$Q$475,16,0)</f>
        <v xml:space="preserve"> 0388904506</v>
      </c>
      <c r="J50" s="97" t="str">
        <f>VLOOKUP(C50,'[2]DM Đề tài SV ký HĐ (thay đổi)'!$B$1:$I$475,8,0)</f>
        <v>Cơ khí Chế tạo máy</v>
      </c>
      <c r="K50" s="84" t="s">
        <v>1369</v>
      </c>
      <c r="L50" s="84" t="s">
        <v>179</v>
      </c>
      <c r="M50" s="97" t="str">
        <f>VLOOKUP(C50,'[2]DM Đề tài SV ký HĐ (thay đổi)'!$B$1:$O$475,13,0)</f>
        <v>sonnv@hcmute.edu.vn</v>
      </c>
      <c r="N50" s="97" t="str">
        <f>VLOOKUP(C50,'[2]DM Đề tài SV ký HĐ (thay đổi)'!$B$1:$M$475,12,0)</f>
        <v>Khoa CKM</v>
      </c>
      <c r="O50" s="88" t="s">
        <v>1762</v>
      </c>
      <c r="P50" s="92">
        <v>25000000</v>
      </c>
      <c r="Q50" s="88" t="s">
        <v>1650</v>
      </c>
      <c r="R50" s="88"/>
      <c r="S50" s="88"/>
      <c r="T50" s="101">
        <v>2</v>
      </c>
      <c r="U50" s="101" t="s">
        <v>1787</v>
      </c>
      <c r="V50" s="83"/>
      <c r="W50" s="84"/>
      <c r="X50" s="84"/>
      <c r="Y50" s="84"/>
      <c r="Z50" s="84"/>
      <c r="AA50" s="84"/>
      <c r="AB50" s="84"/>
      <c r="AC50" s="85" t="s">
        <v>1812</v>
      </c>
      <c r="AD50" s="84"/>
      <c r="AE50" s="84"/>
      <c r="AF50" s="84"/>
      <c r="AG50" s="114" t="s">
        <v>1813</v>
      </c>
      <c r="AH50" s="84"/>
    </row>
    <row r="51" spans="1:34" s="87" customFormat="1" ht="109.2" customHeight="1" x14ac:dyDescent="0.25">
      <c r="A51" s="83">
        <v>76</v>
      </c>
      <c r="B51" s="118" t="str">
        <f t="shared" si="3"/>
        <v>78</v>
      </c>
      <c r="C51" s="84" t="s">
        <v>788</v>
      </c>
      <c r="D51" s="88" t="s">
        <v>180</v>
      </c>
      <c r="E51" s="88" t="s">
        <v>1618</v>
      </c>
      <c r="F51" s="97" t="str">
        <f t="shared" si="4"/>
        <v xml:space="preserve">Nguyễn Minh Châu </v>
      </c>
      <c r="G51" s="100" t="str">
        <f t="shared" si="5"/>
        <v>23143006</v>
      </c>
      <c r="H51" s="100" t="str">
        <f>VLOOKUP(C51,'[1]DM Đề tài SV ký HĐ (thay đổi)'!$B$1:$Q$475,15,0)</f>
        <v>23143006@student.hcmute.edu.vn</v>
      </c>
      <c r="I51" s="107" t="str">
        <f>VLOOKUP(C51,'[1]DM Đề tài SV ký HĐ (thay đổi)'!$B$1:$Q$475,16,0)</f>
        <v>0354382981</v>
      </c>
      <c r="J51" s="97" t="str">
        <f>VLOOKUP(C51,'[2]DM Đề tài SV ký HĐ (thay đổi)'!$B$1:$I$475,8,0)</f>
        <v>Cơ khí Chế tạo máy</v>
      </c>
      <c r="K51" s="88" t="s">
        <v>1556</v>
      </c>
      <c r="L51" s="88" t="s">
        <v>181</v>
      </c>
      <c r="M51" s="97" t="str">
        <f>VLOOKUP(C51,'[2]DM Đề tài SV ký HĐ (thay đổi)'!$B$1:$O$475,13,0)</f>
        <v>lamtt@hcmute.edu.vn</v>
      </c>
      <c r="N51" s="97" t="str">
        <f>VLOOKUP(C51,'[2]DM Đề tài SV ký HĐ (thay đổi)'!$B$1:$M$475,12,0)</f>
        <v>Khoa CKM</v>
      </c>
      <c r="O51" s="88" t="s">
        <v>1518</v>
      </c>
      <c r="P51" s="92">
        <v>10000000</v>
      </c>
      <c r="Q51" s="84" t="s">
        <v>1648</v>
      </c>
      <c r="R51" s="84"/>
      <c r="S51" s="84"/>
      <c r="T51" s="103">
        <v>2</v>
      </c>
      <c r="U51" s="103" t="s">
        <v>1787</v>
      </c>
      <c r="V51" s="83"/>
      <c r="W51" s="84"/>
      <c r="X51" s="84"/>
      <c r="Y51" s="84"/>
      <c r="Z51" s="84"/>
      <c r="AA51" s="84"/>
      <c r="AB51" s="84"/>
      <c r="AC51" s="85" t="s">
        <v>1812</v>
      </c>
      <c r="AD51" s="84"/>
      <c r="AE51" s="84"/>
      <c r="AF51" s="84"/>
      <c r="AG51" s="114" t="s">
        <v>1813</v>
      </c>
      <c r="AH51" s="84"/>
    </row>
    <row r="52" spans="1:34" s="87" customFormat="1" ht="109.2" customHeight="1" x14ac:dyDescent="0.25">
      <c r="A52" s="83">
        <v>77</v>
      </c>
      <c r="B52" s="118" t="str">
        <f t="shared" si="3"/>
        <v>79</v>
      </c>
      <c r="C52" s="84" t="s">
        <v>789</v>
      </c>
      <c r="D52" s="88" t="s">
        <v>182</v>
      </c>
      <c r="E52" s="88" t="s">
        <v>1362</v>
      </c>
      <c r="F52" s="97" t="str">
        <f t="shared" si="4"/>
        <v xml:space="preserve">Nguyễn Phan Trường Huy </v>
      </c>
      <c r="G52" s="100" t="str">
        <f t="shared" si="5"/>
        <v>23144218</v>
      </c>
      <c r="H52" s="100" t="str">
        <f>VLOOKUP(C52,'[1]DM Đề tài SV ký HĐ (thay đổi)'!$B$1:$Q$475,15,0)</f>
        <v>23144218@student.hcmute.edu.vn</v>
      </c>
      <c r="I52" s="107" t="str">
        <f>VLOOKUP(C52,'[1]DM Đề tài SV ký HĐ (thay đổi)'!$B$1:$Q$475,16,0)</f>
        <v>0974748642</v>
      </c>
      <c r="J52" s="97" t="str">
        <f>VLOOKUP(C52,'[2]DM Đề tài SV ký HĐ (thay đổi)'!$B$1:$I$475,8,0)</f>
        <v>Cơ khí Chế tạo máy</v>
      </c>
      <c r="K52" s="88" t="s">
        <v>1363</v>
      </c>
      <c r="L52" s="88" t="s">
        <v>183</v>
      </c>
      <c r="M52" s="97" t="str">
        <f>VLOOKUP(C52,'[2]DM Đề tài SV ký HĐ (thay đổi)'!$B$1:$O$475,13,0)</f>
        <v>minhngvan@hcmute.edu.vn</v>
      </c>
      <c r="N52" s="97" t="str">
        <f>VLOOKUP(C52,'[2]DM Đề tài SV ký HĐ (thay đổi)'!$B$1:$M$475,12,0)</f>
        <v>Khoa CKM</v>
      </c>
      <c r="O52" s="88" t="s">
        <v>1763</v>
      </c>
      <c r="P52" s="92">
        <v>25000000</v>
      </c>
      <c r="Q52" s="88" t="s">
        <v>1650</v>
      </c>
      <c r="R52" s="88"/>
      <c r="S52" s="88"/>
      <c r="T52" s="101">
        <v>2</v>
      </c>
      <c r="U52" s="101" t="s">
        <v>1787</v>
      </c>
      <c r="V52" s="83"/>
      <c r="W52" s="84"/>
      <c r="X52" s="84"/>
      <c r="Y52" s="84"/>
      <c r="Z52" s="84"/>
      <c r="AA52" s="84"/>
      <c r="AB52" s="84"/>
      <c r="AC52" s="85" t="s">
        <v>1812</v>
      </c>
      <c r="AD52" s="84"/>
      <c r="AE52" s="84"/>
      <c r="AF52" s="84"/>
      <c r="AG52" s="114" t="s">
        <v>1813</v>
      </c>
      <c r="AH52" s="84"/>
    </row>
    <row r="53" spans="1:34" s="87" customFormat="1" ht="109.2" customHeight="1" x14ac:dyDescent="0.25">
      <c r="A53" s="83">
        <v>78</v>
      </c>
      <c r="B53" s="118" t="str">
        <f t="shared" si="3"/>
        <v>80</v>
      </c>
      <c r="C53" s="84" t="s">
        <v>790</v>
      </c>
      <c r="D53" s="84" t="s">
        <v>184</v>
      </c>
      <c r="E53" s="88" t="s">
        <v>1700</v>
      </c>
      <c r="F53" s="97" t="str">
        <f t="shared" si="4"/>
        <v xml:space="preserve">Hồ Văn Duy </v>
      </c>
      <c r="G53" s="100" t="str">
        <f t="shared" si="5"/>
        <v>24144132</v>
      </c>
      <c r="H53" s="100" t="str">
        <f>VLOOKUP(C53,'[1]DM Đề tài SV ký HĐ (thay đổi)'!$B$1:$Q$475,15,0)</f>
        <v>22144004@student.hcmute.edu.vn</v>
      </c>
      <c r="I53" s="107" t="str">
        <f>VLOOKUP(C53,'[1]DM Đề tài SV ký HĐ (thay đổi)'!$B$1:$Q$475,16,0)</f>
        <v>0987247360</v>
      </c>
      <c r="J53" s="97" t="str">
        <f>VLOOKUP(C53,'[2]DM Đề tài SV ký HĐ (thay đổi)'!$B$1:$I$475,8,0)</f>
        <v>Cơ khí Chế tạo máy</v>
      </c>
      <c r="K53" s="84" t="s">
        <v>1701</v>
      </c>
      <c r="L53" s="84" t="s">
        <v>294</v>
      </c>
      <c r="M53" s="97" t="str">
        <f>VLOOKUP(C53,'[2]DM Đề tài SV ký HĐ (thay đổi)'!$B$1:$O$475,13,0)</f>
        <v>ntatuyet@hcmute.edu.vn</v>
      </c>
      <c r="N53" s="97" t="str">
        <f>VLOOKUP(C53,'[2]DM Đề tài SV ký HĐ (thay đổi)'!$B$1:$M$475,12,0)</f>
        <v>Khoa CKM</v>
      </c>
      <c r="O53" s="88" t="s">
        <v>186</v>
      </c>
      <c r="P53" s="92">
        <v>5000000</v>
      </c>
      <c r="Q53" s="84" t="s">
        <v>1647</v>
      </c>
      <c r="R53" s="84"/>
      <c r="S53" s="84"/>
      <c r="T53" s="101">
        <v>2</v>
      </c>
      <c r="U53" s="101" t="s">
        <v>1787</v>
      </c>
      <c r="V53" s="83"/>
      <c r="W53" s="84"/>
      <c r="X53" s="84"/>
      <c r="Y53" s="84"/>
      <c r="Z53" s="84"/>
      <c r="AA53" s="84"/>
      <c r="AB53" s="84"/>
      <c r="AC53" s="85" t="s">
        <v>1812</v>
      </c>
      <c r="AD53" s="84"/>
      <c r="AE53" s="84"/>
      <c r="AF53" s="84"/>
      <c r="AG53" s="113" t="s">
        <v>1814</v>
      </c>
      <c r="AH53" s="84"/>
    </row>
    <row r="54" spans="1:34" s="87" customFormat="1" ht="109.2" customHeight="1" x14ac:dyDescent="0.25">
      <c r="A54" s="83">
        <v>81</v>
      </c>
      <c r="B54" s="83" t="str">
        <f t="shared" si="3"/>
        <v>83</v>
      </c>
      <c r="C54" s="84" t="s">
        <v>791</v>
      </c>
      <c r="D54" s="84" t="s">
        <v>1672</v>
      </c>
      <c r="E54" s="84" t="s">
        <v>1364</v>
      </c>
      <c r="F54" s="97" t="str">
        <f t="shared" si="4"/>
        <v xml:space="preserve">Huỳnh Tấn Lợi </v>
      </c>
      <c r="G54" s="100" t="str">
        <f t="shared" si="5"/>
        <v>24144219</v>
      </c>
      <c r="H54" s="100" t="str">
        <f>VLOOKUP(C54,'[1]DM Đề tài SV ký HĐ (thay đổi)'!$B$1:$Q$475,15,0)</f>
        <v>24144219@student.hcmute.edu.vn</v>
      </c>
      <c r="I54" s="107" t="str">
        <f>VLOOKUP(C54,'[1]DM Đề tài SV ký HĐ (thay đổi)'!$B$1:$Q$475,16,0)</f>
        <v>0944762590</v>
      </c>
      <c r="J54" s="97" t="str">
        <f>VLOOKUP(C54,'[2]DM Đề tài SV ký HĐ (thay đổi)'!$B$1:$I$475,8,0)</f>
        <v>Cơ khí Chế tạo máy</v>
      </c>
      <c r="K54" s="84" t="s">
        <v>1666</v>
      </c>
      <c r="L54" s="84" t="s">
        <v>174</v>
      </c>
      <c r="M54" s="97" t="str">
        <f>VLOOKUP(C54,'[2]DM Đề tài SV ký HĐ (thay đổi)'!$B$1:$O$475,13,0)</f>
        <v>nvthuc@hcmute.edu.vn</v>
      </c>
      <c r="N54" s="97" t="str">
        <f>VLOOKUP(C54,'[2]DM Đề tài SV ký HĐ (thay đổi)'!$B$1:$M$475,12,0)</f>
        <v>Khoa CKM</v>
      </c>
      <c r="O54" s="88" t="s">
        <v>1521</v>
      </c>
      <c r="P54" s="92">
        <v>5000000</v>
      </c>
      <c r="Q54" s="84" t="s">
        <v>1647</v>
      </c>
      <c r="R54" s="84"/>
      <c r="S54" s="84"/>
      <c r="T54" s="101" t="s">
        <v>1828</v>
      </c>
      <c r="U54" s="106" t="s">
        <v>1827</v>
      </c>
      <c r="V54" s="83"/>
      <c r="W54" s="84"/>
      <c r="X54" s="84"/>
      <c r="Y54" s="84"/>
      <c r="Z54" s="84"/>
      <c r="AA54" s="84"/>
      <c r="AB54" s="84"/>
      <c r="AC54" s="84"/>
      <c r="AD54" s="84"/>
      <c r="AE54" s="84"/>
      <c r="AF54" s="84"/>
      <c r="AG54" s="85"/>
      <c r="AH54" s="96" t="s">
        <v>1818</v>
      </c>
    </row>
    <row r="55" spans="1:34" s="87" customFormat="1" ht="109.2" customHeight="1" x14ac:dyDescent="0.25">
      <c r="A55" s="83">
        <v>83</v>
      </c>
      <c r="B55" s="118" t="str">
        <f t="shared" si="3"/>
        <v>85</v>
      </c>
      <c r="C55" s="84" t="s">
        <v>792</v>
      </c>
      <c r="D55" s="88" t="s">
        <v>189</v>
      </c>
      <c r="E55" s="88" t="s">
        <v>1366</v>
      </c>
      <c r="F55" s="97" t="str">
        <f t="shared" si="4"/>
        <v xml:space="preserve">Trần Văn Tiến </v>
      </c>
      <c r="G55" s="100" t="str">
        <f t="shared" si="5"/>
        <v>22146417</v>
      </c>
      <c r="H55" s="100" t="str">
        <f>VLOOKUP(C55,'[1]DM Đề tài SV ký HĐ (thay đổi)'!$B$1:$Q$475,15,0)</f>
        <v>22146417@student.hcmute.edu.vn</v>
      </c>
      <c r="I55" s="107" t="str">
        <f>VLOOKUP(C55,'[1]DM Đề tài SV ký HĐ (thay đổi)'!$B$1:$Q$475,16,0)</f>
        <v>0399013031</v>
      </c>
      <c r="J55" s="97" t="str">
        <f>VLOOKUP(C55,'[2]DM Đề tài SV ký HĐ (thay đổi)'!$B$1:$I$475,8,0)</f>
        <v>Cơ khí Chế tạo máy</v>
      </c>
      <c r="K55" s="88" t="s">
        <v>1523</v>
      </c>
      <c r="L55" s="84" t="s">
        <v>190</v>
      </c>
      <c r="M55" s="97" t="str">
        <f>VLOOKUP(C55,'[2]DM Đề tài SV ký HĐ (thay đổi)'!$B$1:$O$475,13,0)</f>
        <v>thientm@hcmute.edu.vn</v>
      </c>
      <c r="N55" s="97" t="str">
        <f>VLOOKUP(C55,'[2]DM Đề tài SV ký HĐ (thay đổi)'!$B$1:$M$475,12,0)</f>
        <v>Khoa CKM</v>
      </c>
      <c r="O55" s="88" t="s">
        <v>1522</v>
      </c>
      <c r="P55" s="92">
        <v>10000000</v>
      </c>
      <c r="Q55" s="84" t="s">
        <v>1648</v>
      </c>
      <c r="R55" s="84"/>
      <c r="S55" s="84"/>
      <c r="T55" s="101">
        <v>2</v>
      </c>
      <c r="U55" s="101" t="s">
        <v>1787</v>
      </c>
      <c r="V55" s="83"/>
      <c r="W55" s="84"/>
      <c r="X55" s="84"/>
      <c r="Y55" s="84"/>
      <c r="Z55" s="84"/>
      <c r="AA55" s="84"/>
      <c r="AB55" s="84"/>
      <c r="AC55" s="84"/>
      <c r="AD55" s="84"/>
      <c r="AE55" s="84"/>
      <c r="AF55" s="84"/>
      <c r="AG55" s="114" t="s">
        <v>1813</v>
      </c>
      <c r="AH55" s="84"/>
    </row>
    <row r="56" spans="1:34" s="87" customFormat="1" ht="109.2" customHeight="1" x14ac:dyDescent="0.25">
      <c r="A56" s="83">
        <v>84</v>
      </c>
      <c r="B56" s="118" t="str">
        <f t="shared" si="3"/>
        <v>86</v>
      </c>
      <c r="C56" s="84" t="s">
        <v>793</v>
      </c>
      <c r="D56" s="84" t="s">
        <v>191</v>
      </c>
      <c r="E56" s="88" t="s">
        <v>1699</v>
      </c>
      <c r="F56" s="97" t="str">
        <f t="shared" si="4"/>
        <v xml:space="preserve">Lê Tuyến </v>
      </c>
      <c r="G56" s="100" t="str">
        <f t="shared" si="5"/>
        <v>24143395</v>
      </c>
      <c r="H56" s="100" t="str">
        <f>VLOOKUP(C56,'[1]DM Đề tài SV ký HĐ (thay đổi)'!$B$1:$Q$475,15,0)</f>
        <v>22144025@student.hcmute.edu.vn</v>
      </c>
      <c r="I56" s="107" t="str">
        <f>VLOOKUP(C56,'[1]DM Đề tài SV ký HĐ (thay đổi)'!$B$1:$Q$475,16,0)</f>
        <v>0938658324</v>
      </c>
      <c r="J56" s="97" t="str">
        <f>VLOOKUP(C56,'[2]DM Đề tài SV ký HĐ (thay đổi)'!$B$1:$I$475,8,0)</f>
        <v>Cơ khí Chế tạo máy</v>
      </c>
      <c r="K56" s="84" t="s">
        <v>1698</v>
      </c>
      <c r="L56" s="84" t="s">
        <v>192</v>
      </c>
      <c r="M56" s="97" t="str">
        <f>VLOOKUP(C56,'[2]DM Đề tài SV ký HĐ (thay đổi)'!$B$1:$O$475,13,0)</f>
        <v>uyentmt@hcmute.edu.vn</v>
      </c>
      <c r="N56" s="97" t="str">
        <f>VLOOKUP(C56,'[2]DM Đề tài SV ký HĐ (thay đổi)'!$B$1:$M$475,12,0)</f>
        <v>Khoa CKM</v>
      </c>
      <c r="O56" s="88" t="s">
        <v>1763</v>
      </c>
      <c r="P56" s="92">
        <v>25000000</v>
      </c>
      <c r="Q56" s="88" t="s">
        <v>1650</v>
      </c>
      <c r="R56" s="88"/>
      <c r="S56" s="88"/>
      <c r="T56" s="101">
        <v>2</v>
      </c>
      <c r="U56" s="84" t="s">
        <v>1787</v>
      </c>
      <c r="V56" s="83"/>
      <c r="W56" s="84"/>
      <c r="X56" s="84"/>
      <c r="Y56" s="84"/>
      <c r="Z56" s="84"/>
      <c r="AA56" s="84"/>
      <c r="AB56" s="84"/>
      <c r="AC56" s="84"/>
      <c r="AD56" s="84"/>
      <c r="AE56" s="84"/>
      <c r="AF56" s="84"/>
      <c r="AG56" s="114" t="s">
        <v>1813</v>
      </c>
      <c r="AH56" s="84"/>
    </row>
    <row r="57" spans="1:34" s="87" customFormat="1" ht="109.2" customHeight="1" x14ac:dyDescent="0.25">
      <c r="A57" s="83">
        <v>85</v>
      </c>
      <c r="B57" s="118" t="str">
        <f t="shared" si="3"/>
        <v>87</v>
      </c>
      <c r="C57" s="84" t="s">
        <v>794</v>
      </c>
      <c r="D57" s="84" t="s">
        <v>193</v>
      </c>
      <c r="E57" s="88" t="s">
        <v>1367</v>
      </c>
      <c r="F57" s="97" t="str">
        <f t="shared" si="4"/>
        <v xml:space="preserve">Trịnh Minh Quân </v>
      </c>
      <c r="G57" s="100" t="str">
        <f t="shared" si="5"/>
        <v>22143150</v>
      </c>
      <c r="H57" s="100" t="str">
        <f>VLOOKUP(C57,'[1]DM Đề tài SV ký HĐ (thay đổi)'!$B$1:$Q$475,15,0)</f>
        <v>22143150@student.hcmute.edu.vn</v>
      </c>
      <c r="I57" s="107" t="str">
        <f>VLOOKUP(C57,'[1]DM Đề tài SV ký HĐ (thay đổi)'!$B$1:$Q$475,16,0)</f>
        <v>0969479487</v>
      </c>
      <c r="J57" s="97" t="str">
        <f>VLOOKUP(C57,'[2]DM Đề tài SV ký HĐ (thay đổi)'!$B$1:$I$475,8,0)</f>
        <v>Cơ khí Chế tạo máy</v>
      </c>
      <c r="K57" s="84" t="s">
        <v>1370</v>
      </c>
      <c r="L57" s="84" t="s">
        <v>192</v>
      </c>
      <c r="M57" s="97" t="str">
        <f>VLOOKUP(C57,'[2]DM Đề tài SV ký HĐ (thay đổi)'!$B$1:$O$475,13,0)</f>
        <v>uyentmt@hcmute.edu.vn</v>
      </c>
      <c r="N57" s="97" t="str">
        <f>VLOOKUP(C57,'[2]DM Đề tài SV ký HĐ (thay đổi)'!$B$1:$M$475,12,0)</f>
        <v>Khoa CKM</v>
      </c>
      <c r="O57" s="88" t="s">
        <v>1763</v>
      </c>
      <c r="P57" s="92">
        <v>25000000</v>
      </c>
      <c r="Q57" s="88" t="s">
        <v>1650</v>
      </c>
      <c r="R57" s="88"/>
      <c r="S57" s="88"/>
      <c r="T57" s="103">
        <v>2</v>
      </c>
      <c r="U57" s="103" t="s">
        <v>1787</v>
      </c>
      <c r="V57" s="83"/>
      <c r="W57" s="84"/>
      <c r="X57" s="84"/>
      <c r="Y57" s="84"/>
      <c r="Z57" s="84"/>
      <c r="AA57" s="84"/>
      <c r="AB57" s="84"/>
      <c r="AC57" s="84"/>
      <c r="AD57" s="84"/>
      <c r="AE57" s="84"/>
      <c r="AF57" s="84"/>
      <c r="AG57" s="113" t="s">
        <v>1814</v>
      </c>
      <c r="AH57" s="84"/>
    </row>
    <row r="58" spans="1:34" s="87" customFormat="1" ht="109.2" customHeight="1" x14ac:dyDescent="0.25">
      <c r="A58" s="83">
        <v>86</v>
      </c>
      <c r="B58" s="118" t="str">
        <f t="shared" si="3"/>
        <v>88</v>
      </c>
      <c r="C58" s="84" t="s">
        <v>795</v>
      </c>
      <c r="D58" s="88" t="s">
        <v>194</v>
      </c>
      <c r="E58" s="88" t="s">
        <v>1714</v>
      </c>
      <c r="F58" s="97" t="str">
        <f t="shared" si="4"/>
        <v xml:space="preserve">Nguyễn Hữu Chiến </v>
      </c>
      <c r="G58" s="100" t="str">
        <f t="shared" si="5"/>
        <v>22144063</v>
      </c>
      <c r="H58" s="100" t="str">
        <f>VLOOKUP(C58,'[1]DM Đề tài SV ký HĐ (thay đổi)'!$B$1:$Q$475,15,0)</f>
        <v>22144031@student.hcmute.edu.vn</v>
      </c>
      <c r="I58" s="107" t="str">
        <f>VLOOKUP(C58,'[1]DM Đề tài SV ký HĐ (thay đổi)'!$B$1:$Q$475,16,0)</f>
        <v>0947004207</v>
      </c>
      <c r="J58" s="97" t="str">
        <f>VLOOKUP(C58,'[2]DM Đề tài SV ký HĐ (thay đổi)'!$B$1:$I$475,8,0)</f>
        <v>Cơ khí Chế tạo máy</v>
      </c>
      <c r="K58" s="88" t="s">
        <v>1713</v>
      </c>
      <c r="L58" s="88" t="s">
        <v>195</v>
      </c>
      <c r="M58" s="97" t="str">
        <f>VLOOKUP(C58,'[2]DM Đề tài SV ký HĐ (thay đổi)'!$B$1:$O$475,13,0)</f>
        <v>linhdt@hcmute.edu.vn</v>
      </c>
      <c r="N58" s="97" t="str">
        <f>VLOOKUP(C58,'[2]DM Đề tài SV ký HĐ (thay đổi)'!$B$1:$M$475,12,0)</f>
        <v>Khoa CKM</v>
      </c>
      <c r="O58" s="88" t="s">
        <v>1763</v>
      </c>
      <c r="P58" s="92">
        <v>25000000</v>
      </c>
      <c r="Q58" s="88" t="s">
        <v>1650</v>
      </c>
      <c r="R58" s="88"/>
      <c r="S58" s="88"/>
      <c r="T58" s="101">
        <v>2</v>
      </c>
      <c r="U58" s="101" t="s">
        <v>1787</v>
      </c>
      <c r="V58" s="83"/>
      <c r="W58" s="84"/>
      <c r="X58" s="84"/>
      <c r="Y58" s="84"/>
      <c r="Z58" s="84"/>
      <c r="AA58" s="84"/>
      <c r="AB58" s="84"/>
      <c r="AC58" s="84"/>
      <c r="AD58" s="84"/>
      <c r="AE58" s="84"/>
      <c r="AF58" s="84"/>
      <c r="AG58" s="113" t="s">
        <v>1814</v>
      </c>
      <c r="AH58" s="84"/>
    </row>
    <row r="59" spans="1:34" s="87" customFormat="1" ht="109.2" customHeight="1" x14ac:dyDescent="0.25">
      <c r="A59" s="83">
        <v>88</v>
      </c>
      <c r="B59" s="118" t="str">
        <f t="shared" si="3"/>
        <v>90</v>
      </c>
      <c r="C59" s="84" t="s">
        <v>796</v>
      </c>
      <c r="D59" s="88" t="s">
        <v>1557</v>
      </c>
      <c r="E59" s="88" t="s">
        <v>738</v>
      </c>
      <c r="F59" s="97" t="str">
        <f t="shared" si="4"/>
        <v xml:space="preserve">Nguyễn Tiến Anh </v>
      </c>
      <c r="G59" s="100" t="str">
        <f t="shared" si="5"/>
        <v>23146047</v>
      </c>
      <c r="H59" s="100" t="str">
        <f>VLOOKUP(C59,'[1]DM Đề tài SV ký HĐ (thay đổi)'!$B$1:$Q$475,15,0)</f>
        <v>23146047@student.hcmute.edu.vn</v>
      </c>
      <c r="I59" s="107" t="str">
        <f>VLOOKUP(C59,'[1]DM Đề tài SV ký HĐ (thay đổi)'!$B$1:$Q$475,16,0)</f>
        <v>23146047</v>
      </c>
      <c r="J59" s="97" t="str">
        <f>VLOOKUP(C59,'[2]DM Đề tài SV ký HĐ (thay đổi)'!$B$1:$I$475,8,0)</f>
        <v>Cơ khí Chế tạo máy</v>
      </c>
      <c r="K59" s="88" t="s">
        <v>198</v>
      </c>
      <c r="L59" s="84" t="s">
        <v>199</v>
      </c>
      <c r="M59" s="97" t="str">
        <f>VLOOKUP(C59,'[2]DM Đề tài SV ký HĐ (thay đổi)'!$B$1:$O$475,13,0)</f>
        <v>namnh@hcmute.edu.vn</v>
      </c>
      <c r="N59" s="97" t="str">
        <f>VLOOKUP(C59,'[2]DM Đề tài SV ký HĐ (thay đổi)'!$B$1:$M$475,12,0)</f>
        <v>Khoa CKM</v>
      </c>
      <c r="O59" s="88" t="s">
        <v>1752</v>
      </c>
      <c r="P59" s="92">
        <v>10000000</v>
      </c>
      <c r="Q59" s="84" t="s">
        <v>1648</v>
      </c>
      <c r="R59" s="84"/>
      <c r="S59" s="84"/>
      <c r="T59" s="101">
        <v>2</v>
      </c>
      <c r="U59" s="101" t="s">
        <v>1787</v>
      </c>
      <c r="V59" s="83"/>
      <c r="W59" s="84"/>
      <c r="X59" s="84"/>
      <c r="Y59" s="84"/>
      <c r="Z59" s="84"/>
      <c r="AA59" s="84"/>
      <c r="AB59" s="84"/>
      <c r="AC59" s="84"/>
      <c r="AD59" s="84"/>
      <c r="AE59" s="84"/>
      <c r="AF59" s="84"/>
      <c r="AG59" s="113" t="s">
        <v>1814</v>
      </c>
      <c r="AH59" s="84"/>
    </row>
    <row r="60" spans="1:34" s="87" customFormat="1" ht="109.2" customHeight="1" x14ac:dyDescent="0.25">
      <c r="A60" s="83">
        <v>89</v>
      </c>
      <c r="B60" s="118" t="str">
        <f t="shared" si="3"/>
        <v>91</v>
      </c>
      <c r="C60" s="84" t="s">
        <v>797</v>
      </c>
      <c r="D60" s="84" t="s">
        <v>200</v>
      </c>
      <c r="E60" s="88" t="s">
        <v>1368</v>
      </c>
      <c r="F60" s="97" t="str">
        <f t="shared" si="4"/>
        <v xml:space="preserve">Hà Quốc Huy </v>
      </c>
      <c r="G60" s="100" t="str">
        <f t="shared" si="5"/>
        <v>23144216</v>
      </c>
      <c r="H60" s="100" t="str">
        <f>VLOOKUP(C60,'[1]DM Đề tài SV ký HĐ (thay đổi)'!$B$1:$Q$475,15,0)</f>
        <v>23144216@student.hcmute.edu.vn</v>
      </c>
      <c r="I60" s="107" t="str">
        <f>VLOOKUP(C60,'[1]DM Đề tài SV ký HĐ (thay đổi)'!$B$1:$Q$475,16,0)</f>
        <v>0816109253</v>
      </c>
      <c r="J60" s="97" t="str">
        <f>VLOOKUP(C60,'[2]DM Đề tài SV ký HĐ (thay đổi)'!$B$1:$I$475,8,0)</f>
        <v>Cơ khí Chế tạo máy</v>
      </c>
      <c r="K60" s="84" t="s">
        <v>1625</v>
      </c>
      <c r="L60" s="84" t="s">
        <v>201</v>
      </c>
      <c r="M60" s="97" t="str">
        <f>VLOOKUP(C60,'[2]DM Đề tài SV ký HĐ (thay đổi)'!$B$1:$O$475,13,0)</f>
        <v>toanhds@hcmute.edu.vn</v>
      </c>
      <c r="N60" s="97" t="str">
        <f>VLOOKUP(C60,'[2]DM Đề tài SV ký HĐ (thay đổi)'!$B$1:$M$475,12,0)</f>
        <v>Khoa CKM</v>
      </c>
      <c r="O60" s="88" t="s">
        <v>1763</v>
      </c>
      <c r="P60" s="92">
        <v>25000000</v>
      </c>
      <c r="Q60" s="88" t="s">
        <v>1650</v>
      </c>
      <c r="R60" s="88"/>
      <c r="S60" s="88"/>
      <c r="T60" s="101">
        <v>2</v>
      </c>
      <c r="U60" s="101" t="s">
        <v>1787</v>
      </c>
      <c r="V60" s="83"/>
      <c r="W60" s="84"/>
      <c r="X60" s="84"/>
      <c r="Y60" s="84"/>
      <c r="Z60" s="84"/>
      <c r="AA60" s="84"/>
      <c r="AB60" s="84"/>
      <c r="AC60" s="84"/>
      <c r="AD60" s="84"/>
      <c r="AE60" s="84"/>
      <c r="AF60" s="84"/>
      <c r="AG60" s="114" t="s">
        <v>1813</v>
      </c>
      <c r="AH60" s="84"/>
    </row>
    <row r="61" spans="1:34" s="87" customFormat="1" ht="109.2" customHeight="1" x14ac:dyDescent="0.25">
      <c r="A61" s="83">
        <v>90</v>
      </c>
      <c r="B61" s="118" t="str">
        <f t="shared" si="3"/>
        <v>92</v>
      </c>
      <c r="C61" s="84" t="s">
        <v>798</v>
      </c>
      <c r="D61" s="84" t="s">
        <v>202</v>
      </c>
      <c r="E61" s="88" t="s">
        <v>1681</v>
      </c>
      <c r="F61" s="97" t="str">
        <f t="shared" si="4"/>
        <v xml:space="preserve">Bành Văn Hoà Lợi </v>
      </c>
      <c r="G61" s="100" t="str">
        <f t="shared" si="5"/>
        <v>24104036</v>
      </c>
      <c r="H61" s="100" t="str">
        <f>VLOOKUP(C61,'[1]DM Đề tài SV ký HĐ (thay đổi)'!$B$1:$Q$475,15,0)</f>
        <v>24104036@student.hcmute.edu.vn</v>
      </c>
      <c r="I61" s="107" t="str">
        <f>VLOOKUP(C61,'[1]DM Đề tài SV ký HĐ (thay đổi)'!$B$1:$Q$475,16,0)</f>
        <v>0799550195</v>
      </c>
      <c r="J61" s="97" t="str">
        <f>VLOOKUP(C61,'[2]DM Đề tài SV ký HĐ (thay đổi)'!$B$1:$I$475,8,0)</f>
        <v>Cơ khí Chế tạo máy</v>
      </c>
      <c r="K61" s="84" t="s">
        <v>1371</v>
      </c>
      <c r="L61" s="84" t="s">
        <v>203</v>
      </c>
      <c r="M61" s="97" t="str">
        <f>VLOOKUP(C61,'[2]DM Đề tài SV ký HĐ (thay đổi)'!$B$1:$O$475,13,0)</f>
        <v>huyvq@hcmute.edu.vn</v>
      </c>
      <c r="N61" s="97" t="str">
        <f>VLOOKUP(C61,'[2]DM Đề tài SV ký HĐ (thay đổi)'!$B$1:$M$475,12,0)</f>
        <v>Khoa CKM</v>
      </c>
      <c r="O61" s="88" t="s">
        <v>1763</v>
      </c>
      <c r="P61" s="92">
        <v>25000000</v>
      </c>
      <c r="Q61" s="88" t="s">
        <v>1650</v>
      </c>
      <c r="R61" s="88"/>
      <c r="S61" s="88"/>
      <c r="T61" s="101">
        <v>2</v>
      </c>
      <c r="U61" s="101" t="s">
        <v>1787</v>
      </c>
      <c r="V61" s="83"/>
      <c r="W61" s="84"/>
      <c r="X61" s="84"/>
      <c r="Y61" s="84"/>
      <c r="Z61" s="84"/>
      <c r="AA61" s="84"/>
      <c r="AB61" s="84"/>
      <c r="AC61" s="84"/>
      <c r="AD61" s="84"/>
      <c r="AE61" s="84"/>
      <c r="AF61" s="84"/>
      <c r="AG61" s="114" t="s">
        <v>1813</v>
      </c>
      <c r="AH61" s="84"/>
    </row>
    <row r="62" spans="1:34" s="87" customFormat="1" ht="109.2" customHeight="1" x14ac:dyDescent="0.25">
      <c r="A62" s="83">
        <v>92</v>
      </c>
      <c r="B62" s="118" t="str">
        <f t="shared" si="3"/>
        <v>94</v>
      </c>
      <c r="C62" s="84" t="s">
        <v>799</v>
      </c>
      <c r="D62" s="84" t="s">
        <v>204</v>
      </c>
      <c r="E62" s="88" t="s">
        <v>1372</v>
      </c>
      <c r="F62" s="97" t="str">
        <f t="shared" si="4"/>
        <v xml:space="preserve">Võ Quốc Bảo </v>
      </c>
      <c r="G62" s="100" t="str">
        <f t="shared" si="5"/>
        <v>22143080</v>
      </c>
      <c r="H62" s="100" t="str">
        <f>VLOOKUP(C62,'[1]DM Đề tài SV ký HĐ (thay đổi)'!$B$1:$Q$475,15,0)</f>
        <v>22143080@student.hcmute.edu.vn</v>
      </c>
      <c r="I62" s="107" t="str">
        <f>VLOOKUP(C62,'[1]DM Đề tài SV ký HĐ (thay đổi)'!$B$1:$Q$475,16,0)</f>
        <v>0357845885'</v>
      </c>
      <c r="J62" s="97" t="str">
        <f>VLOOKUP(C62,'[2]DM Đề tài SV ký HĐ (thay đổi)'!$B$1:$I$475,8,0)</f>
        <v>Cơ khí Chế tạo máy</v>
      </c>
      <c r="K62" s="84" t="s">
        <v>1621</v>
      </c>
      <c r="L62" s="84" t="s">
        <v>183</v>
      </c>
      <c r="M62" s="97" t="str">
        <f>VLOOKUP(C62,'[2]DM Đề tài SV ký HĐ (thay đổi)'!$B$1:$O$475,13,0)</f>
        <v>minhngvan@hcmute.edu.vn</v>
      </c>
      <c r="N62" s="97" t="str">
        <f>VLOOKUP(C62,'[2]DM Đề tài SV ký HĐ (thay đổi)'!$B$1:$M$475,12,0)</f>
        <v>Khoa CKM</v>
      </c>
      <c r="O62" s="88" t="s">
        <v>1763</v>
      </c>
      <c r="P62" s="92">
        <v>25000000</v>
      </c>
      <c r="Q62" s="88" t="s">
        <v>1650</v>
      </c>
      <c r="R62" s="88"/>
      <c r="S62" s="88"/>
      <c r="T62" s="103">
        <v>2</v>
      </c>
      <c r="U62" s="103" t="s">
        <v>1787</v>
      </c>
      <c r="V62" s="83"/>
      <c r="W62" s="84"/>
      <c r="X62" s="84"/>
      <c r="Y62" s="84"/>
      <c r="Z62" s="84"/>
      <c r="AA62" s="84"/>
      <c r="AB62" s="84"/>
      <c r="AC62" s="84"/>
      <c r="AD62" s="84"/>
      <c r="AE62" s="84"/>
      <c r="AF62" s="84"/>
      <c r="AG62" s="114" t="s">
        <v>1813</v>
      </c>
      <c r="AH62" s="84"/>
    </row>
    <row r="63" spans="1:34" s="87" customFormat="1" ht="109.2" customHeight="1" x14ac:dyDescent="0.25">
      <c r="A63" s="83">
        <v>93</v>
      </c>
      <c r="B63" s="118" t="str">
        <f t="shared" si="3"/>
        <v>95</v>
      </c>
      <c r="C63" s="84" t="s">
        <v>800</v>
      </c>
      <c r="D63" s="84" t="s">
        <v>205</v>
      </c>
      <c r="E63" s="88" t="s">
        <v>1619</v>
      </c>
      <c r="F63" s="97" t="str">
        <f t="shared" si="4"/>
        <v xml:space="preserve">Nguyễn Tiến Phát </v>
      </c>
      <c r="G63" s="100" t="str">
        <f t="shared" si="5"/>
        <v>23144136</v>
      </c>
      <c r="H63" s="100" t="str">
        <f>VLOOKUP(C63,'[1]DM Đề tài SV ký HĐ (thay đổi)'!$B$1:$Q$475,15,0)</f>
        <v>23144136@student.hcmute.edu.vn</v>
      </c>
      <c r="I63" s="107" t="str">
        <f>VLOOKUP(C63,'[1]DM Đề tài SV ký HĐ (thay đổi)'!$B$1:$Q$475,16,0)</f>
        <v>0386248232</v>
      </c>
      <c r="J63" s="97" t="str">
        <f>VLOOKUP(C63,'[2]DM Đề tài SV ký HĐ (thay đổi)'!$B$1:$I$475,8,0)</f>
        <v>Cơ khí Chế tạo máy</v>
      </c>
      <c r="K63" s="88" t="s">
        <v>1684</v>
      </c>
      <c r="L63" s="84" t="s">
        <v>195</v>
      </c>
      <c r="M63" s="97" t="str">
        <f>VLOOKUP(C63,'[2]DM Đề tài SV ký HĐ (thay đổi)'!$B$1:$O$475,13,0)</f>
        <v>linhdt@hcmute.edu.vn</v>
      </c>
      <c r="N63" s="97" t="str">
        <f>VLOOKUP(C63,'[2]DM Đề tài SV ký HĐ (thay đổi)'!$B$1:$M$475,12,0)</f>
        <v>Khoa CKM</v>
      </c>
      <c r="O63" s="88" t="s">
        <v>1763</v>
      </c>
      <c r="P63" s="92">
        <v>25000000</v>
      </c>
      <c r="Q63" s="88" t="s">
        <v>1650</v>
      </c>
      <c r="R63" s="88"/>
      <c r="S63" s="88"/>
      <c r="T63" s="101">
        <v>2</v>
      </c>
      <c r="U63" s="101" t="s">
        <v>1787</v>
      </c>
      <c r="V63" s="83"/>
      <c r="W63" s="84"/>
      <c r="X63" s="84"/>
      <c r="Y63" s="84"/>
      <c r="Z63" s="84"/>
      <c r="AA63" s="84"/>
      <c r="AB63" s="84"/>
      <c r="AC63" s="84"/>
      <c r="AD63" s="84"/>
      <c r="AE63" s="84"/>
      <c r="AF63" s="84"/>
      <c r="AG63" s="113" t="s">
        <v>1814</v>
      </c>
      <c r="AH63" s="84"/>
    </row>
    <row r="64" spans="1:34" s="87" customFormat="1" ht="109.2" customHeight="1" x14ac:dyDescent="0.25">
      <c r="A64" s="83">
        <v>94</v>
      </c>
      <c r="B64" s="118" t="str">
        <f t="shared" si="3"/>
        <v>96</v>
      </c>
      <c r="C64" s="84" t="s">
        <v>801</v>
      </c>
      <c r="D64" s="88" t="s">
        <v>206</v>
      </c>
      <c r="E64" s="88" t="s">
        <v>1373</v>
      </c>
      <c r="F64" s="97" t="str">
        <f t="shared" si="4"/>
        <v xml:space="preserve">Huỳnh Minh Chiến </v>
      </c>
      <c r="G64" s="100" t="str">
        <f t="shared" si="5"/>
        <v>22143184</v>
      </c>
      <c r="H64" s="100" t="str">
        <f>VLOOKUP(C64,'[1]DM Đề tài SV ký HĐ (thay đổi)'!$B$1:$Q$475,15,0)</f>
        <v>22143184@student.hcmute.edu.vn</v>
      </c>
      <c r="I64" s="107" t="str">
        <f>VLOOKUP(C64,'[1]DM Đề tài SV ký HĐ (thay đổi)'!$B$1:$Q$475,16,0)</f>
        <v>0344776098</v>
      </c>
      <c r="J64" s="97" t="str">
        <f>VLOOKUP(C64,'[2]DM Đề tài SV ký HĐ (thay đổi)'!$B$1:$I$475,8,0)</f>
        <v>Cơ khí Chế tạo máy</v>
      </c>
      <c r="K64" s="88" t="s">
        <v>1374</v>
      </c>
      <c r="L64" s="88" t="s">
        <v>207</v>
      </c>
      <c r="M64" s="97" t="str">
        <f>VLOOKUP(C64,'[2]DM Đề tài SV ký HĐ (thay đổi)'!$B$1:$O$475,13,0)</f>
        <v>linhdt@hcmute.edu.vn</v>
      </c>
      <c r="N64" s="97" t="str">
        <f>VLOOKUP(C64,'[2]DM Đề tài SV ký HĐ (thay đổi)'!$B$1:$M$475,12,0)</f>
        <v>Khoa CKM</v>
      </c>
      <c r="O64" s="88" t="s">
        <v>1568</v>
      </c>
      <c r="P64" s="92">
        <v>10000000</v>
      </c>
      <c r="Q64" s="84" t="s">
        <v>1648</v>
      </c>
      <c r="R64" s="84"/>
      <c r="S64" s="84"/>
      <c r="T64" s="103">
        <v>2</v>
      </c>
      <c r="U64" s="103" t="s">
        <v>1787</v>
      </c>
      <c r="V64" s="83"/>
      <c r="W64" s="84"/>
      <c r="X64" s="84"/>
      <c r="Y64" s="84"/>
      <c r="Z64" s="84"/>
      <c r="AA64" s="84"/>
      <c r="AB64" s="84"/>
      <c r="AC64" s="84"/>
      <c r="AD64" s="84"/>
      <c r="AE64" s="84"/>
      <c r="AF64" s="84"/>
      <c r="AG64" s="113" t="s">
        <v>1814</v>
      </c>
      <c r="AH64" s="84"/>
    </row>
    <row r="65" spans="1:34" s="87" customFormat="1" ht="109.2" customHeight="1" x14ac:dyDescent="0.25">
      <c r="A65" s="83">
        <v>96</v>
      </c>
      <c r="B65" s="118" t="str">
        <f t="shared" si="3"/>
        <v>98</v>
      </c>
      <c r="C65" s="84" t="s">
        <v>802</v>
      </c>
      <c r="D65" s="88" t="s">
        <v>209</v>
      </c>
      <c r="E65" s="88" t="s">
        <v>1375</v>
      </c>
      <c r="F65" s="97" t="str">
        <f t="shared" si="4"/>
        <v xml:space="preserve">Võ Đại Trí </v>
      </c>
      <c r="G65" s="100" t="str">
        <f t="shared" si="5"/>
        <v>23134058</v>
      </c>
      <c r="H65" s="100" t="str">
        <f>VLOOKUP(C65,'[1]DM Đề tài SV ký HĐ (thay đổi)'!$B$1:$Q$475,15,0)</f>
        <v>23134058@student.hcmute.edu.vn</v>
      </c>
      <c r="I65" s="107" t="str">
        <f>VLOOKUP(C65,'[1]DM Đề tài SV ký HĐ (thay đổi)'!$B$1:$Q$475,16,0)</f>
        <v>0814039642</v>
      </c>
      <c r="J65" s="97" t="str">
        <f>VLOOKUP(C65,'[2]DM Đề tài SV ký HĐ (thay đổi)'!$B$1:$I$475,8,0)</f>
        <v>Cơ khí Chế tạo máy</v>
      </c>
      <c r="K65" s="88" t="s">
        <v>1376</v>
      </c>
      <c r="L65" s="88" t="s">
        <v>210</v>
      </c>
      <c r="M65" s="97" t="str">
        <f>VLOOKUP(C65,'[2]DM Đề tài SV ký HĐ (thay đổi)'!$B$1:$O$475,13,0)</f>
        <v>phuongttu@hcmute.edu.vn</v>
      </c>
      <c r="N65" s="97" t="str">
        <f>VLOOKUP(C65,'[2]DM Đề tài SV ký HĐ (thay đổi)'!$B$1:$M$475,12,0)</f>
        <v>Khoa CKM</v>
      </c>
      <c r="O65" s="88" t="s">
        <v>208</v>
      </c>
      <c r="P65" s="92">
        <v>15000000</v>
      </c>
      <c r="Q65" s="85" t="s">
        <v>1649</v>
      </c>
      <c r="R65" s="85"/>
      <c r="S65" s="85"/>
      <c r="T65" s="103">
        <v>2</v>
      </c>
      <c r="U65" s="103" t="s">
        <v>1787</v>
      </c>
      <c r="V65" s="83"/>
      <c r="W65" s="84"/>
      <c r="X65" s="84"/>
      <c r="Y65" s="84"/>
      <c r="Z65" s="84"/>
      <c r="AA65" s="84"/>
      <c r="AB65" s="84"/>
      <c r="AC65" s="84"/>
      <c r="AD65" s="84"/>
      <c r="AE65" s="84"/>
      <c r="AF65" s="84"/>
      <c r="AG65" s="113" t="s">
        <v>1814</v>
      </c>
      <c r="AH65" s="84"/>
    </row>
    <row r="66" spans="1:34" s="87" customFormat="1" ht="109.2" customHeight="1" x14ac:dyDescent="0.25">
      <c r="A66" s="83">
        <v>97</v>
      </c>
      <c r="B66" s="118" t="str">
        <f t="shared" si="3"/>
        <v>99</v>
      </c>
      <c r="C66" s="84" t="s">
        <v>803</v>
      </c>
      <c r="D66" s="88" t="s">
        <v>211</v>
      </c>
      <c r="E66" s="88" t="s">
        <v>1377</v>
      </c>
      <c r="F66" s="97" t="str">
        <f t="shared" si="4"/>
        <v xml:space="preserve">Trần Ngọc Thiên Kim </v>
      </c>
      <c r="G66" s="100" t="str">
        <f t="shared" si="5"/>
        <v>25138023</v>
      </c>
      <c r="H66" s="100" t="str">
        <f>VLOOKUP(C66,'[1]DM Đề tài SV ký HĐ (thay đổi)'!$B$1:$Q$475,15,0)</f>
        <v>25138023@student.hcmute.edu.vn</v>
      </c>
      <c r="I66" s="107" t="str">
        <f>VLOOKUP(C66,'[1]DM Đề tài SV ký HĐ (thay đổi)'!$B$1:$Q$475,16,0)</f>
        <v>0989366903</v>
      </c>
      <c r="J66" s="97" t="str">
        <f>VLOOKUP(C66,'[2]DM Đề tài SV ký HĐ (thay đổi)'!$B$1:$I$475,8,0)</f>
        <v>Cơ khí Chế tạo máy</v>
      </c>
      <c r="K66" s="88" t="s">
        <v>1578</v>
      </c>
      <c r="L66" s="84" t="s">
        <v>212</v>
      </c>
      <c r="M66" s="97" t="str">
        <f>VLOOKUP(C66,'[2]DM Đề tài SV ký HĐ (thay đổi)'!$B$1:$O$475,13,0)</f>
        <v>nvdoan@hcmute.edu.vn</v>
      </c>
      <c r="N66" s="97" t="str">
        <f>VLOOKUP(C66,'[2]DM Đề tài SV ký HĐ (thay đổi)'!$B$1:$M$475,12,0)</f>
        <v>Khoa CKM</v>
      </c>
      <c r="O66" s="88" t="s">
        <v>1524</v>
      </c>
      <c r="P66" s="92">
        <v>10000000</v>
      </c>
      <c r="Q66" s="84" t="s">
        <v>1648</v>
      </c>
      <c r="R66" s="84"/>
      <c r="S66" s="84"/>
      <c r="T66" s="103">
        <v>2</v>
      </c>
      <c r="U66" s="103" t="s">
        <v>1787</v>
      </c>
      <c r="V66" s="83"/>
      <c r="W66" s="84"/>
      <c r="X66" s="84"/>
      <c r="Y66" s="84"/>
      <c r="Z66" s="84"/>
      <c r="AA66" s="84"/>
      <c r="AB66" s="84"/>
      <c r="AC66" s="84"/>
      <c r="AD66" s="84"/>
      <c r="AE66" s="84"/>
      <c r="AF66" s="84"/>
      <c r="AG66" s="113" t="s">
        <v>1814</v>
      </c>
      <c r="AH66" s="84"/>
    </row>
    <row r="67" spans="1:34" s="87" customFormat="1" ht="109.2" customHeight="1" x14ac:dyDescent="0.25">
      <c r="A67" s="83">
        <v>98</v>
      </c>
      <c r="B67" s="118" t="str">
        <f>RIGHT(C67,3)</f>
        <v>100</v>
      </c>
      <c r="C67" s="84" t="s">
        <v>804</v>
      </c>
      <c r="D67" s="88" t="s">
        <v>213</v>
      </c>
      <c r="E67" s="88" t="s">
        <v>1378</v>
      </c>
      <c r="F67" s="97" t="str">
        <f t="shared" si="4"/>
        <v xml:space="preserve">Đỗ Trần Nhật Minh </v>
      </c>
      <c r="G67" s="100" t="str">
        <f t="shared" si="5"/>
        <v>23144119</v>
      </c>
      <c r="H67" s="100" t="str">
        <f>VLOOKUP(C67,'[1]DM Đề tài SV ký HĐ (thay đổi)'!$B$1:$Q$475,15,0)</f>
        <v>23144119@student.hcmute.edu.vn</v>
      </c>
      <c r="I67" s="107" t="str">
        <f>VLOOKUP(C67,'[1]DM Đề tài SV ký HĐ (thay đổi)'!$B$1:$Q$475,16,0)</f>
        <v>0919135655</v>
      </c>
      <c r="J67" s="97" t="str">
        <f>VLOOKUP(C67,'[2]DM Đề tài SV ký HĐ (thay đổi)'!$B$1:$I$475,8,0)</f>
        <v>Cơ khí Chế tạo máy</v>
      </c>
      <c r="K67" s="88" t="s">
        <v>1473</v>
      </c>
      <c r="L67" s="88" t="s">
        <v>214</v>
      </c>
      <c r="M67" s="97" t="str">
        <f>VLOOKUP(C67,'[2]DM Đề tài SV ký HĐ (thay đổi)'!$B$1:$O$475,13,0)</f>
        <v>hangvk@hcmute.edu.vn</v>
      </c>
      <c r="N67" s="97" t="str">
        <f>VLOOKUP(C67,'[2]DM Đề tài SV ký HĐ (thay đổi)'!$B$1:$M$475,12,0)</f>
        <v>Khoa CKM</v>
      </c>
      <c r="O67" s="88" t="s">
        <v>1763</v>
      </c>
      <c r="P67" s="92">
        <v>25000000</v>
      </c>
      <c r="Q67" s="88" t="s">
        <v>1650</v>
      </c>
      <c r="R67" s="88"/>
      <c r="S67" s="88"/>
      <c r="T67" s="101">
        <v>2</v>
      </c>
      <c r="U67" s="103" t="s">
        <v>1787</v>
      </c>
      <c r="V67" s="83"/>
      <c r="W67" s="84"/>
      <c r="X67" s="84"/>
      <c r="Y67" s="84"/>
      <c r="Z67" s="84"/>
      <c r="AA67" s="84"/>
      <c r="AB67" s="84"/>
      <c r="AC67" s="84"/>
      <c r="AD67" s="84"/>
      <c r="AE67" s="84"/>
      <c r="AF67" s="84"/>
      <c r="AG67" s="114" t="s">
        <v>1813</v>
      </c>
      <c r="AH67" s="84"/>
    </row>
    <row r="68" spans="1:34" s="87" customFormat="1" ht="109.2" customHeight="1" x14ac:dyDescent="0.25">
      <c r="A68" s="83">
        <v>99</v>
      </c>
      <c r="B68" s="118" t="str">
        <f t="shared" ref="B68:B125" si="6">RIGHT(C68,3)</f>
        <v>101</v>
      </c>
      <c r="C68" s="84" t="s">
        <v>805</v>
      </c>
      <c r="D68" s="88" t="s">
        <v>215</v>
      </c>
      <c r="E68" s="88" t="s">
        <v>1379</v>
      </c>
      <c r="F68" s="97" t="str">
        <f t="shared" si="4"/>
        <v xml:space="preserve">Nguyễn Thành Luân </v>
      </c>
      <c r="G68" s="100" t="str">
        <f t="shared" si="5"/>
        <v>22144142</v>
      </c>
      <c r="H68" s="100" t="str">
        <f>VLOOKUP(C68,'[1]DM Đề tài SV ký HĐ (thay đổi)'!$B$1:$Q$475,15,0)</f>
        <v>22144142@student.hcmute.edu.vn</v>
      </c>
      <c r="I68" s="107" t="str">
        <f>VLOOKUP(C68,'[1]DM Đề tài SV ký HĐ (thay đổi)'!$B$1:$Q$475,16,0)</f>
        <v>0981698495</v>
      </c>
      <c r="J68" s="97" t="str">
        <f>VLOOKUP(C68,'[2]DM Đề tài SV ký HĐ (thay đổi)'!$B$1:$I$475,8,0)</f>
        <v>Cơ khí Chế tạo máy</v>
      </c>
      <c r="K68" s="88" t="s">
        <v>1380</v>
      </c>
      <c r="L68" s="84" t="s">
        <v>216</v>
      </c>
      <c r="M68" s="97" t="str">
        <f>VLOOKUP(C68,'[2]DM Đề tài SV ký HĐ (thay đổi)'!$B$1:$O$475,13,0)</f>
        <v>minhps@hcmute.edu.vn</v>
      </c>
      <c r="N68" s="97" t="str">
        <f>VLOOKUP(C68,'[2]DM Đề tài SV ký HĐ (thay đổi)'!$B$1:$M$475,12,0)</f>
        <v>Khoa CKM</v>
      </c>
      <c r="O68" s="88" t="s">
        <v>1763</v>
      </c>
      <c r="P68" s="92">
        <v>25000000</v>
      </c>
      <c r="Q68" s="88" t="s">
        <v>1650</v>
      </c>
      <c r="R68" s="88"/>
      <c r="S68" s="88"/>
      <c r="T68" s="101">
        <v>2</v>
      </c>
      <c r="U68" s="103" t="s">
        <v>1787</v>
      </c>
      <c r="V68" s="83"/>
      <c r="W68" s="84"/>
      <c r="X68" s="84"/>
      <c r="Y68" s="84"/>
      <c r="Z68" s="84"/>
      <c r="AA68" s="84"/>
      <c r="AB68" s="84"/>
      <c r="AC68" s="84"/>
      <c r="AD68" s="84"/>
      <c r="AE68" s="84"/>
      <c r="AF68" s="84"/>
      <c r="AG68" s="113" t="s">
        <v>1814</v>
      </c>
      <c r="AH68" s="84"/>
    </row>
    <row r="69" spans="1:34" s="87" customFormat="1" ht="109.2" customHeight="1" x14ac:dyDescent="0.25">
      <c r="A69" s="83">
        <v>100</v>
      </c>
      <c r="B69" s="118" t="str">
        <f t="shared" si="6"/>
        <v>102</v>
      </c>
      <c r="C69" s="84" t="s">
        <v>806</v>
      </c>
      <c r="D69" s="84" t="s">
        <v>217</v>
      </c>
      <c r="E69" s="84" t="s">
        <v>1381</v>
      </c>
      <c r="F69" s="97" t="str">
        <f t="shared" si="4"/>
        <v xml:space="preserve">Cù Khánh An </v>
      </c>
      <c r="G69" s="100" t="str">
        <f t="shared" si="5"/>
        <v>22144045</v>
      </c>
      <c r="H69" s="100" t="str">
        <f>VLOOKUP(C69,'[1]DM Đề tài SV ký HĐ (thay đổi)'!$B$1:$Q$475,15,0)</f>
        <v>22144045@student.hcmute.edu.vn</v>
      </c>
      <c r="I69" s="107" t="str">
        <f>VLOOKUP(C69,'[1]DM Đề tài SV ký HĐ (thay đổi)'!$B$1:$Q$475,16,0)</f>
        <v>0356574202</v>
      </c>
      <c r="J69" s="97" t="str">
        <f>VLOOKUP(C69,'[2]DM Đề tài SV ký HĐ (thay đổi)'!$B$1:$I$475,8,0)</f>
        <v>Cơ khí Chế tạo máy</v>
      </c>
      <c r="K69" s="84" t="s">
        <v>1707</v>
      </c>
      <c r="L69" s="84" t="s">
        <v>174</v>
      </c>
      <c r="M69" s="97" t="str">
        <f>VLOOKUP(C69,'[2]DM Đề tài SV ký HĐ (thay đổi)'!$B$1:$O$475,13,0)</f>
        <v>nvthuc@hcmute.edu.vn</v>
      </c>
      <c r="N69" s="97" t="str">
        <f>VLOOKUP(C69,'[2]DM Đề tài SV ký HĐ (thay đổi)'!$B$1:$M$475,12,0)</f>
        <v>Khoa CKM</v>
      </c>
      <c r="O69" s="88" t="s">
        <v>1717</v>
      </c>
      <c r="P69" s="92">
        <v>5000000</v>
      </c>
      <c r="Q69" s="84" t="s">
        <v>1647</v>
      </c>
      <c r="R69" s="84"/>
      <c r="S69" s="84"/>
      <c r="T69" s="101">
        <v>2</v>
      </c>
      <c r="U69" s="103" t="s">
        <v>1787</v>
      </c>
      <c r="V69" s="83"/>
      <c r="W69" s="84"/>
      <c r="X69" s="84"/>
      <c r="Y69" s="84"/>
      <c r="Z69" s="84"/>
      <c r="AA69" s="84"/>
      <c r="AB69" s="84"/>
      <c r="AC69" s="84"/>
      <c r="AD69" s="84"/>
      <c r="AE69" s="84"/>
      <c r="AF69" s="84"/>
      <c r="AG69" s="114" t="s">
        <v>1813</v>
      </c>
      <c r="AH69" s="84"/>
    </row>
    <row r="70" spans="1:34" s="87" customFormat="1" ht="109.2" customHeight="1" x14ac:dyDescent="0.25">
      <c r="A70" s="83">
        <v>101</v>
      </c>
      <c r="B70" s="83" t="str">
        <f t="shared" si="6"/>
        <v>103</v>
      </c>
      <c r="C70" s="84" t="s">
        <v>807</v>
      </c>
      <c r="D70" s="88" t="s">
        <v>218</v>
      </c>
      <c r="E70" s="88" t="s">
        <v>1382</v>
      </c>
      <c r="F70" s="97" t="str">
        <f t="shared" si="4"/>
        <v xml:space="preserve">Nguyễn Thành Quý </v>
      </c>
      <c r="G70" s="100" t="str">
        <f t="shared" si="5"/>
        <v>22146209</v>
      </c>
      <c r="H70" s="100" t="str">
        <f>VLOOKUP(C70,'[1]DM Đề tài SV ký HĐ (thay đổi)'!$B$1:$Q$475,15,0)</f>
        <v>22146209@student.hcmute.edu.vn</v>
      </c>
      <c r="I70" s="107" t="str">
        <f>VLOOKUP(C70,'[1]DM Đề tài SV ký HĐ (thay đổi)'!$B$1:$Q$475,16,0)</f>
        <v>0941 899 501</v>
      </c>
      <c r="J70" s="97" t="str">
        <f>VLOOKUP(C70,'[2]DM Đề tài SV ký HĐ (thay đổi)'!$B$1:$I$475,8,0)</f>
        <v>Cơ khí Chế tạo máy</v>
      </c>
      <c r="K70" s="88" t="s">
        <v>1383</v>
      </c>
      <c r="L70" s="84" t="s">
        <v>219</v>
      </c>
      <c r="M70" s="97" t="str">
        <f>VLOOKUP(C70,'[2]DM Đề tài SV ký HĐ (thay đổi)'!$B$1:$O$475,13,0)</f>
        <v>thotp@hcmute.edu.vn</v>
      </c>
      <c r="N70" s="97" t="str">
        <f>VLOOKUP(C70,'[2]DM Đề tài SV ký HĐ (thay đổi)'!$B$1:$M$475,12,0)</f>
        <v>Khoa CKM</v>
      </c>
      <c r="O70" s="88" t="s">
        <v>1525</v>
      </c>
      <c r="P70" s="92">
        <v>10000000</v>
      </c>
      <c r="Q70" s="84" t="s">
        <v>1648</v>
      </c>
      <c r="R70" s="84"/>
      <c r="S70" s="84"/>
      <c r="T70" s="105" t="s">
        <v>1827</v>
      </c>
      <c r="V70" s="83"/>
      <c r="W70" s="84"/>
      <c r="X70" s="84"/>
      <c r="Y70" s="84"/>
      <c r="Z70" s="84"/>
      <c r="AA70" s="84"/>
      <c r="AB70" s="84"/>
      <c r="AC70" s="84"/>
      <c r="AD70" s="84"/>
      <c r="AE70" s="84"/>
      <c r="AF70" s="84"/>
      <c r="AG70" s="85"/>
      <c r="AH70" s="96" t="s">
        <v>1818</v>
      </c>
    </row>
    <row r="71" spans="1:34" s="87" customFormat="1" ht="109.2" customHeight="1" x14ac:dyDescent="0.25">
      <c r="A71" s="83">
        <v>102</v>
      </c>
      <c r="B71" s="118" t="str">
        <f t="shared" si="6"/>
        <v>104</v>
      </c>
      <c r="C71" s="84" t="s">
        <v>808</v>
      </c>
      <c r="D71" s="84" t="s">
        <v>220</v>
      </c>
      <c r="E71" s="88" t="s">
        <v>1384</v>
      </c>
      <c r="F71" s="97" t="str">
        <f t="shared" si="4"/>
        <v xml:space="preserve">Nguyễn Duy Khanh </v>
      </c>
      <c r="G71" s="100" t="str">
        <f t="shared" si="5"/>
        <v>23145330</v>
      </c>
      <c r="H71" s="100" t="str">
        <f>VLOOKUP(C71,'[1]DM Đề tài SV ký HĐ (thay đổi)'!$B$1:$Q$475,15,0)</f>
        <v>23145330@student.hcmute.edu.vn</v>
      </c>
      <c r="I71" s="107" t="str">
        <f>VLOOKUP(C71,'[1]DM Đề tài SV ký HĐ (thay đổi)'!$B$1:$Q$475,16,0)</f>
        <v>0329201064</v>
      </c>
      <c r="J71" s="97" t="str">
        <f>VLOOKUP(C71,'[2]DM Đề tài SV ký HĐ (thay đổi)'!$B$1:$I$475,8,0)</f>
        <v>Cơ khí Chế tạo máy</v>
      </c>
      <c r="K71" s="84" t="s">
        <v>1688</v>
      </c>
      <c r="L71" s="84" t="s">
        <v>185</v>
      </c>
      <c r="M71" s="97" t="str">
        <f>VLOOKUP(C71,'[2]DM Đề tài SV ký HĐ (thay đổi)'!$B$1:$O$475,13,0)</f>
        <v>sondh@hcmute.edu.vn</v>
      </c>
      <c r="N71" s="97" t="str">
        <f>VLOOKUP(C71,'[2]DM Đề tài SV ký HĐ (thay đổi)'!$B$1:$M$475,12,0)</f>
        <v>Khoa Giao thông và Năng lượng</v>
      </c>
      <c r="O71" s="88" t="s">
        <v>1763</v>
      </c>
      <c r="P71" s="92">
        <v>25000000</v>
      </c>
      <c r="Q71" s="88" t="s">
        <v>1650</v>
      </c>
      <c r="R71" s="88"/>
      <c r="S71" s="88"/>
      <c r="T71" s="103" t="s">
        <v>1787</v>
      </c>
      <c r="V71" s="83"/>
      <c r="W71" s="84"/>
      <c r="X71" s="84"/>
      <c r="Y71" s="84"/>
      <c r="Z71" s="84"/>
      <c r="AA71" s="84"/>
      <c r="AB71" s="84"/>
      <c r="AC71" s="84"/>
      <c r="AD71" s="84"/>
      <c r="AE71" s="84"/>
      <c r="AF71" s="84"/>
      <c r="AG71" s="114" t="s">
        <v>1813</v>
      </c>
      <c r="AH71" s="84"/>
    </row>
    <row r="72" spans="1:34" s="87" customFormat="1" ht="109.2" customHeight="1" x14ac:dyDescent="0.25">
      <c r="A72" s="83">
        <v>103</v>
      </c>
      <c r="B72" s="118" t="str">
        <f t="shared" si="6"/>
        <v>105</v>
      </c>
      <c r="C72" s="84" t="s">
        <v>809</v>
      </c>
      <c r="D72" s="88" t="s">
        <v>221</v>
      </c>
      <c r="E72" s="88" t="s">
        <v>1385</v>
      </c>
      <c r="F72" s="97" t="str">
        <f t="shared" si="4"/>
        <v xml:space="preserve">Nguyễn Trương Phú Khoa </v>
      </c>
      <c r="G72" s="100" t="str">
        <f t="shared" si="5"/>
        <v>23144101</v>
      </c>
      <c r="H72" s="100" t="str">
        <f>VLOOKUP(C72,'[1]DM Đề tài SV ký HĐ (thay đổi)'!$B$1:$Q$475,15,0)</f>
        <v>23144101@student.hcmute.edu.vn</v>
      </c>
      <c r="I72" s="107" t="str">
        <f>VLOOKUP(C72,'[1]DM Đề tài SV ký HĐ (thay đổi)'!$B$1:$Q$475,16,0)</f>
        <v>0856092299</v>
      </c>
      <c r="J72" s="97" t="str">
        <f>VLOOKUP(C72,'[2]DM Đề tài SV ký HĐ (thay đổi)'!$B$1:$I$475,8,0)</f>
        <v>Cơ khí Chế tạo máy</v>
      </c>
      <c r="K72" s="88" t="s">
        <v>1386</v>
      </c>
      <c r="L72" s="84" t="s">
        <v>187</v>
      </c>
      <c r="M72" s="97" t="str">
        <f>VLOOKUP(C72,'[2]DM Đề tài SV ký HĐ (thay đổi)'!$B$1:$O$475,13,0)</f>
        <v>anhdtv@hcmute.edu.vn</v>
      </c>
      <c r="N72" s="97" t="str">
        <f>VLOOKUP(C72,'[2]DM Đề tài SV ký HĐ (thay đổi)'!$B$1:$M$475,12,0)</f>
        <v>Khoa CKM</v>
      </c>
      <c r="O72" s="88" t="s">
        <v>1717</v>
      </c>
      <c r="P72" s="90">
        <v>5000000</v>
      </c>
      <c r="Q72" s="84" t="s">
        <v>1647</v>
      </c>
      <c r="R72" s="84"/>
      <c r="S72" s="84"/>
      <c r="T72" s="103" t="s">
        <v>1787</v>
      </c>
      <c r="V72" s="83" t="s">
        <v>1787</v>
      </c>
      <c r="W72" s="96" t="s">
        <v>1787</v>
      </c>
      <c r="X72" s="84"/>
      <c r="Y72" s="84"/>
      <c r="Z72" s="84"/>
      <c r="AA72" s="84">
        <v>6</v>
      </c>
      <c r="AB72" s="84">
        <v>2049</v>
      </c>
      <c r="AC72" s="85" t="s">
        <v>1812</v>
      </c>
      <c r="AD72" s="112">
        <v>83.3</v>
      </c>
      <c r="AE72" s="112" t="s">
        <v>1806</v>
      </c>
      <c r="AF72" s="84">
        <v>0</v>
      </c>
      <c r="AG72" s="114" t="s">
        <v>1813</v>
      </c>
      <c r="AH72" s="84"/>
    </row>
    <row r="73" spans="1:34" s="87" customFormat="1" ht="109.2" customHeight="1" x14ac:dyDescent="0.25">
      <c r="A73" s="83">
        <v>104</v>
      </c>
      <c r="B73" s="118" t="str">
        <f t="shared" si="6"/>
        <v>106</v>
      </c>
      <c r="C73" s="84" t="s">
        <v>810</v>
      </c>
      <c r="D73" s="88" t="s">
        <v>222</v>
      </c>
      <c r="E73" s="88" t="s">
        <v>1387</v>
      </c>
      <c r="F73" s="97" t="str">
        <f t="shared" si="4"/>
        <v xml:space="preserve">Nguyễn Hữu Trọng </v>
      </c>
      <c r="G73" s="100" t="str">
        <f t="shared" si="5"/>
        <v>23143371</v>
      </c>
      <c r="H73" s="100" t="str">
        <f>VLOOKUP(C73,'[1]DM Đề tài SV ký HĐ (thay đổi)'!$B$1:$Q$475,15,0)</f>
        <v>23143371@student.hcmute.edu.vn</v>
      </c>
      <c r="I73" s="107" t="str">
        <f>VLOOKUP(C73,'[1]DM Đề tài SV ký HĐ (thay đổi)'!$B$1:$Q$475,16,0)</f>
        <v>0387823612</v>
      </c>
      <c r="J73" s="97" t="str">
        <f>VLOOKUP(C73,'[2]DM Đề tài SV ký HĐ (thay đổi)'!$B$1:$I$475,8,0)</f>
        <v>Cơ khí Chế tạo máy</v>
      </c>
      <c r="K73" s="88" t="s">
        <v>1388</v>
      </c>
      <c r="L73" s="84" t="s">
        <v>223</v>
      </c>
      <c r="M73" s="97" t="str">
        <f>VLOOKUP(C73,'[2]DM Đề tài SV ký HĐ (thay đổi)'!$B$1:$O$475,13,0)</f>
        <v>thientn@hcmute.edu.vn</v>
      </c>
      <c r="N73" s="97" t="str">
        <f>VLOOKUP(C73,'[2]DM Đề tài SV ký HĐ (thay đổi)'!$B$1:$M$475,12,0)</f>
        <v>Khoa CKM</v>
      </c>
      <c r="O73" s="88" t="s">
        <v>1764</v>
      </c>
      <c r="P73" s="92">
        <v>10000000</v>
      </c>
      <c r="Q73" s="84" t="s">
        <v>1648</v>
      </c>
      <c r="R73" s="84"/>
      <c r="S73" s="84"/>
      <c r="T73" s="103" t="s">
        <v>1787</v>
      </c>
      <c r="V73" s="83"/>
      <c r="W73" s="84"/>
      <c r="X73" s="84"/>
      <c r="Y73" s="84"/>
      <c r="Z73" s="84"/>
      <c r="AA73" s="84"/>
      <c r="AB73" s="84"/>
      <c r="AC73" s="84"/>
      <c r="AD73" s="84"/>
      <c r="AE73" s="84"/>
      <c r="AF73" s="84"/>
      <c r="AG73" s="114" t="s">
        <v>1813</v>
      </c>
      <c r="AH73" s="84"/>
    </row>
    <row r="74" spans="1:34" s="87" customFormat="1" ht="109.2" customHeight="1" x14ac:dyDescent="0.25">
      <c r="A74" s="83">
        <v>105</v>
      </c>
      <c r="B74" s="118" t="str">
        <f t="shared" si="6"/>
        <v>108</v>
      </c>
      <c r="C74" s="84" t="s">
        <v>811</v>
      </c>
      <c r="D74" s="88" t="s">
        <v>224</v>
      </c>
      <c r="E74" s="88" t="s">
        <v>1389</v>
      </c>
      <c r="F74" s="97" t="str">
        <f t="shared" si="4"/>
        <v xml:space="preserve">Đinh Thành Luân </v>
      </c>
      <c r="G74" s="100" t="str">
        <f t="shared" si="5"/>
        <v>23143024</v>
      </c>
      <c r="H74" s="100" t="str">
        <f>VLOOKUP(C74,'[1]DM Đề tài SV ký HĐ (thay đổi)'!$B$1:$Q$475,15,0)</f>
        <v>23143024@student.hcmute.edu.vn</v>
      </c>
      <c r="I74" s="107" t="str">
        <f>VLOOKUP(C74,'[1]DM Đề tài SV ký HĐ (thay đổi)'!$B$1:$Q$475,16,0)</f>
        <v>0398769709</v>
      </c>
      <c r="J74" s="97" t="str">
        <f>VLOOKUP(C74,'[2]DM Đề tài SV ký HĐ (thay đổi)'!$B$1:$I$475,8,0)</f>
        <v>Cơ khí Chế tạo máy</v>
      </c>
      <c r="K74" s="88" t="s">
        <v>1558</v>
      </c>
      <c r="L74" s="84" t="s">
        <v>199</v>
      </c>
      <c r="M74" s="97" t="str">
        <f>VLOOKUP(C74,'[2]DM Đề tài SV ký HĐ (thay đổi)'!$B$1:$O$475,13,0)</f>
        <v>namnh@hcmute.edu.vn</v>
      </c>
      <c r="N74" s="97" t="str">
        <f>VLOOKUP(C74,'[2]DM Đề tài SV ký HĐ (thay đổi)'!$B$1:$M$475,12,0)</f>
        <v>Khoa CKM</v>
      </c>
      <c r="O74" s="88" t="s">
        <v>1717</v>
      </c>
      <c r="P74" s="92">
        <v>5000000</v>
      </c>
      <c r="Q74" s="84" t="s">
        <v>1647</v>
      </c>
      <c r="R74" s="84"/>
      <c r="S74" s="84"/>
      <c r="T74" s="103" t="s">
        <v>1787</v>
      </c>
      <c r="V74" s="83"/>
      <c r="W74" s="84"/>
      <c r="X74" s="84"/>
      <c r="Y74" s="84"/>
      <c r="Z74" s="84"/>
      <c r="AA74" s="84"/>
      <c r="AB74" s="84"/>
      <c r="AC74" s="84"/>
      <c r="AD74" s="84"/>
      <c r="AE74" s="84"/>
      <c r="AF74" s="84"/>
      <c r="AG74" s="114" t="s">
        <v>1813</v>
      </c>
      <c r="AH74" s="84"/>
    </row>
    <row r="75" spans="1:34" s="87" customFormat="1" ht="109.2" customHeight="1" x14ac:dyDescent="0.25">
      <c r="A75" s="83">
        <v>106</v>
      </c>
      <c r="B75" s="118" t="str">
        <f t="shared" si="6"/>
        <v>109</v>
      </c>
      <c r="C75" s="84" t="s">
        <v>812</v>
      </c>
      <c r="D75" s="88" t="s">
        <v>225</v>
      </c>
      <c r="E75" s="88" t="s">
        <v>1390</v>
      </c>
      <c r="F75" s="97" t="str">
        <f t="shared" si="4"/>
        <v xml:space="preserve">Võ Hồng Đức </v>
      </c>
      <c r="G75" s="100" t="str">
        <f t="shared" si="5"/>
        <v>24134023</v>
      </c>
      <c r="H75" s="100" t="str">
        <f>VLOOKUP(C75,'[1]DM Đề tài SV ký HĐ (thay đổi)'!$B$1:$Q$475,15,0)</f>
        <v>24134023@student.hcmute.edu.vn</v>
      </c>
      <c r="I75" s="107" t="str">
        <f>VLOOKUP(C75,'[1]DM Đề tài SV ký HĐ (thay đổi)'!$B$1:$Q$475,16,0)</f>
        <v>0987482611</v>
      </c>
      <c r="J75" s="97" t="str">
        <f>VLOOKUP(C75,'[2]DM Đề tài SV ký HĐ (thay đổi)'!$B$1:$I$475,8,0)</f>
        <v>Cơ khí Chế tạo máy</v>
      </c>
      <c r="K75" s="88" t="s">
        <v>1391</v>
      </c>
      <c r="L75" s="84" t="s">
        <v>226</v>
      </c>
      <c r="M75" s="97" t="str">
        <f>VLOOKUP(C75,'[2]DM Đề tài SV ký HĐ (thay đổi)'!$B$1:$O$475,13,0)</f>
        <v>hainld@hcmute.edu.vn</v>
      </c>
      <c r="N75" s="97" t="str">
        <f>VLOOKUP(C75,'[2]DM Đề tài SV ký HĐ (thay đổi)'!$B$1:$M$475,12,0)</f>
        <v>Khoa CKM</v>
      </c>
      <c r="O75" s="88" t="s">
        <v>197</v>
      </c>
      <c r="P75" s="92">
        <v>10000000</v>
      </c>
      <c r="Q75" s="84" t="s">
        <v>1648</v>
      </c>
      <c r="R75" s="84"/>
      <c r="S75" s="84"/>
      <c r="T75" s="103" t="s">
        <v>1787</v>
      </c>
      <c r="V75" s="83"/>
      <c r="W75" s="84"/>
      <c r="X75" s="84"/>
      <c r="Y75" s="84"/>
      <c r="Z75" s="84"/>
      <c r="AA75" s="84"/>
      <c r="AB75" s="84"/>
      <c r="AC75" s="84"/>
      <c r="AD75" s="84"/>
      <c r="AE75" s="84"/>
      <c r="AF75" s="84"/>
      <c r="AG75" s="113" t="s">
        <v>1814</v>
      </c>
      <c r="AH75" s="84"/>
    </row>
    <row r="76" spans="1:34" s="87" customFormat="1" ht="109.2" customHeight="1" x14ac:dyDescent="0.25">
      <c r="A76" s="83">
        <v>107</v>
      </c>
      <c r="B76" s="118" t="str">
        <f t="shared" si="6"/>
        <v>110</v>
      </c>
      <c r="C76" s="84" t="s">
        <v>813</v>
      </c>
      <c r="D76" s="84" t="s">
        <v>228</v>
      </c>
      <c r="E76" s="88" t="s">
        <v>1392</v>
      </c>
      <c r="F76" s="97" t="str">
        <f t="shared" si="4"/>
        <v xml:space="preserve">Võ Hồng Bảo </v>
      </c>
      <c r="G76" s="100" t="str">
        <f t="shared" si="5"/>
        <v>24144119</v>
      </c>
      <c r="H76" s="100" t="str">
        <f>VLOOKUP(C76,'[1]DM Đề tài SV ký HĐ (thay đổi)'!$B$1:$Q$475,15,0)</f>
        <v>24144119@student.hcmute.edu.vn</v>
      </c>
      <c r="I76" s="107" t="str">
        <f>VLOOKUP(C76,'[1]DM Đề tài SV ký HĐ (thay đổi)'!$B$1:$Q$475,16,0)</f>
        <v>0774923861</v>
      </c>
      <c r="J76" s="97" t="str">
        <f>VLOOKUP(C76,'[2]DM Đề tài SV ký HĐ (thay đổi)'!$B$1:$I$475,8,0)</f>
        <v>Cơ khí Chế tạo máy</v>
      </c>
      <c r="K76" s="84" t="s">
        <v>1690</v>
      </c>
      <c r="L76" s="84" t="s">
        <v>229</v>
      </c>
      <c r="M76" s="97" t="str">
        <f>VLOOKUP(C76,'[2]DM Đề tài SV ký HĐ (thay đổi)'!$B$1:$O$475,13,0)</f>
        <v>tranthaison@hcmute.edu.vn</v>
      </c>
      <c r="N76" s="97" t="str">
        <f>VLOOKUP(C76,'[2]DM Đề tài SV ký HĐ (thay đổi)'!$B$1:$M$475,12,0)</f>
        <v>Khoa CKM</v>
      </c>
      <c r="O76" s="88" t="s">
        <v>1763</v>
      </c>
      <c r="P76" s="92">
        <v>25000000</v>
      </c>
      <c r="Q76" s="88" t="s">
        <v>1650</v>
      </c>
      <c r="R76" s="88"/>
      <c r="S76" s="88"/>
      <c r="T76" s="103" t="s">
        <v>1787</v>
      </c>
      <c r="V76" s="83"/>
      <c r="W76" s="84"/>
      <c r="X76" s="84"/>
      <c r="Y76" s="84"/>
      <c r="Z76" s="84"/>
      <c r="AA76" s="84"/>
      <c r="AB76" s="84"/>
      <c r="AC76" s="84"/>
      <c r="AD76" s="84"/>
      <c r="AE76" s="84"/>
      <c r="AF76" s="84"/>
      <c r="AG76" s="114" t="s">
        <v>1813</v>
      </c>
      <c r="AH76" s="84"/>
    </row>
    <row r="77" spans="1:34" s="87" customFormat="1" ht="109.2" customHeight="1" x14ac:dyDescent="0.25">
      <c r="A77" s="83">
        <v>108</v>
      </c>
      <c r="B77" s="118" t="str">
        <f t="shared" si="6"/>
        <v>111</v>
      </c>
      <c r="C77" s="84" t="s">
        <v>814</v>
      </c>
      <c r="D77" s="84" t="s">
        <v>230</v>
      </c>
      <c r="E77" s="88" t="s">
        <v>1703</v>
      </c>
      <c r="F77" s="97" t="str">
        <f t="shared" si="4"/>
        <v xml:space="preserve">Trần Khải An </v>
      </c>
      <c r="G77" s="100" t="str">
        <f t="shared" si="5"/>
        <v>24144109</v>
      </c>
      <c r="H77" s="100" t="str">
        <f>VLOOKUP(C77,'[1]DM Đề tài SV ký HĐ (thay đổi)'!$B$1:$Q$475,15,0)</f>
        <v>22144016@student.hcmute.edu.vn</v>
      </c>
      <c r="I77" s="107" t="str">
        <f>VLOOKUP(C77,'[1]DM Đề tài SV ký HĐ (thay đổi)'!$B$1:$Q$475,16,0)</f>
        <v>0899205726</v>
      </c>
      <c r="J77" s="97" t="str">
        <f>VLOOKUP(C77,'[2]DM Đề tài SV ký HĐ (thay đổi)'!$B$1:$I$475,8,0)</f>
        <v>Cơ khí Chế tạo máy</v>
      </c>
      <c r="K77" s="84" t="s">
        <v>1702</v>
      </c>
      <c r="L77" s="84" t="s">
        <v>229</v>
      </c>
      <c r="M77" s="97" t="str">
        <f>VLOOKUP(C77,'[2]DM Đề tài SV ký HĐ (thay đổi)'!$B$1:$O$475,13,0)</f>
        <v>tranthaison@hcmute.edu.vn</v>
      </c>
      <c r="N77" s="97" t="str">
        <f>VLOOKUP(C77,'[2]DM Đề tài SV ký HĐ (thay đổi)'!$B$1:$M$475,12,0)</f>
        <v>Khoa CKM</v>
      </c>
      <c r="O77" s="88" t="s">
        <v>1763</v>
      </c>
      <c r="P77" s="92">
        <v>25000000</v>
      </c>
      <c r="Q77" s="88" t="s">
        <v>1650</v>
      </c>
      <c r="R77" s="88"/>
      <c r="S77" s="88"/>
      <c r="T77" s="84" t="s">
        <v>1787</v>
      </c>
      <c r="V77" s="83"/>
      <c r="W77" s="84"/>
      <c r="X77" s="84"/>
      <c r="Y77" s="84"/>
      <c r="Z77" s="84"/>
      <c r="AA77" s="84"/>
      <c r="AB77" s="84"/>
      <c r="AC77" s="84"/>
      <c r="AD77" s="84"/>
      <c r="AE77" s="84"/>
      <c r="AF77" s="84"/>
      <c r="AG77" s="114" t="s">
        <v>1813</v>
      </c>
      <c r="AH77" s="84"/>
    </row>
    <row r="78" spans="1:34" s="87" customFormat="1" ht="109.2" customHeight="1" x14ac:dyDescent="0.25">
      <c r="A78" s="83">
        <v>109</v>
      </c>
      <c r="B78" s="118" t="str">
        <f t="shared" si="6"/>
        <v>112</v>
      </c>
      <c r="C78" s="84" t="s">
        <v>815</v>
      </c>
      <c r="D78" s="84" t="s">
        <v>1071</v>
      </c>
      <c r="E78" s="88" t="s">
        <v>1393</v>
      </c>
      <c r="F78" s="97" t="str">
        <f t="shared" si="4"/>
        <v xml:space="preserve">Nguyễn Đỗ Hoàng An </v>
      </c>
      <c r="G78" s="100" t="str">
        <f t="shared" si="5"/>
        <v>24104003</v>
      </c>
      <c r="H78" s="100" t="str">
        <f>VLOOKUP(C78,'[1]DM Đề tài SV ký HĐ (thay đổi)'!$B$1:$Q$475,15,0)</f>
        <v>24104003@student.hcmute.edu.vn</v>
      </c>
      <c r="I78" s="107" t="str">
        <f>VLOOKUP(C78,'[1]DM Đề tài SV ký HĐ (thay đổi)'!$B$1:$Q$475,16,0)</f>
        <v>0933418104</v>
      </c>
      <c r="J78" s="97" t="str">
        <f>VLOOKUP(C78,'[2]DM Đề tài SV ký HĐ (thay đổi)'!$B$1:$I$475,8,0)</f>
        <v>Cơ khí Chế tạo máy</v>
      </c>
      <c r="K78" s="84" t="s">
        <v>1394</v>
      </c>
      <c r="L78" s="84" t="s">
        <v>179</v>
      </c>
      <c r="M78" s="97" t="str">
        <f>VLOOKUP(C78,'[2]DM Đề tài SV ký HĐ (thay đổi)'!$B$1:$O$475,13,0)</f>
        <v>sonnv@hcmute.edu.vn</v>
      </c>
      <c r="N78" s="97" t="str">
        <f>VLOOKUP(C78,'[2]DM Đề tài SV ký HĐ (thay đổi)'!$B$1:$M$475,12,0)</f>
        <v>Khoa CKM</v>
      </c>
      <c r="O78" s="88" t="s">
        <v>1763</v>
      </c>
      <c r="P78" s="92">
        <v>25000000</v>
      </c>
      <c r="Q78" s="88" t="s">
        <v>1650</v>
      </c>
      <c r="R78" s="88"/>
      <c r="S78" s="88"/>
      <c r="T78" s="103" t="s">
        <v>1787</v>
      </c>
      <c r="V78" s="83"/>
      <c r="W78" s="84"/>
      <c r="X78" s="84"/>
      <c r="Y78" s="84"/>
      <c r="Z78" s="84"/>
      <c r="AA78" s="84"/>
      <c r="AB78" s="84"/>
      <c r="AC78" s="84"/>
      <c r="AD78" s="84"/>
      <c r="AE78" s="84"/>
      <c r="AF78" s="84"/>
      <c r="AG78" s="114" t="s">
        <v>1813</v>
      </c>
      <c r="AH78" s="84"/>
    </row>
    <row r="79" spans="1:34" s="87" customFormat="1" ht="109.2" customHeight="1" x14ac:dyDescent="0.25">
      <c r="A79" s="83">
        <v>110</v>
      </c>
      <c r="B79" s="118" t="str">
        <f t="shared" si="6"/>
        <v>113</v>
      </c>
      <c r="C79" s="84" t="s">
        <v>816</v>
      </c>
      <c r="D79" s="84" t="s">
        <v>231</v>
      </c>
      <c r="E79" s="88" t="s">
        <v>1395</v>
      </c>
      <c r="F79" s="97" t="str">
        <f t="shared" si="4"/>
        <v xml:space="preserve">Võ Hoàng Việt </v>
      </c>
      <c r="G79" s="100" t="str">
        <f t="shared" si="5"/>
        <v>21143422</v>
      </c>
      <c r="H79" s="100" t="str">
        <f>VLOOKUP(C79,'[1]DM Đề tài SV ký HĐ (thay đổi)'!$B$1:$Q$475,15,0)</f>
        <v>21143422@student.hcmute.edu.vn</v>
      </c>
      <c r="I79" s="107" t="str">
        <f>VLOOKUP(C79,'[1]DM Đề tài SV ký HĐ (thay đổi)'!$B$1:$Q$475,16,0)</f>
        <v>0589415897</v>
      </c>
      <c r="J79" s="97" t="str">
        <f>VLOOKUP(C79,'[2]DM Đề tài SV ký HĐ (thay đổi)'!$B$1:$I$475,8,0)</f>
        <v>Cơ khí Chế tạo máy</v>
      </c>
      <c r="K79" s="84" t="s">
        <v>1396</v>
      </c>
      <c r="L79" s="84" t="s">
        <v>232</v>
      </c>
      <c r="M79" s="97" t="str">
        <f>VLOOKUP(C79,'[2]DM Đề tài SV ký HĐ (thay đổi)'!$B$1:$O$475,13,0)</f>
        <v>binhpc@hcmute.edu.vn</v>
      </c>
      <c r="N79" s="97" t="str">
        <f>VLOOKUP(C79,'[2]DM Đề tài SV ký HĐ (thay đổi)'!$B$1:$M$475,12,0)</f>
        <v>Khoa CKM</v>
      </c>
      <c r="O79" s="88" t="s">
        <v>1763</v>
      </c>
      <c r="P79" s="92">
        <v>25000000</v>
      </c>
      <c r="Q79" s="88" t="s">
        <v>1650</v>
      </c>
      <c r="R79" s="88"/>
      <c r="S79" s="88"/>
      <c r="T79" s="103" t="s">
        <v>1787</v>
      </c>
      <c r="V79" s="83"/>
      <c r="W79" s="84"/>
      <c r="X79" s="84"/>
      <c r="Y79" s="84"/>
      <c r="Z79" s="84"/>
      <c r="AA79" s="84"/>
      <c r="AB79" s="84"/>
      <c r="AC79" s="84"/>
      <c r="AD79" s="84"/>
      <c r="AE79" s="84"/>
      <c r="AF79" s="84"/>
      <c r="AG79" s="114" t="s">
        <v>1813</v>
      </c>
      <c r="AH79" s="84"/>
    </row>
    <row r="80" spans="1:34" s="87" customFormat="1" ht="109.2" customHeight="1" x14ac:dyDescent="0.25">
      <c r="A80" s="83">
        <v>112</v>
      </c>
      <c r="B80" s="118" t="str">
        <f t="shared" si="6"/>
        <v>115</v>
      </c>
      <c r="C80" s="84" t="s">
        <v>817</v>
      </c>
      <c r="D80" s="84" t="s">
        <v>234</v>
      </c>
      <c r="E80" s="88" t="s">
        <v>1403</v>
      </c>
      <c r="F80" s="97" t="str">
        <f t="shared" si="4"/>
        <v xml:space="preserve">Ngô Đức Long </v>
      </c>
      <c r="G80" s="100" t="str">
        <f t="shared" si="5"/>
        <v>22144137</v>
      </c>
      <c r="H80" s="100" t="str">
        <f>VLOOKUP(C80,'[1]DM Đề tài SV ký HĐ (thay đổi)'!$B$1:$Q$475,15,0)</f>
        <v>22144137@student.hcmute.edu.vn</v>
      </c>
      <c r="I80" s="107" t="str">
        <f>VLOOKUP(C80,'[1]DM Đề tài SV ký HĐ (thay đổi)'!$B$1:$Q$475,16,0)</f>
        <v>0917776235</v>
      </c>
      <c r="J80" s="97" t="str">
        <f>VLOOKUP(C80,'[2]DM Đề tài SV ký HĐ (thay đổi)'!$B$1:$I$475,8,0)</f>
        <v>Cơ khí Chế tạo máy</v>
      </c>
      <c r="K80" s="84" t="s">
        <v>1404</v>
      </c>
      <c r="L80" s="84" t="s">
        <v>235</v>
      </c>
      <c r="M80" s="97" t="str">
        <f>VLOOKUP(C80,'[2]DM Đề tài SV ký HĐ (thay đổi)'!$B$1:$O$475,13,0)</f>
        <v>tailm@hcmute.edu.vn</v>
      </c>
      <c r="N80" s="97" t="str">
        <f>VLOOKUP(C80,'[2]DM Đề tài SV ký HĐ (thay đổi)'!$B$1:$M$475,12,0)</f>
        <v>Khoa CKM</v>
      </c>
      <c r="O80" s="88" t="s">
        <v>1763</v>
      </c>
      <c r="P80" s="92">
        <v>25000000</v>
      </c>
      <c r="Q80" s="88" t="s">
        <v>1650</v>
      </c>
      <c r="R80" s="88"/>
      <c r="S80" s="88"/>
      <c r="T80" s="103" t="s">
        <v>1787</v>
      </c>
      <c r="V80" s="83"/>
      <c r="W80" s="84"/>
      <c r="X80" s="84"/>
      <c r="Y80" s="84"/>
      <c r="Z80" s="84"/>
      <c r="AA80" s="84"/>
      <c r="AB80" s="84"/>
      <c r="AC80" s="84"/>
      <c r="AD80" s="84"/>
      <c r="AE80" s="84"/>
      <c r="AF80" s="84"/>
      <c r="AG80" s="113" t="s">
        <v>1814</v>
      </c>
      <c r="AH80" s="84"/>
    </row>
    <row r="81" spans="1:34" s="87" customFormat="1" ht="109.2" customHeight="1" x14ac:dyDescent="0.25">
      <c r="A81" s="83">
        <v>113</v>
      </c>
      <c r="B81" s="118" t="str">
        <f t="shared" si="6"/>
        <v>116</v>
      </c>
      <c r="C81" s="84" t="s">
        <v>818</v>
      </c>
      <c r="D81" s="84" t="s">
        <v>236</v>
      </c>
      <c r="E81" s="84" t="s">
        <v>1405</v>
      </c>
      <c r="F81" s="97" t="str">
        <f t="shared" si="4"/>
        <v xml:space="preserve">Nguyễn Thiện Nhân </v>
      </c>
      <c r="G81" s="100" t="str">
        <f t="shared" si="5"/>
        <v>23134041</v>
      </c>
      <c r="H81" s="100" t="str">
        <f>VLOOKUP(C81,'[1]DM Đề tài SV ký HĐ (thay đổi)'!$B$1:$Q$475,15,0)</f>
        <v>23134041@student.hcmute.edu.vn</v>
      </c>
      <c r="I81" s="107" t="str">
        <f>VLOOKUP(C81,'[1]DM Đề tài SV ký HĐ (thay đổi)'!$B$1:$Q$475,16,0)</f>
        <v>0326426040</v>
      </c>
      <c r="J81" s="97" t="str">
        <f>VLOOKUP(C81,'[2]DM Đề tài SV ký HĐ (thay đổi)'!$B$1:$I$475,8,0)</f>
        <v>Cơ khí Chế tạo máy</v>
      </c>
      <c r="K81" s="84" t="s">
        <v>1406</v>
      </c>
      <c r="L81" s="84" t="s">
        <v>237</v>
      </c>
      <c r="M81" s="97" t="str">
        <f>VLOOKUP(C81,'[2]DM Đề tài SV ký HĐ (thay đổi)'!$B$1:$O$475,13,0)</f>
        <v>tuongnl@hcmute.edu.vn</v>
      </c>
      <c r="N81" s="97" t="str">
        <f>VLOOKUP(C81,'[2]DM Đề tài SV ký HĐ (thay đổi)'!$B$1:$M$475,12,0)</f>
        <v>Khoa CKM</v>
      </c>
      <c r="O81" s="88" t="s">
        <v>208</v>
      </c>
      <c r="P81" s="92">
        <v>15000000</v>
      </c>
      <c r="Q81" s="85" t="s">
        <v>1649</v>
      </c>
      <c r="R81" s="85"/>
      <c r="S81" s="85"/>
      <c r="T81" s="103" t="s">
        <v>1787</v>
      </c>
      <c r="V81" s="83"/>
      <c r="W81" s="84"/>
      <c r="X81" s="84"/>
      <c r="Y81" s="84"/>
      <c r="Z81" s="84"/>
      <c r="AA81" s="84"/>
      <c r="AB81" s="84"/>
      <c r="AC81" s="84"/>
      <c r="AD81" s="84"/>
      <c r="AE81" s="84"/>
      <c r="AF81" s="84"/>
      <c r="AG81" s="113" t="s">
        <v>1814</v>
      </c>
      <c r="AH81" s="84"/>
    </row>
    <row r="82" spans="1:34" s="87" customFormat="1" ht="109.2" customHeight="1" x14ac:dyDescent="0.25">
      <c r="A82" s="83">
        <v>114</v>
      </c>
      <c r="B82" s="118" t="str">
        <f t="shared" si="6"/>
        <v>117</v>
      </c>
      <c r="C82" s="84" t="s">
        <v>819</v>
      </c>
      <c r="D82" s="88" t="s">
        <v>238</v>
      </c>
      <c r="E82" s="88" t="s">
        <v>1620</v>
      </c>
      <c r="F82" s="97" t="str">
        <f t="shared" si="4"/>
        <v xml:space="preserve">Nguyễn Phương Nguyên </v>
      </c>
      <c r="G82" s="100" t="str">
        <f t="shared" si="5"/>
        <v>22146361</v>
      </c>
      <c r="H82" s="100" t="str">
        <f>VLOOKUP(C82,'[1]DM Đề tài SV ký HĐ (thay đổi)'!$B$1:$Q$475,15,0)</f>
        <v>22146361@student.hcmute.edu.vn</v>
      </c>
      <c r="I82" s="107" t="str">
        <f>VLOOKUP(C82,'[1]DM Đề tài SV ký HĐ (thay đổi)'!$B$1:$Q$475,16,0)</f>
        <v>0919526766</v>
      </c>
      <c r="J82" s="97" t="str">
        <f>VLOOKUP(C82,'[2]DM Đề tài SV ký HĐ (thay đổi)'!$B$1:$I$475,8,0)</f>
        <v>Cơ khí Chế tạo máy</v>
      </c>
      <c r="K82" s="88" t="s">
        <v>1407</v>
      </c>
      <c r="L82" s="84" t="s">
        <v>212</v>
      </c>
      <c r="M82" s="97" t="str">
        <f>VLOOKUP(C82,'[2]DM Đề tài SV ký HĐ (thay đổi)'!$B$1:$O$475,13,0)</f>
        <v>nvdoan@hcmute.edu.vn</v>
      </c>
      <c r="N82" s="97" t="str">
        <f>VLOOKUP(C82,'[2]DM Đề tài SV ký HĐ (thay đổi)'!$B$1:$M$475,12,0)</f>
        <v>Khoa CKM</v>
      </c>
      <c r="O82" s="88" t="s">
        <v>239</v>
      </c>
      <c r="P82" s="92">
        <v>10000000</v>
      </c>
      <c r="Q82" s="84" t="s">
        <v>1648</v>
      </c>
      <c r="R82" s="84"/>
      <c r="S82" s="84"/>
      <c r="T82" s="103" t="s">
        <v>1787</v>
      </c>
      <c r="V82" s="83"/>
      <c r="W82" s="84"/>
      <c r="X82" s="84"/>
      <c r="Y82" s="84"/>
      <c r="Z82" s="84"/>
      <c r="AA82" s="84"/>
      <c r="AB82" s="84"/>
      <c r="AC82" s="84"/>
      <c r="AD82" s="84"/>
      <c r="AE82" s="84"/>
      <c r="AF82" s="84"/>
      <c r="AG82" s="114" t="s">
        <v>1813</v>
      </c>
      <c r="AH82" s="84"/>
    </row>
    <row r="83" spans="1:34" s="87" customFormat="1" ht="109.2" customHeight="1" x14ac:dyDescent="0.25">
      <c r="A83" s="83">
        <v>115</v>
      </c>
      <c r="B83" s="118" t="str">
        <f t="shared" si="6"/>
        <v>118</v>
      </c>
      <c r="C83" s="84" t="s">
        <v>820</v>
      </c>
      <c r="D83" s="88" t="s">
        <v>242</v>
      </c>
      <c r="E83" s="88" t="s">
        <v>1720</v>
      </c>
      <c r="F83" s="97" t="str">
        <f t="shared" si="4"/>
        <v xml:space="preserve">Nguyễn Chí Chơn </v>
      </c>
      <c r="G83" s="100" t="str">
        <f t="shared" si="5"/>
        <v>22144253</v>
      </c>
      <c r="H83" s="100" t="str">
        <f>VLOOKUP(C83,'[1]DM Đề tài SV ký HĐ (thay đổi)'!$B$1:$Q$475,15,0)</f>
        <v>22144040@student.hcmute.edu.vn</v>
      </c>
      <c r="I83" s="107" t="str">
        <f>VLOOKUP(C83,'[1]DM Đề tài SV ký HĐ (thay đổi)'!$B$1:$Q$475,16,0)</f>
        <v>0916230175</v>
      </c>
      <c r="J83" s="97" t="str">
        <f>VLOOKUP(C83,'[2]DM Đề tài SV ký HĐ (thay đổi)'!$B$1:$I$475,8,0)</f>
        <v>Cơ khí Chế tạo máy</v>
      </c>
      <c r="K83" s="88" t="s">
        <v>1708</v>
      </c>
      <c r="L83" s="88" t="s">
        <v>214</v>
      </c>
      <c r="M83" s="97" t="str">
        <f>VLOOKUP(C83,'[2]DM Đề tài SV ký HĐ (thay đổi)'!$B$1:$O$475,13,0)</f>
        <v>hangvk@hcmute.edu.vn</v>
      </c>
      <c r="N83" s="97" t="str">
        <f>VLOOKUP(C83,'[2]DM Đề tài SV ký HĐ (thay đổi)'!$B$1:$M$475,12,0)</f>
        <v>Khoa Giao thông và Năng lượng</v>
      </c>
      <c r="O83" s="88" t="s">
        <v>1763</v>
      </c>
      <c r="P83" s="92">
        <v>25000000</v>
      </c>
      <c r="Q83" s="88" t="s">
        <v>1650</v>
      </c>
      <c r="R83" s="88"/>
      <c r="S83" s="88"/>
      <c r="T83" s="103" t="s">
        <v>1787</v>
      </c>
      <c r="V83" s="83"/>
      <c r="W83" s="84"/>
      <c r="X83" s="84"/>
      <c r="Y83" s="84"/>
      <c r="Z83" s="84"/>
      <c r="AA83" s="84"/>
      <c r="AB83" s="84"/>
      <c r="AC83" s="84"/>
      <c r="AD83" s="84"/>
      <c r="AE83" s="84"/>
      <c r="AF83" s="84"/>
      <c r="AG83" s="113" t="s">
        <v>1814</v>
      </c>
      <c r="AH83" s="84"/>
    </row>
    <row r="84" spans="1:34" s="87" customFormat="1" ht="109.2" customHeight="1" x14ac:dyDescent="0.25">
      <c r="A84" s="83">
        <v>116</v>
      </c>
      <c r="B84" s="118" t="str">
        <f t="shared" si="6"/>
        <v>119</v>
      </c>
      <c r="C84" s="84" t="s">
        <v>821</v>
      </c>
      <c r="D84" s="84" t="s">
        <v>243</v>
      </c>
      <c r="E84" s="88" t="s">
        <v>1621</v>
      </c>
      <c r="F84" s="97" t="str">
        <f t="shared" si="4"/>
        <v xml:space="preserve">Trịnh Hữu Dũng </v>
      </c>
      <c r="G84" s="100" t="str">
        <f t="shared" si="5"/>
        <v>22143091</v>
      </c>
      <c r="H84" s="100" t="str">
        <f>VLOOKUP(C84,'[1]DM Đề tài SV ký HĐ (thay đổi)'!$B$1:$Q$475,15,0)</f>
        <v>22143091@student.hcmute.edu.vn</v>
      </c>
      <c r="I84" s="107" t="str">
        <f>VLOOKUP(C84,'[1]DM Đề tài SV ký HĐ (thay đổi)'!$B$1:$Q$475,16,0)</f>
        <v xml:space="preserve"> 0914245786</v>
      </c>
      <c r="J84" s="97" t="str">
        <f>VLOOKUP(C84,'[2]DM Đề tài SV ký HĐ (thay đổi)'!$B$1:$I$475,8,0)</f>
        <v>Cơ khí Chế tạo máy</v>
      </c>
      <c r="K84" s="84" t="s">
        <v>1689</v>
      </c>
      <c r="L84" s="84" t="s">
        <v>235</v>
      </c>
      <c r="M84" s="97" t="str">
        <f>VLOOKUP(C84,'[2]DM Đề tài SV ký HĐ (thay đổi)'!$B$1:$O$475,13,0)</f>
        <v>tailm@hcmute.edu.vn</v>
      </c>
      <c r="N84" s="97" t="str">
        <f>VLOOKUP(C84,'[2]DM Đề tài SV ký HĐ (thay đổi)'!$B$1:$M$475,12,0)</f>
        <v>Khoa CKM</v>
      </c>
      <c r="O84" s="88" t="s">
        <v>1763</v>
      </c>
      <c r="P84" s="92">
        <v>25000000</v>
      </c>
      <c r="Q84" s="88" t="s">
        <v>1650</v>
      </c>
      <c r="R84" s="88"/>
      <c r="S84" s="88"/>
      <c r="T84" s="103" t="s">
        <v>1787</v>
      </c>
      <c r="V84" s="83"/>
      <c r="W84" s="84"/>
      <c r="X84" s="84"/>
      <c r="Y84" s="84"/>
      <c r="Z84" s="84"/>
      <c r="AA84" s="84"/>
      <c r="AB84" s="84"/>
      <c r="AC84" s="84"/>
      <c r="AD84" s="84"/>
      <c r="AE84" s="84"/>
      <c r="AF84" s="84"/>
      <c r="AG84" s="114" t="s">
        <v>1813</v>
      </c>
      <c r="AH84" s="84"/>
    </row>
    <row r="85" spans="1:34" s="87" customFormat="1" ht="109.2" customHeight="1" x14ac:dyDescent="0.25">
      <c r="A85" s="83">
        <v>117</v>
      </c>
      <c r="B85" s="118" t="str">
        <f t="shared" si="6"/>
        <v>120</v>
      </c>
      <c r="C85" s="84" t="s">
        <v>822</v>
      </c>
      <c r="D85" s="88" t="s">
        <v>244</v>
      </c>
      <c r="E85" s="88" t="s">
        <v>1408</v>
      </c>
      <c r="F85" s="97" t="str">
        <f t="shared" si="4"/>
        <v xml:space="preserve">Dương Hồng Đức </v>
      </c>
      <c r="G85" s="100" t="str">
        <f t="shared" si="5"/>
        <v>23144201</v>
      </c>
      <c r="H85" s="100" t="str">
        <f>VLOOKUP(C85,'[1]DM Đề tài SV ký HĐ (thay đổi)'!$B$1:$Q$475,15,0)</f>
        <v>23144201@student.hcmute.edu.vn</v>
      </c>
      <c r="I85" s="107" t="str">
        <f>VLOOKUP(C85,'[1]DM Đề tài SV ký HĐ (thay đổi)'!$B$1:$Q$475,16,0)</f>
        <v>0326698841</v>
      </c>
      <c r="J85" s="97" t="str">
        <f>VLOOKUP(C85,'[2]DM Đề tài SV ký HĐ (thay đổi)'!$B$1:$I$475,8,0)</f>
        <v>Cơ khí Chế tạo máy</v>
      </c>
      <c r="K85" s="88" t="s">
        <v>1428</v>
      </c>
      <c r="L85" s="88" t="s">
        <v>201</v>
      </c>
      <c r="M85" s="97" t="str">
        <f>VLOOKUP(C85,'[2]DM Đề tài SV ký HĐ (thay đổi)'!$B$1:$O$475,13,0)</f>
        <v>toanhds@hcmute.edu.vn</v>
      </c>
      <c r="N85" s="97" t="str">
        <f>VLOOKUP(C85,'[2]DM Đề tài SV ký HĐ (thay đổi)'!$B$1:$M$475,12,0)</f>
        <v>Khoa CKM</v>
      </c>
      <c r="O85" s="88" t="s">
        <v>1763</v>
      </c>
      <c r="P85" s="92">
        <v>25000000</v>
      </c>
      <c r="Q85" s="88" t="s">
        <v>1650</v>
      </c>
      <c r="R85" s="88"/>
      <c r="S85" s="88"/>
      <c r="T85" s="103" t="s">
        <v>1787</v>
      </c>
      <c r="V85" s="83"/>
      <c r="W85" s="84"/>
      <c r="X85" s="84"/>
      <c r="Y85" s="84"/>
      <c r="Z85" s="84"/>
      <c r="AA85" s="84"/>
      <c r="AB85" s="84"/>
      <c r="AC85" s="84"/>
      <c r="AD85" s="84"/>
      <c r="AE85" s="84"/>
      <c r="AF85" s="84"/>
      <c r="AG85" s="114" t="s">
        <v>1813</v>
      </c>
      <c r="AH85" s="84"/>
    </row>
    <row r="86" spans="1:34" s="87" customFormat="1" ht="109.2" customHeight="1" x14ac:dyDescent="0.25">
      <c r="A86" s="83">
        <v>118</v>
      </c>
      <c r="B86" s="118" t="str">
        <f t="shared" si="6"/>
        <v>121</v>
      </c>
      <c r="C86" s="84" t="s">
        <v>823</v>
      </c>
      <c r="D86" s="88" t="s">
        <v>1503</v>
      </c>
      <c r="E86" s="88" t="s">
        <v>1501</v>
      </c>
      <c r="F86" s="97" t="str">
        <f t="shared" si="4"/>
        <v xml:space="preserve">Lê Phước Hoàng </v>
      </c>
      <c r="G86" s="100" t="str">
        <f t="shared" si="5"/>
        <v>23144080</v>
      </c>
      <c r="H86" s="100" t="str">
        <f>VLOOKUP(C86,'[1]DM Đề tài SV ký HĐ (thay đổi)'!$B$1:$Q$475,15,0)</f>
        <v>23144080@student.hcmute.edu.vn</v>
      </c>
      <c r="I86" s="107" t="str">
        <f>VLOOKUP(C86,'[1]DM Đề tài SV ký HĐ (thay đổi)'!$B$1:$Q$475,16,0)</f>
        <v>0345628457</v>
      </c>
      <c r="J86" s="97" t="str">
        <f>VLOOKUP(C86,'[2]DM Đề tài SV ký HĐ (thay đổi)'!$B$1:$I$475,8,0)</f>
        <v>Cơ khí Chế tạo máy</v>
      </c>
      <c r="K86" s="88" t="s">
        <v>1697</v>
      </c>
      <c r="L86" s="88" t="s">
        <v>246</v>
      </c>
      <c r="M86" s="97" t="str">
        <f>VLOOKUP(C86,'[2]DM Đề tài SV ký HĐ (thay đổi)'!$B$1:$O$475,13,0)</f>
        <v>tanlb@hcmute.edu.vn</v>
      </c>
      <c r="N86" s="97" t="str">
        <f>VLOOKUP(C86,'[2]DM Đề tài SV ký HĐ (thay đổi)'!$B$1:$M$475,12,0)</f>
        <v>Khoa Giao thông và Năng lượng</v>
      </c>
      <c r="O86" s="88" t="s">
        <v>1763</v>
      </c>
      <c r="P86" s="92">
        <v>25000000</v>
      </c>
      <c r="Q86" s="88" t="s">
        <v>1650</v>
      </c>
      <c r="R86" s="88"/>
      <c r="S86" s="88"/>
      <c r="T86" s="103" t="s">
        <v>1787</v>
      </c>
      <c r="V86" s="83"/>
      <c r="W86" s="84"/>
      <c r="X86" s="84"/>
      <c r="Y86" s="84"/>
      <c r="Z86" s="84"/>
      <c r="AA86" s="84"/>
      <c r="AB86" s="84"/>
      <c r="AC86" s="84"/>
      <c r="AD86" s="84"/>
      <c r="AE86" s="84"/>
      <c r="AF86" s="84"/>
      <c r="AG86" s="114" t="s">
        <v>1813</v>
      </c>
      <c r="AH86" s="84"/>
    </row>
    <row r="87" spans="1:34" s="87" customFormat="1" ht="109.2" customHeight="1" x14ac:dyDescent="0.25">
      <c r="A87" s="83">
        <v>119</v>
      </c>
      <c r="B87" s="118" t="str">
        <f t="shared" si="6"/>
        <v>122</v>
      </c>
      <c r="C87" s="84" t="s">
        <v>824</v>
      </c>
      <c r="D87" s="88" t="s">
        <v>247</v>
      </c>
      <c r="E87" s="88" t="s">
        <v>1410</v>
      </c>
      <c r="F87" s="97" t="str">
        <f t="shared" si="4"/>
        <v xml:space="preserve">Lê Văn Rây </v>
      </c>
      <c r="G87" s="100" t="str">
        <f t="shared" si="5"/>
        <v>23143344</v>
      </c>
      <c r="H87" s="100" t="str">
        <f>VLOOKUP(C87,'[1]DM Đề tài SV ký HĐ (thay đổi)'!$B$1:$Q$475,15,0)</f>
        <v xml:space="preserve">23143344@student.hcmute.edu.vn </v>
      </c>
      <c r="I87" s="107" t="str">
        <f>VLOOKUP(C87,'[1]DM Đề tài SV ký HĐ (thay đổi)'!$B$1:$Q$475,16,0)</f>
        <v>0373984611</v>
      </c>
      <c r="J87" s="97" t="str">
        <f>VLOOKUP(C87,'[2]DM Đề tài SV ký HĐ (thay đổi)'!$B$1:$I$475,8,0)</f>
        <v>Cơ khí Chế tạo máy</v>
      </c>
      <c r="K87" s="88" t="s">
        <v>1411</v>
      </c>
      <c r="L87" s="88" t="s">
        <v>223</v>
      </c>
      <c r="M87" s="97" t="str">
        <f>VLOOKUP(C87,'[2]DM Đề tài SV ký HĐ (thay đổi)'!$B$1:$O$475,13,0)</f>
        <v xml:space="preserve">thientn@hcmute.edu.vn </v>
      </c>
      <c r="N87" s="97" t="str">
        <f>VLOOKUP(C87,'[2]DM Đề tài SV ký HĐ (thay đổi)'!$B$1:$M$475,12,0)</f>
        <v>Khoa CKM</v>
      </c>
      <c r="O87" s="88" t="s">
        <v>248</v>
      </c>
      <c r="P87" s="92">
        <v>10000000</v>
      </c>
      <c r="Q87" s="84" t="s">
        <v>1648</v>
      </c>
      <c r="R87" s="84"/>
      <c r="S87" s="84"/>
      <c r="T87" s="103" t="s">
        <v>1787</v>
      </c>
      <c r="V87" s="83"/>
      <c r="W87" s="84"/>
      <c r="X87" s="84"/>
      <c r="Y87" s="84"/>
      <c r="Z87" s="84"/>
      <c r="AA87" s="84"/>
      <c r="AB87" s="84"/>
      <c r="AC87" s="84"/>
      <c r="AD87" s="84"/>
      <c r="AE87" s="84"/>
      <c r="AF87" s="84"/>
      <c r="AG87" s="114" t="s">
        <v>1813</v>
      </c>
      <c r="AH87" s="84"/>
    </row>
    <row r="88" spans="1:34" s="87" customFormat="1" ht="109.2" customHeight="1" x14ac:dyDescent="0.25">
      <c r="A88" s="83">
        <v>120</v>
      </c>
      <c r="B88" s="118" t="str">
        <f t="shared" si="6"/>
        <v>123</v>
      </c>
      <c r="C88" s="84" t="s">
        <v>825</v>
      </c>
      <c r="D88" s="88" t="s">
        <v>249</v>
      </c>
      <c r="E88" s="88" t="s">
        <v>1412</v>
      </c>
      <c r="F88" s="97" t="str">
        <f t="shared" si="4"/>
        <v xml:space="preserve">Đoàn Hải Đăng </v>
      </c>
      <c r="G88" s="100" t="str">
        <f t="shared" si="5"/>
        <v>23134010</v>
      </c>
      <c r="H88" s="100" t="str">
        <f>VLOOKUP(C88,'[1]DM Đề tài SV ký HĐ (thay đổi)'!$B$1:$Q$475,15,0)</f>
        <v>23134010@student.hcmute.edu.vn</v>
      </c>
      <c r="I88" s="107" t="str">
        <f>VLOOKUP(C88,'[1]DM Đề tài SV ký HĐ (thay đổi)'!$B$1:$Q$475,16,0)</f>
        <v>0396603140</v>
      </c>
      <c r="J88" s="97" t="str">
        <f>VLOOKUP(C88,'[2]DM Đề tài SV ký HĐ (thay đổi)'!$B$1:$I$475,8,0)</f>
        <v>Cơ khí Chế tạo máy</v>
      </c>
      <c r="K88" s="88" t="s">
        <v>1570</v>
      </c>
      <c r="L88" s="84" t="s">
        <v>177</v>
      </c>
      <c r="M88" s="97" t="str">
        <f>VLOOKUP(C88,'[2]DM Đề tài SV ký HĐ (thay đổi)'!$B$1:$O$475,13,0)</f>
        <v>thanh.hlnn@hcmute.edu.vn</v>
      </c>
      <c r="N88" s="97" t="str">
        <f>VLOOKUP(C88,'[2]DM Đề tài SV ký HĐ (thay đổi)'!$B$1:$M$475,12,0)</f>
        <v>Khoa CKM</v>
      </c>
      <c r="O88" s="88" t="s">
        <v>250</v>
      </c>
      <c r="P88" s="92">
        <v>10000000</v>
      </c>
      <c r="Q88" s="84" t="s">
        <v>1648</v>
      </c>
      <c r="R88" s="84"/>
      <c r="S88" s="84"/>
      <c r="T88" s="103" t="s">
        <v>1787</v>
      </c>
      <c r="V88" s="83"/>
      <c r="W88" s="84"/>
      <c r="X88" s="84"/>
      <c r="Y88" s="84"/>
      <c r="Z88" s="84"/>
      <c r="AA88" s="84"/>
      <c r="AB88" s="84"/>
      <c r="AC88" s="84"/>
      <c r="AD88" s="84"/>
      <c r="AE88" s="84"/>
      <c r="AF88" s="84"/>
      <c r="AG88" s="113" t="s">
        <v>1814</v>
      </c>
      <c r="AH88" s="84"/>
    </row>
    <row r="89" spans="1:34" s="87" customFormat="1" ht="109.2" customHeight="1" x14ac:dyDescent="0.25">
      <c r="A89" s="83">
        <v>121</v>
      </c>
      <c r="B89" s="118" t="str">
        <f t="shared" si="6"/>
        <v>124</v>
      </c>
      <c r="C89" s="84" t="s">
        <v>826</v>
      </c>
      <c r="D89" s="88" t="s">
        <v>251</v>
      </c>
      <c r="E89" s="88" t="s">
        <v>1413</v>
      </c>
      <c r="F89" s="97" t="str">
        <f t="shared" si="4"/>
        <v xml:space="preserve">Nguyễn Quang Tùng </v>
      </c>
      <c r="G89" s="100" t="str">
        <f t="shared" si="5"/>
        <v>23134062</v>
      </c>
      <c r="H89" s="100" t="str">
        <f>VLOOKUP(C89,'[1]DM Đề tài SV ký HĐ (thay đổi)'!$B$1:$Q$475,15,0)</f>
        <v>23134062@student.hcmute.edu.vn</v>
      </c>
      <c r="I89" s="107" t="str">
        <f>VLOOKUP(C89,'[1]DM Đề tài SV ký HĐ (thay đổi)'!$B$1:$Q$475,16,0)</f>
        <v>0981196914</v>
      </c>
      <c r="J89" s="97" t="str">
        <f>VLOOKUP(C89,'[2]DM Đề tài SV ký HĐ (thay đổi)'!$B$1:$I$475,8,0)</f>
        <v>Cơ khí Chế tạo máy</v>
      </c>
      <c r="K89" s="84" t="s">
        <v>1414</v>
      </c>
      <c r="L89" s="84" t="s">
        <v>188</v>
      </c>
      <c r="M89" s="97" t="str">
        <f>VLOOKUP(C89,'[2]DM Đề tài SV ký HĐ (thay đổi)'!$B$1:$O$475,13,0)</f>
        <v>tunglt@hcmute.edu.vn</v>
      </c>
      <c r="N89" s="97" t="str">
        <f>VLOOKUP(C89,'[2]DM Đề tài SV ký HĐ (thay đổi)'!$B$1:$M$475,12,0)</f>
        <v>Khoa CKM</v>
      </c>
      <c r="O89" s="88" t="s">
        <v>1526</v>
      </c>
      <c r="P89" s="92">
        <v>10000000</v>
      </c>
      <c r="Q89" s="84" t="s">
        <v>1648</v>
      </c>
      <c r="R89" s="84"/>
      <c r="S89" s="84"/>
      <c r="T89" s="103" t="s">
        <v>1787</v>
      </c>
      <c r="V89" s="83"/>
      <c r="W89" s="84"/>
      <c r="X89" s="84"/>
      <c r="Y89" s="84"/>
      <c r="Z89" s="84"/>
      <c r="AA89" s="84"/>
      <c r="AB89" s="84"/>
      <c r="AC89" s="84"/>
      <c r="AD89" s="84"/>
      <c r="AE89" s="84"/>
      <c r="AF89" s="84"/>
      <c r="AG89" s="113" t="s">
        <v>1814</v>
      </c>
      <c r="AH89" s="84"/>
    </row>
    <row r="90" spans="1:34" s="87" customFormat="1" ht="109.2" customHeight="1" x14ac:dyDescent="0.25">
      <c r="A90" s="83">
        <v>122</v>
      </c>
      <c r="B90" s="118" t="str">
        <f t="shared" si="6"/>
        <v>125</v>
      </c>
      <c r="C90" s="84" t="s">
        <v>827</v>
      </c>
      <c r="D90" s="84" t="s">
        <v>252</v>
      </c>
      <c r="E90" s="88" t="s">
        <v>1415</v>
      </c>
      <c r="F90" s="97" t="str">
        <f t="shared" si="4"/>
        <v xml:space="preserve">Lê Nguyễn Anh Khoa </v>
      </c>
      <c r="G90" s="100" t="str">
        <f t="shared" si="5"/>
        <v>21143063</v>
      </c>
      <c r="H90" s="100" t="str">
        <f>VLOOKUP(C90,'[1]DM Đề tài SV ký HĐ (thay đổi)'!$B$1:$Q$475,15,0)</f>
        <v>21143063@student.hcmute.edu.vn</v>
      </c>
      <c r="I90" s="107" t="str">
        <f>VLOOKUP(C90,'[1]DM Đề tài SV ký HĐ (thay đổi)'!$B$1:$Q$475,16,0)</f>
        <v>0339249416</v>
      </c>
      <c r="J90" s="97" t="str">
        <f>VLOOKUP(C90,'[2]DM Đề tài SV ký HĐ (thay đổi)'!$B$1:$I$475,8,0)</f>
        <v>Cơ khí Chế tạo máy</v>
      </c>
      <c r="K90" s="84" t="s">
        <v>1416</v>
      </c>
      <c r="L90" s="84" t="s">
        <v>246</v>
      </c>
      <c r="M90" s="97" t="str">
        <f>VLOOKUP(C90,'[2]DM Đề tài SV ký HĐ (thay đổi)'!$B$1:$O$475,13,0)</f>
        <v>tanlb@hcmute.edu.vn</v>
      </c>
      <c r="N90" s="97" t="str">
        <f>VLOOKUP(C90,'[2]DM Đề tài SV ký HĐ (thay đổi)'!$B$1:$M$475,12,0)</f>
        <v>Khoa CKM</v>
      </c>
      <c r="O90" s="88" t="s">
        <v>1763</v>
      </c>
      <c r="P90" s="92">
        <v>25000000</v>
      </c>
      <c r="Q90" s="88" t="s">
        <v>1650</v>
      </c>
      <c r="R90" s="88"/>
      <c r="S90" s="88"/>
      <c r="T90" s="103" t="s">
        <v>1787</v>
      </c>
      <c r="V90" s="83"/>
      <c r="W90" s="84"/>
      <c r="X90" s="84"/>
      <c r="Y90" s="84"/>
      <c r="Z90" s="84"/>
      <c r="AA90" s="84"/>
      <c r="AB90" s="84"/>
      <c r="AC90" s="84"/>
      <c r="AD90" s="84"/>
      <c r="AE90" s="84"/>
      <c r="AF90" s="84"/>
      <c r="AG90" s="114" t="s">
        <v>1813</v>
      </c>
      <c r="AH90" s="84"/>
    </row>
    <row r="91" spans="1:34" s="87" customFormat="1" ht="109.2" customHeight="1" x14ac:dyDescent="0.25">
      <c r="A91" s="83">
        <v>123</v>
      </c>
      <c r="B91" s="118" t="str">
        <f t="shared" si="6"/>
        <v>126</v>
      </c>
      <c r="C91" s="84" t="s">
        <v>828</v>
      </c>
      <c r="D91" s="88" t="s">
        <v>253</v>
      </c>
      <c r="E91" s="88" t="s">
        <v>1417</v>
      </c>
      <c r="F91" s="97" t="str">
        <f t="shared" si="4"/>
        <v xml:space="preserve">Phạm Thanh Trí </v>
      </c>
      <c r="G91" s="100" t="str">
        <f t="shared" si="5"/>
        <v>22134015</v>
      </c>
      <c r="H91" s="100" t="str">
        <f>VLOOKUP(C91,'[1]DM Đề tài SV ký HĐ (thay đổi)'!$B$1:$Q$475,15,0)</f>
        <v>22134015@student.hcmute.edu.vn</v>
      </c>
      <c r="I91" s="107" t="str">
        <f>VLOOKUP(C91,'[1]DM Đề tài SV ký HĐ (thay đổi)'!$B$1:$Q$475,16,0)</f>
        <v>0835961170</v>
      </c>
      <c r="J91" s="97" t="str">
        <f>VLOOKUP(C91,'[2]DM Đề tài SV ký HĐ (thay đổi)'!$B$1:$I$475,8,0)</f>
        <v>Cơ khí Chế tạo máy</v>
      </c>
      <c r="K91" s="88" t="s">
        <v>1527</v>
      </c>
      <c r="L91" s="84" t="s">
        <v>190</v>
      </c>
      <c r="M91" s="97" t="str">
        <f>VLOOKUP(C91,'[2]DM Đề tài SV ký HĐ (thay đổi)'!$B$1:$O$475,13,0)</f>
        <v>thientm@hcmute.edu.vn</v>
      </c>
      <c r="N91" s="97" t="str">
        <f>VLOOKUP(C91,'[2]DM Đề tài SV ký HĐ (thay đổi)'!$B$1:$M$475,12,0)</f>
        <v>Khoa CKM</v>
      </c>
      <c r="O91" s="88" t="s">
        <v>1528</v>
      </c>
      <c r="P91" s="92">
        <v>10000000</v>
      </c>
      <c r="Q91" s="84" t="s">
        <v>1648</v>
      </c>
      <c r="R91" s="84"/>
      <c r="S91" s="84"/>
      <c r="T91" s="103" t="s">
        <v>1787</v>
      </c>
      <c r="V91" s="83"/>
      <c r="W91" s="84"/>
      <c r="X91" s="84"/>
      <c r="Y91" s="84"/>
      <c r="Z91" s="84"/>
      <c r="AA91" s="84"/>
      <c r="AB91" s="84"/>
      <c r="AC91" s="84"/>
      <c r="AD91" s="84"/>
      <c r="AE91" s="84"/>
      <c r="AF91" s="84"/>
      <c r="AG91" s="114" t="s">
        <v>1813</v>
      </c>
      <c r="AH91" s="84"/>
    </row>
    <row r="92" spans="1:34" s="87" customFormat="1" ht="109.2" customHeight="1" x14ac:dyDescent="0.25">
      <c r="A92" s="83">
        <v>124</v>
      </c>
      <c r="B92" s="118" t="str">
        <f t="shared" si="6"/>
        <v>127</v>
      </c>
      <c r="C92" s="84" t="s">
        <v>829</v>
      </c>
      <c r="D92" s="84" t="s">
        <v>254</v>
      </c>
      <c r="E92" s="88" t="s">
        <v>1418</v>
      </c>
      <c r="F92" s="97" t="str">
        <f t="shared" si="4"/>
        <v xml:space="preserve">Nguyễn Văn Quang </v>
      </c>
      <c r="G92" s="100" t="str">
        <f t="shared" si="5"/>
        <v>23144142</v>
      </c>
      <c r="H92" s="100" t="str">
        <f>VLOOKUP(C92,'[1]DM Đề tài SV ký HĐ (thay đổi)'!$B$1:$Q$475,15,0)</f>
        <v>23144142@student.hcmute.edu.vn</v>
      </c>
      <c r="I92" s="107" t="str">
        <f>VLOOKUP(C92,'[1]DM Đề tài SV ký HĐ (thay đổi)'!$B$1:$Q$475,16,0)</f>
        <v>0966974268</v>
      </c>
      <c r="J92" s="97" t="str">
        <f>VLOOKUP(C92,'[2]DM Đề tài SV ký HĐ (thay đổi)'!$B$1:$I$475,8,0)</f>
        <v>Cơ khí Chế tạo máy</v>
      </c>
      <c r="K92" s="84" t="s">
        <v>1685</v>
      </c>
      <c r="L92" s="84" t="s">
        <v>255</v>
      </c>
      <c r="M92" s="97" t="str">
        <f>VLOOKUP(C92,'[2]DM Đề tài SV ký HĐ (thay đổi)'!$B$1:$O$475,13,0)</f>
        <v>sonnlh@hcmute.edu.vn</v>
      </c>
      <c r="N92" s="97" t="str">
        <f>VLOOKUP(C92,'[2]DM Đề tài SV ký HĐ (thay đổi)'!$B$1:$M$475,12,0)</f>
        <v>Khoa Giao thông và Năng lượng</v>
      </c>
      <c r="O92" s="88" t="s">
        <v>1763</v>
      </c>
      <c r="P92" s="92">
        <v>25000000</v>
      </c>
      <c r="Q92" s="88" t="s">
        <v>1650</v>
      </c>
      <c r="R92" s="88"/>
      <c r="S92" s="88"/>
      <c r="T92" s="103" t="s">
        <v>1787</v>
      </c>
      <c r="V92" s="83"/>
      <c r="W92" s="84"/>
      <c r="X92" s="84"/>
      <c r="Y92" s="84"/>
      <c r="Z92" s="84"/>
      <c r="AA92" s="84"/>
      <c r="AB92" s="84"/>
      <c r="AC92" s="84"/>
      <c r="AD92" s="84"/>
      <c r="AE92" s="84"/>
      <c r="AF92" s="84"/>
      <c r="AG92" s="113" t="s">
        <v>1814</v>
      </c>
      <c r="AH92" s="84"/>
    </row>
    <row r="93" spans="1:34" s="87" customFormat="1" ht="109.2" customHeight="1" x14ac:dyDescent="0.25">
      <c r="A93" s="83">
        <v>125</v>
      </c>
      <c r="B93" s="118" t="str">
        <f t="shared" si="6"/>
        <v>128</v>
      </c>
      <c r="C93" s="84" t="s">
        <v>830</v>
      </c>
      <c r="D93" s="84" t="s">
        <v>256</v>
      </c>
      <c r="E93" s="88" t="s">
        <v>1622</v>
      </c>
      <c r="F93" s="97" t="str">
        <f t="shared" si="4"/>
        <v xml:space="preserve">Trần Trọng Tín
</v>
      </c>
      <c r="G93" s="100" t="str">
        <f t="shared" si="5"/>
        <v>22143161</v>
      </c>
      <c r="H93" s="100" t="str">
        <f>VLOOKUP(C93,'[1]DM Đề tài SV ký HĐ (thay đổi)'!$B$1:$Q$475,15,0)</f>
        <v>22143161@student.hcmute.edu.vn</v>
      </c>
      <c r="I93" s="107" t="str">
        <f>VLOOKUP(C93,'[1]DM Đề tài SV ký HĐ (thay đổi)'!$B$1:$Q$475,16,0)</f>
        <v>0964983221</v>
      </c>
      <c r="J93" s="97" t="str">
        <f>VLOOKUP(C93,'[2]DM Đề tài SV ký HĐ (thay đổi)'!$B$1:$I$475,8,0)</f>
        <v>Cơ khí Chế tạo máy</v>
      </c>
      <c r="K93" s="84" t="s">
        <v>1504</v>
      </c>
      <c r="L93" s="84" t="s">
        <v>227</v>
      </c>
      <c r="M93" s="97" t="str">
        <f>VLOOKUP(C93,'[2]DM Đề tài SV ký HĐ (thay đổi)'!$B$1:$O$475,13,0)</f>
        <v>hongnga@hcmute.edu.vn</v>
      </c>
      <c r="N93" s="97" t="str">
        <f>VLOOKUP(C93,'[2]DM Đề tài SV ký HĐ (thay đổi)'!$B$1:$M$475,12,0)</f>
        <v>Khoa CKM</v>
      </c>
      <c r="O93" s="88" t="s">
        <v>1502</v>
      </c>
      <c r="P93" s="92">
        <v>15000000</v>
      </c>
      <c r="Q93" s="85" t="s">
        <v>1649</v>
      </c>
      <c r="R93" s="85"/>
      <c r="S93" s="85"/>
      <c r="T93" s="103" t="s">
        <v>1787</v>
      </c>
      <c r="V93" s="83"/>
      <c r="W93" s="84"/>
      <c r="X93" s="84"/>
      <c r="Y93" s="84"/>
      <c r="Z93" s="84"/>
      <c r="AA93" s="84"/>
      <c r="AB93" s="84"/>
      <c r="AC93" s="84"/>
      <c r="AD93" s="84"/>
      <c r="AE93" s="84"/>
      <c r="AF93" s="84"/>
      <c r="AG93" s="114" t="s">
        <v>1813</v>
      </c>
      <c r="AH93" s="84"/>
    </row>
    <row r="94" spans="1:34" s="87" customFormat="1" ht="109.2" customHeight="1" x14ac:dyDescent="0.25">
      <c r="A94" s="83">
        <v>126</v>
      </c>
      <c r="B94" s="118" t="str">
        <f t="shared" si="6"/>
        <v>129</v>
      </c>
      <c r="C94" s="84" t="s">
        <v>831</v>
      </c>
      <c r="D94" s="88" t="s">
        <v>258</v>
      </c>
      <c r="E94" s="88" t="s">
        <v>1419</v>
      </c>
      <c r="F94" s="97" t="str">
        <f t="shared" si="4"/>
        <v xml:space="preserve">Tống Khánh Linh </v>
      </c>
      <c r="G94" s="100" t="str">
        <f t="shared" si="5"/>
        <v>25138025</v>
      </c>
      <c r="H94" s="100" t="str">
        <f>VLOOKUP(C94,'[1]DM Đề tài SV ký HĐ (thay đổi)'!$B$1:$Q$475,15,0)</f>
        <v>25138025@student.hcmute.edu.vn</v>
      </c>
      <c r="I94" s="107" t="str">
        <f>VLOOKUP(C94,'[1]DM Đề tài SV ký HĐ (thay đổi)'!$B$1:$Q$475,16,0)</f>
        <v>0869578107</v>
      </c>
      <c r="J94" s="97" t="str">
        <f>VLOOKUP(C94,'[2]DM Đề tài SV ký HĐ (thay đổi)'!$B$1:$I$475,8,0)</f>
        <v>Cơ khí Chế tạo máy</v>
      </c>
      <c r="K94" s="88" t="s">
        <v>1569</v>
      </c>
      <c r="L94" s="88" t="s">
        <v>212</v>
      </c>
      <c r="M94" s="97" t="str">
        <f>VLOOKUP(C94,'[2]DM Đề tài SV ký HĐ (thay đổi)'!$B$1:$O$475,13,0)</f>
        <v>nvdoan@hcmute.edu.vn</v>
      </c>
      <c r="N94" s="97" t="str">
        <f>VLOOKUP(C94,'[2]DM Đề tài SV ký HĐ (thay đổi)'!$B$1:$M$475,12,0)</f>
        <v>Khoa CKM</v>
      </c>
      <c r="O94" s="88" t="s">
        <v>259</v>
      </c>
      <c r="P94" s="92">
        <v>10000000</v>
      </c>
      <c r="Q94" s="84" t="s">
        <v>1648</v>
      </c>
      <c r="R94" s="84"/>
      <c r="S94" s="84"/>
      <c r="T94" s="103" t="s">
        <v>1787</v>
      </c>
      <c r="V94" s="83"/>
      <c r="W94" s="84"/>
      <c r="X94" s="84"/>
      <c r="Y94" s="84"/>
      <c r="Z94" s="84"/>
      <c r="AA94" s="84"/>
      <c r="AB94" s="84"/>
      <c r="AC94" s="84"/>
      <c r="AD94" s="84"/>
      <c r="AE94" s="84"/>
      <c r="AF94" s="84"/>
      <c r="AG94" s="114" t="s">
        <v>1813</v>
      </c>
      <c r="AH94" s="84"/>
    </row>
    <row r="95" spans="1:34" s="87" customFormat="1" ht="109.2" customHeight="1" x14ac:dyDescent="0.25">
      <c r="A95" s="83">
        <v>127</v>
      </c>
      <c r="B95" s="118" t="str">
        <f t="shared" si="6"/>
        <v>130</v>
      </c>
      <c r="C95" s="84" t="s">
        <v>832</v>
      </c>
      <c r="D95" s="88" t="s">
        <v>261</v>
      </c>
      <c r="E95" s="88" t="s">
        <v>1420</v>
      </c>
      <c r="F95" s="97" t="str">
        <f t="shared" si="4"/>
        <v xml:space="preserve">Huỳnh An Khang </v>
      </c>
      <c r="G95" s="100" t="str">
        <f t="shared" si="5"/>
        <v>23144094</v>
      </c>
      <c r="H95" s="100" t="str">
        <f>VLOOKUP(C95,'[1]DM Đề tài SV ký HĐ (thay đổi)'!$B$1:$Q$475,15,0)</f>
        <v xml:space="preserve">23144094@student.hcmute.edu.vn </v>
      </c>
      <c r="I95" s="107" t="str">
        <f>VLOOKUP(C95,'[1]DM Đề tài SV ký HĐ (thay đổi)'!$B$1:$Q$475,16,0)</f>
        <v>0708739042</v>
      </c>
      <c r="J95" s="97" t="str">
        <f>VLOOKUP(C95,'[2]DM Đề tài SV ký HĐ (thay đổi)'!$B$1:$I$475,8,0)</f>
        <v>Cơ khí Chế tạo máy</v>
      </c>
      <c r="K95" s="84" t="s">
        <v>1421</v>
      </c>
      <c r="L95" s="88" t="s">
        <v>260</v>
      </c>
      <c r="M95" s="97" t="str">
        <f>VLOOKUP(C95,'[2]DM Đề tài SV ký HĐ (thay đổi)'!$B$1:$O$475,13,0)</f>
        <v>huonghv@hcmute.edu.vn</v>
      </c>
      <c r="N95" s="97" t="str">
        <f>VLOOKUP(C95,'[2]DM Đề tài SV ký HĐ (thay đổi)'!$B$1:$M$475,12,0)</f>
        <v>Khoa CKM</v>
      </c>
      <c r="O95" s="88" t="s">
        <v>1529</v>
      </c>
      <c r="P95" s="92">
        <v>5000000</v>
      </c>
      <c r="Q95" s="84" t="s">
        <v>1647</v>
      </c>
      <c r="R95" s="84"/>
      <c r="S95" s="84"/>
      <c r="T95" s="103" t="s">
        <v>1787</v>
      </c>
      <c r="V95" s="83"/>
      <c r="W95" s="84"/>
      <c r="X95" s="84"/>
      <c r="Y95" s="84"/>
      <c r="Z95" s="84"/>
      <c r="AA95" s="84"/>
      <c r="AB95" s="84"/>
      <c r="AC95" s="84"/>
      <c r="AD95" s="84"/>
      <c r="AE95" s="84"/>
      <c r="AF95" s="84"/>
      <c r="AG95" s="114" t="s">
        <v>1813</v>
      </c>
      <c r="AH95" s="84"/>
    </row>
    <row r="96" spans="1:34" s="87" customFormat="1" ht="109.2" customHeight="1" x14ac:dyDescent="0.25">
      <c r="A96" s="83">
        <v>128</v>
      </c>
      <c r="B96" s="118" t="str">
        <f t="shared" si="6"/>
        <v>131</v>
      </c>
      <c r="C96" s="84" t="s">
        <v>833</v>
      </c>
      <c r="D96" s="88" t="s">
        <v>262</v>
      </c>
      <c r="E96" s="88" t="s">
        <v>1422</v>
      </c>
      <c r="F96" s="97" t="str">
        <f t="shared" si="4"/>
        <v xml:space="preserve">Nguyễn Kiến Quốc </v>
      </c>
      <c r="G96" s="100" t="str">
        <f t="shared" si="5"/>
        <v>23144147</v>
      </c>
      <c r="H96" s="100" t="str">
        <f>VLOOKUP(C96,'[1]DM Đề tài SV ký HĐ (thay đổi)'!$B$1:$Q$475,15,0)</f>
        <v>23144147@student.hcmute.edu.vn</v>
      </c>
      <c r="I96" s="107" t="str">
        <f>VLOOKUP(C96,'[1]DM Đề tài SV ký HĐ (thay đổi)'!$B$1:$Q$475,16,0)</f>
        <v>0379557981</v>
      </c>
      <c r="J96" s="97" t="str">
        <f>VLOOKUP(C96,'[2]DM Đề tài SV ký HĐ (thay đổi)'!$B$1:$I$475,8,0)</f>
        <v>Cơ khí Chế tạo máy</v>
      </c>
      <c r="K96" s="88" t="s">
        <v>1423</v>
      </c>
      <c r="L96" s="84" t="s">
        <v>227</v>
      </c>
      <c r="M96" s="97" t="str">
        <f>VLOOKUP(C96,'[2]DM Đề tài SV ký HĐ (thay đổi)'!$B$1:$O$475,13,0)</f>
        <v>hongnga@hcmute.edu.vn</v>
      </c>
      <c r="N96" s="97" t="str">
        <f>VLOOKUP(C96,'[2]DM Đề tài SV ký HĐ (thay đổi)'!$B$1:$M$475,12,0)</f>
        <v>Khoa CKM</v>
      </c>
      <c r="O96" s="88" t="s">
        <v>208</v>
      </c>
      <c r="P96" s="92">
        <v>15000000</v>
      </c>
      <c r="Q96" s="85" t="s">
        <v>1649</v>
      </c>
      <c r="R96" s="85"/>
      <c r="S96" s="85"/>
      <c r="T96" s="103" t="s">
        <v>1787</v>
      </c>
      <c r="V96" s="83"/>
      <c r="W96" s="84"/>
      <c r="X96" s="84"/>
      <c r="Y96" s="84"/>
      <c r="Z96" s="84"/>
      <c r="AA96" s="84"/>
      <c r="AB96" s="84"/>
      <c r="AC96" s="84"/>
      <c r="AD96" s="84"/>
      <c r="AE96" s="84"/>
      <c r="AF96" s="84"/>
      <c r="AG96" s="113" t="s">
        <v>1814</v>
      </c>
      <c r="AH96" s="84"/>
    </row>
    <row r="97" spans="1:34" s="87" customFormat="1" ht="109.2" customHeight="1" x14ac:dyDescent="0.25">
      <c r="A97" s="83">
        <v>129</v>
      </c>
      <c r="B97" s="118" t="str">
        <f t="shared" si="6"/>
        <v>132</v>
      </c>
      <c r="C97" s="84" t="s">
        <v>834</v>
      </c>
      <c r="D97" s="84" t="s">
        <v>263</v>
      </c>
      <c r="E97" s="84" t="s">
        <v>1424</v>
      </c>
      <c r="F97" s="97" t="str">
        <f t="shared" si="4"/>
        <v xml:space="preserve">Trịnh Nhựt Phát </v>
      </c>
      <c r="G97" s="100" t="str">
        <f t="shared" si="5"/>
        <v>23134044</v>
      </c>
      <c r="H97" s="100" t="str">
        <f>VLOOKUP(C97,'[1]DM Đề tài SV ký HĐ (thay đổi)'!$B$1:$Q$475,15,0)</f>
        <v>23134044@student.hcmute.edu.vn</v>
      </c>
      <c r="I97" s="107" t="str">
        <f>VLOOKUP(C97,'[1]DM Đề tài SV ký HĐ (thay đổi)'!$B$1:$Q$475,16,0)</f>
        <v>0366306745</v>
      </c>
      <c r="J97" s="97" t="str">
        <f>VLOOKUP(C97,'[2]DM Đề tài SV ký HĐ (thay đổi)'!$B$1:$I$475,8,0)</f>
        <v>Cơ khí Chế tạo máy</v>
      </c>
      <c r="K97" s="84" t="s">
        <v>1425</v>
      </c>
      <c r="L97" s="84" t="s">
        <v>188</v>
      </c>
      <c r="M97" s="97" t="str">
        <f>VLOOKUP(C97,'[2]DM Đề tài SV ký HĐ (thay đổi)'!$B$1:$O$475,13,0)</f>
        <v>tunglt@hcmute.edu.vn</v>
      </c>
      <c r="N97" s="97" t="str">
        <f>VLOOKUP(C97,'[2]DM Đề tài SV ký HĐ (thay đổi)'!$B$1:$M$475,12,0)</f>
        <v>Khoa CKM</v>
      </c>
      <c r="O97" s="88" t="s">
        <v>1530</v>
      </c>
      <c r="P97" s="90">
        <v>10000000</v>
      </c>
      <c r="Q97" s="84" t="s">
        <v>1648</v>
      </c>
      <c r="R97" s="84"/>
      <c r="S97" s="84"/>
      <c r="T97" s="103" t="s">
        <v>1787</v>
      </c>
      <c r="V97" s="83" t="s">
        <v>1787</v>
      </c>
      <c r="W97" s="96" t="s">
        <v>1787</v>
      </c>
      <c r="X97" s="84"/>
      <c r="Y97" s="84"/>
      <c r="Z97" s="84"/>
      <c r="AA97" s="84">
        <v>7</v>
      </c>
      <c r="AB97" s="84">
        <v>2050</v>
      </c>
      <c r="AC97" s="85" t="s">
        <v>1812</v>
      </c>
      <c r="AD97" s="112">
        <v>72</v>
      </c>
      <c r="AE97" s="112" t="s">
        <v>1807</v>
      </c>
      <c r="AF97" s="84">
        <v>0</v>
      </c>
      <c r="AG97" s="114" t="s">
        <v>1813</v>
      </c>
      <c r="AH97" s="84"/>
    </row>
    <row r="98" spans="1:34" s="87" customFormat="1" ht="109.2" customHeight="1" x14ac:dyDescent="0.25">
      <c r="A98" s="83">
        <v>130</v>
      </c>
      <c r="B98" s="118" t="str">
        <f t="shared" si="6"/>
        <v>133</v>
      </c>
      <c r="C98" s="84" t="s">
        <v>835</v>
      </c>
      <c r="D98" s="88" t="s">
        <v>264</v>
      </c>
      <c r="E98" s="88" t="s">
        <v>1426</v>
      </c>
      <c r="F98" s="97" t="str">
        <f t="shared" ref="F98:F145" si="7">LEFT(E98,LEN(E98)-LEN(G98))</f>
        <v xml:space="preserve">Lê Minh Đạt </v>
      </c>
      <c r="G98" s="100" t="str">
        <f t="shared" ref="G98:G145" si="8">RIGHT(E98,8)</f>
        <v>23144058</v>
      </c>
      <c r="H98" s="100" t="str">
        <f>VLOOKUP(C98,'[1]DM Đề tài SV ký HĐ (thay đổi)'!$B$1:$Q$475,15,0)</f>
        <v>23144058@student.hcmute.edu.vn</v>
      </c>
      <c r="I98" s="107" t="str">
        <f>VLOOKUP(C98,'[1]DM Đề tài SV ký HĐ (thay đổi)'!$B$1:$Q$475,16,0)</f>
        <v>0772081105</v>
      </c>
      <c r="J98" s="97" t="str">
        <f>VLOOKUP(C98,'[2]DM Đề tài SV ký HĐ (thay đổi)'!$B$1:$I$475,8,0)</f>
        <v>Cơ khí Chế tạo máy</v>
      </c>
      <c r="K98" s="88" t="s">
        <v>1427</v>
      </c>
      <c r="L98" s="84" t="s">
        <v>265</v>
      </c>
      <c r="M98" s="97" t="str">
        <f>VLOOKUP(C98,'[2]DM Đề tài SV ký HĐ (thay đổi)'!$B$1:$O$475,13,0)</f>
        <v>congtt@hcmute.edu.vn</v>
      </c>
      <c r="N98" s="97" t="str">
        <f>VLOOKUP(C98,'[2]DM Đề tài SV ký HĐ (thay đổi)'!$B$1:$M$475,12,0)</f>
        <v>Khoa CKM</v>
      </c>
      <c r="O98" s="88" t="s">
        <v>1531</v>
      </c>
      <c r="P98" s="92">
        <v>10000000</v>
      </c>
      <c r="Q98" s="84" t="s">
        <v>1648</v>
      </c>
      <c r="R98" s="84"/>
      <c r="S98" s="84"/>
      <c r="T98" s="103" t="s">
        <v>1787</v>
      </c>
      <c r="V98" s="83"/>
      <c r="W98" s="84"/>
      <c r="X98" s="84"/>
      <c r="Y98" s="84"/>
      <c r="Z98" s="84"/>
      <c r="AA98" s="84"/>
      <c r="AB98" s="84"/>
      <c r="AC98" s="84"/>
      <c r="AD98" s="84"/>
      <c r="AE98" s="84"/>
      <c r="AF98" s="84"/>
      <c r="AG98" s="114" t="s">
        <v>1813</v>
      </c>
      <c r="AH98" s="84"/>
    </row>
    <row r="99" spans="1:34" s="87" customFormat="1" ht="109.2" customHeight="1" x14ac:dyDescent="0.25">
      <c r="A99" s="83">
        <v>131</v>
      </c>
      <c r="B99" s="118" t="str">
        <f t="shared" si="6"/>
        <v>134</v>
      </c>
      <c r="C99" s="84" t="s">
        <v>836</v>
      </c>
      <c r="D99" s="88" t="s">
        <v>266</v>
      </c>
      <c r="E99" s="88" t="s">
        <v>1623</v>
      </c>
      <c r="F99" s="97" t="str">
        <f t="shared" si="7"/>
        <v xml:space="preserve">Lê Lữ Anh Khôi </v>
      </c>
      <c r="G99" s="100" t="str">
        <f t="shared" si="8"/>
        <v>23134033</v>
      </c>
      <c r="H99" s="100" t="str">
        <f>VLOOKUP(C99,'[1]DM Đề tài SV ký HĐ (thay đổi)'!$B$1:$Q$475,15,0)</f>
        <v>23134033@student.hcmute.edu.vn</v>
      </c>
      <c r="I99" s="107" t="str">
        <f>VLOOKUP(C99,'[1]DM Đề tài SV ký HĐ (thay đổi)'!$B$1:$Q$475,16,0)</f>
        <v>0334430698</v>
      </c>
      <c r="J99" s="97" t="str">
        <f>VLOOKUP(C99,'[2]DM Đề tài SV ký HĐ (thay đổi)'!$B$1:$I$475,8,0)</f>
        <v>Cơ khí Chế tạo máy</v>
      </c>
      <c r="K99" s="84" t="s">
        <v>1559</v>
      </c>
      <c r="L99" s="84" t="s">
        <v>267</v>
      </c>
      <c r="M99" s="97" t="str">
        <f>VLOOKUP(C99,'[2]DM Đề tài SV ký HĐ (thay đổi)'!$B$1:$O$475,13,0)</f>
        <v>ducbh@hcmute.edu.vn</v>
      </c>
      <c r="N99" s="97" t="str">
        <f>VLOOKUP(C99,'[2]DM Đề tài SV ký HĐ (thay đổi)'!$B$1:$M$475,12,0)</f>
        <v>Khoa CKM</v>
      </c>
      <c r="O99" s="88" t="s">
        <v>1532</v>
      </c>
      <c r="P99" s="92">
        <v>10000000</v>
      </c>
      <c r="Q99" s="84" t="s">
        <v>1648</v>
      </c>
      <c r="R99" s="84"/>
      <c r="S99" s="84"/>
      <c r="T99" s="103" t="s">
        <v>1787</v>
      </c>
      <c r="V99" s="83"/>
      <c r="W99" s="84"/>
      <c r="X99" s="84"/>
      <c r="Y99" s="84"/>
      <c r="Z99" s="84"/>
      <c r="AA99" s="84"/>
      <c r="AB99" s="84"/>
      <c r="AC99" s="84"/>
      <c r="AD99" s="84"/>
      <c r="AE99" s="84"/>
      <c r="AF99" s="84"/>
      <c r="AG99" s="114" t="s">
        <v>1813</v>
      </c>
      <c r="AH99" s="84"/>
    </row>
    <row r="100" spans="1:34" s="87" customFormat="1" ht="109.2" customHeight="1" x14ac:dyDescent="0.25">
      <c r="A100" s="83">
        <v>132</v>
      </c>
      <c r="B100" s="118" t="str">
        <f t="shared" si="6"/>
        <v>135</v>
      </c>
      <c r="C100" s="84" t="s">
        <v>837</v>
      </c>
      <c r="D100" s="88" t="s">
        <v>268</v>
      </c>
      <c r="E100" s="88" t="s">
        <v>1428</v>
      </c>
      <c r="F100" s="97" t="str">
        <f t="shared" si="7"/>
        <v xml:space="preserve">Huỳnh Trung Hậu </v>
      </c>
      <c r="G100" s="100" t="str">
        <f t="shared" si="8"/>
        <v>23144203</v>
      </c>
      <c r="H100" s="100" t="str">
        <f>VLOOKUP(C100,'[1]DM Đề tài SV ký HĐ (thay đổi)'!$B$1:$Q$475,15,0)</f>
        <v>23144203@student.hcmute.edu.vn</v>
      </c>
      <c r="I100" s="107" t="str">
        <f>VLOOKUP(C100,'[1]DM Đề tài SV ký HĐ (thay đổi)'!$B$1:$Q$475,16,0)</f>
        <v>0878197952</v>
      </c>
      <c r="J100" s="97" t="str">
        <f>VLOOKUP(C100,'[2]DM Đề tài SV ký HĐ (thay đổi)'!$B$1:$I$475,8,0)</f>
        <v>Cơ khí Chế tạo máy</v>
      </c>
      <c r="K100" s="88" t="s">
        <v>1408</v>
      </c>
      <c r="L100" s="88" t="s">
        <v>269</v>
      </c>
      <c r="M100" s="97" t="str">
        <f>VLOOKUP(C100,'[2]DM Đề tài SV ký HĐ (thay đổi)'!$B$1:$O$475,13,0)</f>
        <v>hieunt@hcmute.edu.vn</v>
      </c>
      <c r="N100" s="97" t="str">
        <f>VLOOKUP(C100,'[2]DM Đề tài SV ký HĐ (thay đổi)'!$B$1:$M$475,12,0)</f>
        <v>Khoa CKM</v>
      </c>
      <c r="O100" s="88" t="s">
        <v>1763</v>
      </c>
      <c r="P100" s="92">
        <v>25000000</v>
      </c>
      <c r="Q100" s="88" t="s">
        <v>1650</v>
      </c>
      <c r="R100" s="88"/>
      <c r="S100" s="88"/>
      <c r="T100" s="103" t="s">
        <v>1787</v>
      </c>
      <c r="V100" s="83"/>
      <c r="W100" s="84"/>
      <c r="X100" s="84"/>
      <c r="Y100" s="84"/>
      <c r="Z100" s="84"/>
      <c r="AA100" s="84"/>
      <c r="AB100" s="84"/>
      <c r="AC100" s="84"/>
      <c r="AD100" s="84"/>
      <c r="AE100" s="84"/>
      <c r="AF100" s="84"/>
      <c r="AG100" s="114" t="s">
        <v>1813</v>
      </c>
      <c r="AH100" s="84"/>
    </row>
    <row r="101" spans="1:34" s="87" customFormat="1" ht="109.2" customHeight="1" x14ac:dyDescent="0.25">
      <c r="A101" s="83">
        <v>133</v>
      </c>
      <c r="B101" s="118" t="str">
        <f t="shared" si="6"/>
        <v>136</v>
      </c>
      <c r="C101" s="84" t="s">
        <v>838</v>
      </c>
      <c r="D101" s="88" t="s">
        <v>270</v>
      </c>
      <c r="E101" s="88" t="s">
        <v>1429</v>
      </c>
      <c r="F101" s="97" t="str">
        <f t="shared" si="7"/>
        <v xml:space="preserve">Trần Lê Thiên Ân </v>
      </c>
      <c r="G101" s="100" t="str">
        <f t="shared" si="8"/>
        <v>22146265</v>
      </c>
      <c r="H101" s="100" t="str">
        <f>VLOOKUP(C101,'[1]DM Đề tài SV ký HĐ (thay đổi)'!$B$1:$Q$475,15,0)</f>
        <v>22146265@student.hcmute.edu.vn</v>
      </c>
      <c r="I101" s="107" t="str">
        <f>VLOOKUP(C101,'[1]DM Đề tài SV ký HĐ (thay đổi)'!$B$1:$Q$475,16,0)</f>
        <v>0896474865</v>
      </c>
      <c r="J101" s="97" t="str">
        <f>VLOOKUP(C101,'[2]DM Đề tài SV ký HĐ (thay đổi)'!$B$1:$I$475,8,0)</f>
        <v>Cơ khí Chế tạo máy</v>
      </c>
      <c r="K101" s="88" t="s">
        <v>1430</v>
      </c>
      <c r="L101" s="84" t="s">
        <v>190</v>
      </c>
      <c r="M101" s="97" t="str">
        <f>VLOOKUP(C101,'[2]DM Đề tài SV ký HĐ (thay đổi)'!$B$1:$O$475,13,0)</f>
        <v>thientm@hcmute.edu.vn</v>
      </c>
      <c r="N101" s="97" t="str">
        <f>VLOOKUP(C101,'[2]DM Đề tài SV ký HĐ (thay đổi)'!$B$1:$M$475,12,0)</f>
        <v>Khoa CKM</v>
      </c>
      <c r="O101" s="88" t="s">
        <v>1533</v>
      </c>
      <c r="P101" s="92">
        <v>10000000</v>
      </c>
      <c r="Q101" s="84" t="s">
        <v>1648</v>
      </c>
      <c r="R101" s="84"/>
      <c r="S101" s="84"/>
      <c r="T101" s="103" t="s">
        <v>1787</v>
      </c>
      <c r="V101" s="83"/>
      <c r="W101" s="84"/>
      <c r="X101" s="84"/>
      <c r="Y101" s="84"/>
      <c r="Z101" s="84"/>
      <c r="AA101" s="84"/>
      <c r="AB101" s="84"/>
      <c r="AC101" s="84"/>
      <c r="AD101" s="84"/>
      <c r="AE101" s="84"/>
      <c r="AF101" s="84"/>
      <c r="AG101" s="114" t="s">
        <v>1813</v>
      </c>
      <c r="AH101" s="84"/>
    </row>
    <row r="102" spans="1:34" s="87" customFormat="1" ht="109.2" customHeight="1" x14ac:dyDescent="0.25">
      <c r="A102" s="83">
        <v>134</v>
      </c>
      <c r="B102" s="118" t="str">
        <f t="shared" si="6"/>
        <v>137</v>
      </c>
      <c r="C102" s="84" t="s">
        <v>839</v>
      </c>
      <c r="D102" s="84" t="s">
        <v>271</v>
      </c>
      <c r="E102" s="88" t="s">
        <v>1624</v>
      </c>
      <c r="F102" s="97" t="str">
        <f t="shared" si="7"/>
        <v xml:space="preserve">Trần Nguyễn Viết Nghĩa </v>
      </c>
      <c r="G102" s="100" t="str">
        <f t="shared" si="8"/>
        <v>23143073</v>
      </c>
      <c r="H102" s="100" t="str">
        <f>VLOOKUP(C102,'[1]DM Đề tài SV ký HĐ (thay đổi)'!$B$1:$Q$475,15,0)</f>
        <v>23143073@student.hcmute.edu.vn</v>
      </c>
      <c r="I102" s="107" t="str">
        <f>VLOOKUP(C102,'[1]DM Đề tài SV ký HĐ (thay đổi)'!$B$1:$Q$475,16,0)</f>
        <v>0369519869</v>
      </c>
      <c r="J102" s="97" t="str">
        <f>VLOOKUP(C102,'[2]DM Đề tài SV ký HĐ (thay đổi)'!$B$1:$I$475,8,0)</f>
        <v>Cơ khí Chế tạo máy</v>
      </c>
      <c r="K102" s="84" t="s">
        <v>1431</v>
      </c>
      <c r="L102" s="84" t="s">
        <v>203</v>
      </c>
      <c r="M102" s="97" t="str">
        <f>VLOOKUP(C102,'[2]DM Đề tài SV ký HĐ (thay đổi)'!$B$1:$O$475,13,0)</f>
        <v>huyvq@hcmute.edu.vn</v>
      </c>
      <c r="N102" s="97" t="str">
        <f>VLOOKUP(C102,'[2]DM Đề tài SV ký HĐ (thay đổi)'!$B$1:$M$475,12,0)</f>
        <v>Khoa CKM</v>
      </c>
      <c r="O102" s="88" t="s">
        <v>1763</v>
      </c>
      <c r="P102" s="92">
        <v>25000000</v>
      </c>
      <c r="Q102" s="88" t="s">
        <v>1650</v>
      </c>
      <c r="R102" s="88"/>
      <c r="S102" s="88"/>
      <c r="T102" s="103" t="s">
        <v>1787</v>
      </c>
      <c r="V102" s="83"/>
      <c r="W102" s="84"/>
      <c r="X102" s="84"/>
      <c r="Y102" s="84"/>
      <c r="Z102" s="84"/>
      <c r="AA102" s="84"/>
      <c r="AB102" s="84"/>
      <c r="AC102" s="84"/>
      <c r="AD102" s="84"/>
      <c r="AE102" s="84"/>
      <c r="AF102" s="84"/>
      <c r="AG102" s="114" t="s">
        <v>1813</v>
      </c>
      <c r="AH102" s="84"/>
    </row>
    <row r="103" spans="1:34" s="87" customFormat="1" ht="109.2" customHeight="1" x14ac:dyDescent="0.25">
      <c r="A103" s="83">
        <v>135</v>
      </c>
      <c r="B103" s="118" t="str">
        <f t="shared" si="6"/>
        <v>138</v>
      </c>
      <c r="C103" s="84" t="s">
        <v>840</v>
      </c>
      <c r="D103" s="84" t="s">
        <v>272</v>
      </c>
      <c r="E103" s="88" t="s">
        <v>1432</v>
      </c>
      <c r="F103" s="97" t="str">
        <f t="shared" si="7"/>
        <v xml:space="preserve">Lê Thế Duy </v>
      </c>
      <c r="G103" s="100" t="str">
        <f t="shared" si="8"/>
        <v>21144369</v>
      </c>
      <c r="H103" s="100" t="str">
        <f>VLOOKUP(C103,'[1]DM Đề tài SV ký HĐ (thay đổi)'!$B$1:$Q$475,15,0)</f>
        <v>21144369@student.hcmute.edu.vn</v>
      </c>
      <c r="I103" s="107" t="str">
        <f>VLOOKUP(C103,'[1]DM Đề tài SV ký HĐ (thay đổi)'!$B$1:$Q$475,16,0)</f>
        <v>0932 036415</v>
      </c>
      <c r="J103" s="97" t="str">
        <f>VLOOKUP(C103,'[2]DM Đề tài SV ký HĐ (thay đổi)'!$B$1:$I$475,8,0)</f>
        <v>Cơ khí Chế tạo máy</v>
      </c>
      <c r="K103" s="84" t="s">
        <v>1433</v>
      </c>
      <c r="L103" s="84" t="s">
        <v>257</v>
      </c>
      <c r="M103" s="97" t="str">
        <f>VLOOKUP(C103,'[2]DM Đề tài SV ký HĐ (thay đổi)'!$B$1:$O$475,13,0)</f>
        <v>minhngvan@hcmute.edu.vn</v>
      </c>
      <c r="N103" s="97" t="str">
        <f>VLOOKUP(C103,'[2]DM Đề tài SV ký HĐ (thay đổi)'!$B$1:$M$475,12,0)</f>
        <v>Khoa CKM</v>
      </c>
      <c r="O103" s="88" t="s">
        <v>186</v>
      </c>
      <c r="P103" s="92">
        <v>5000000</v>
      </c>
      <c r="Q103" s="84" t="s">
        <v>1647</v>
      </c>
      <c r="R103" s="84"/>
      <c r="S103" s="84"/>
      <c r="T103" s="103" t="s">
        <v>1787</v>
      </c>
      <c r="V103" s="83"/>
      <c r="W103" s="84"/>
      <c r="X103" s="84"/>
      <c r="Y103" s="84"/>
      <c r="Z103" s="84"/>
      <c r="AA103" s="84"/>
      <c r="AB103" s="84"/>
      <c r="AC103" s="84"/>
      <c r="AD103" s="84"/>
      <c r="AE103" s="84"/>
      <c r="AF103" s="84"/>
      <c r="AG103" s="113" t="s">
        <v>1814</v>
      </c>
      <c r="AH103" s="84"/>
    </row>
    <row r="104" spans="1:34" s="87" customFormat="1" ht="109.2" customHeight="1" x14ac:dyDescent="0.25">
      <c r="A104" s="83">
        <v>136</v>
      </c>
      <c r="B104" s="118" t="str">
        <f t="shared" si="6"/>
        <v>139</v>
      </c>
      <c r="C104" s="84" t="s">
        <v>841</v>
      </c>
      <c r="D104" s="88" t="s">
        <v>273</v>
      </c>
      <c r="E104" s="88" t="s">
        <v>1593</v>
      </c>
      <c r="F104" s="97" t="str">
        <f t="shared" si="7"/>
        <v xml:space="preserve">Trần Hoàng Việt </v>
      </c>
      <c r="G104" s="100" t="str">
        <f t="shared" si="8"/>
        <v>23144171</v>
      </c>
      <c r="H104" s="100" t="str">
        <f>VLOOKUP(C104,'[1]DM Đề tài SV ký HĐ (thay đổi)'!$B$1:$Q$475,15,0)</f>
        <v>22144449@student.hcmute.edu.vn</v>
      </c>
      <c r="I104" s="107" t="str">
        <f>VLOOKUP(C104,'[1]DM Đề tài SV ký HĐ (thay đổi)'!$B$1:$Q$475,16,0)</f>
        <v>0789954736</v>
      </c>
      <c r="J104" s="97" t="str">
        <f>VLOOKUP(C104,'[2]DM Đề tài SV ký HĐ (thay đổi)'!$B$1:$I$475,8,0)</f>
        <v>Cơ khí Chế tạo máy</v>
      </c>
      <c r="K104" s="88" t="s">
        <v>1592</v>
      </c>
      <c r="L104" s="88" t="s">
        <v>229</v>
      </c>
      <c r="M104" s="97" t="str">
        <f>VLOOKUP(C104,'[2]DM Đề tài SV ký HĐ (thay đổi)'!$B$1:$O$475,13,0)</f>
        <v>tranthaison@hcmute.edu.vn</v>
      </c>
      <c r="N104" s="97" t="str">
        <f>VLOOKUP(C104,'[2]DM Đề tài SV ký HĐ (thay đổi)'!$B$1:$M$475,12,0)</f>
        <v>Khoa CKM</v>
      </c>
      <c r="O104" s="88" t="s">
        <v>1763</v>
      </c>
      <c r="P104" s="92">
        <v>25000000</v>
      </c>
      <c r="Q104" s="88" t="s">
        <v>1650</v>
      </c>
      <c r="R104" s="88"/>
      <c r="S104" s="88"/>
      <c r="T104" s="101" t="s">
        <v>1787</v>
      </c>
      <c r="V104" s="83"/>
      <c r="W104" s="84"/>
      <c r="X104" s="84"/>
      <c r="Y104" s="84"/>
      <c r="Z104" s="84"/>
      <c r="AA104" s="84"/>
      <c r="AB104" s="84"/>
      <c r="AC104" s="84"/>
      <c r="AD104" s="84"/>
      <c r="AE104" s="84"/>
      <c r="AF104" s="84"/>
      <c r="AG104" s="113" t="s">
        <v>1814</v>
      </c>
      <c r="AH104" s="84"/>
    </row>
    <row r="105" spans="1:34" s="87" customFormat="1" ht="109.2" customHeight="1" x14ac:dyDescent="0.25">
      <c r="A105" s="83">
        <v>137</v>
      </c>
      <c r="B105" s="83" t="str">
        <f t="shared" si="6"/>
        <v>140</v>
      </c>
      <c r="C105" s="84" t="s">
        <v>842</v>
      </c>
      <c r="D105" s="88" t="s">
        <v>274</v>
      </c>
      <c r="E105" s="88" t="s">
        <v>1434</v>
      </c>
      <c r="F105" s="97" t="str">
        <f t="shared" si="7"/>
        <v xml:space="preserve">Danh Thái Tỷ </v>
      </c>
      <c r="G105" s="100" t="str">
        <f t="shared" si="8"/>
        <v>22146252</v>
      </c>
      <c r="H105" s="100" t="str">
        <f>VLOOKUP(C105,'[1]DM Đề tài SV ký HĐ (thay đổi)'!$B$1:$Q$475,15,0)</f>
        <v>22146252@student.hcmute.edu.vn</v>
      </c>
      <c r="I105" s="107" t="str">
        <f>VLOOKUP(C105,'[1]DM Đề tài SV ký HĐ (thay đổi)'!$B$1:$Q$475,16,0)</f>
        <v>0394340744</v>
      </c>
      <c r="J105" s="97" t="str">
        <f>VLOOKUP(C105,'[2]DM Đề tài SV ký HĐ (thay đổi)'!$B$1:$I$475,8,0)</f>
        <v>Cơ khí Chế tạo máy</v>
      </c>
      <c r="K105" s="88" t="s">
        <v>1435</v>
      </c>
      <c r="L105" s="88" t="s">
        <v>275</v>
      </c>
      <c r="M105" s="97" t="str">
        <f>VLOOKUP(C105,'[2]DM Đề tài SV ký HĐ (thay đổi)'!$B$1:$O$475,13,0)</f>
        <v>ngondt@hcmute.edu.vn</v>
      </c>
      <c r="N105" s="97" t="str">
        <f>VLOOKUP(C105,'[2]DM Đề tài SV ký HĐ (thay đổi)'!$B$1:$M$475,12,0)</f>
        <v>Khoa CKM</v>
      </c>
      <c r="O105" s="88" t="s">
        <v>1534</v>
      </c>
      <c r="P105" s="92">
        <v>15000000</v>
      </c>
      <c r="Q105" s="85" t="s">
        <v>1649</v>
      </c>
      <c r="R105" s="85"/>
      <c r="S105" s="85"/>
      <c r="T105" s="105" t="s">
        <v>1827</v>
      </c>
      <c r="V105" s="83"/>
      <c r="W105" s="84"/>
      <c r="X105" s="84"/>
      <c r="Y105" s="84"/>
      <c r="Z105" s="84"/>
      <c r="AA105" s="84"/>
      <c r="AB105" s="84"/>
      <c r="AC105" s="84"/>
      <c r="AD105" s="84"/>
      <c r="AE105" s="84"/>
      <c r="AF105" s="84"/>
      <c r="AG105" s="85"/>
      <c r="AH105" s="96" t="s">
        <v>1818</v>
      </c>
    </row>
    <row r="106" spans="1:34" s="87" customFormat="1" ht="109.2" customHeight="1" x14ac:dyDescent="0.25">
      <c r="A106" s="83">
        <v>138</v>
      </c>
      <c r="B106" s="118" t="str">
        <f t="shared" si="6"/>
        <v>141</v>
      </c>
      <c r="C106" s="84" t="s">
        <v>843</v>
      </c>
      <c r="D106" s="84" t="s">
        <v>276</v>
      </c>
      <c r="E106" s="88" t="s">
        <v>1694</v>
      </c>
      <c r="F106" s="97" t="str">
        <f t="shared" si="7"/>
        <v xml:space="preserve">Lý Hoàng Thịnh </v>
      </c>
      <c r="G106" s="100" t="str">
        <f t="shared" si="8"/>
        <v>22144407</v>
      </c>
      <c r="H106" s="100" t="str">
        <f>VLOOKUP(C106,'[1]DM Đề tài SV ký HĐ (thay đổi)'!$B$1:$Q$475,15,0)</f>
        <v>22144012@student.hcmute.edu.vn</v>
      </c>
      <c r="I106" s="107" t="str">
        <f>VLOOKUP(C106,'[1]DM Đề tài SV ký HĐ (thay đổi)'!$B$1:$Q$475,16,0)</f>
        <v>0911772641</v>
      </c>
      <c r="J106" s="97" t="str">
        <f>VLOOKUP(C106,'[2]DM Đề tài SV ký HĐ (thay đổi)'!$B$1:$I$475,8,0)</f>
        <v>Cơ khí Chế tạo máy</v>
      </c>
      <c r="K106" s="84" t="s">
        <v>1693</v>
      </c>
      <c r="L106" s="84" t="s">
        <v>257</v>
      </c>
      <c r="M106" s="97" t="str">
        <f>VLOOKUP(C106,'[2]DM Đề tài SV ký HĐ (thay đổi)'!$B$1:$O$475,13,0)</f>
        <v>minhngvan@hcmute.edu.vn</v>
      </c>
      <c r="N106" s="97" t="str">
        <f>VLOOKUP(C106,'[2]DM Đề tài SV ký HĐ (thay đổi)'!$B$1:$M$475,12,0)</f>
        <v>Khoa CKM</v>
      </c>
      <c r="O106" s="88" t="s">
        <v>1763</v>
      </c>
      <c r="P106" s="92">
        <v>25000000</v>
      </c>
      <c r="Q106" s="88" t="s">
        <v>1650</v>
      </c>
      <c r="R106" s="88"/>
      <c r="S106" s="88"/>
      <c r="T106" s="101">
        <v>2</v>
      </c>
      <c r="U106" s="103" t="s">
        <v>1787</v>
      </c>
      <c r="V106" s="83"/>
      <c r="W106" s="84"/>
      <c r="X106" s="84"/>
      <c r="Y106" s="84"/>
      <c r="Z106" s="84"/>
      <c r="AA106" s="84"/>
      <c r="AB106" s="84"/>
      <c r="AC106" s="84"/>
      <c r="AD106" s="84"/>
      <c r="AE106" s="84"/>
      <c r="AF106" s="84"/>
      <c r="AG106" s="114" t="s">
        <v>1813</v>
      </c>
      <c r="AH106" s="84"/>
    </row>
    <row r="107" spans="1:34" s="87" customFormat="1" ht="109.2" customHeight="1" x14ac:dyDescent="0.25">
      <c r="A107" s="83">
        <v>139</v>
      </c>
      <c r="B107" s="118" t="str">
        <f t="shared" si="6"/>
        <v>143</v>
      </c>
      <c r="C107" s="84" t="s">
        <v>844</v>
      </c>
      <c r="D107" s="88" t="s">
        <v>277</v>
      </c>
      <c r="E107" s="88" t="s">
        <v>1712</v>
      </c>
      <c r="F107" s="97" t="str">
        <f t="shared" si="7"/>
        <v xml:space="preserve">Dương Thành Thắng </v>
      </c>
      <c r="G107" s="100" t="str">
        <f t="shared" si="8"/>
        <v>22144403</v>
      </c>
      <c r="H107" s="100" t="str">
        <f>VLOOKUP(C107,'[1]DM Đề tài SV ký HĐ (thay đổi)'!$B$1:$Q$475,15,0)</f>
        <v>24144026@student.hcmute.edu.vn</v>
      </c>
      <c r="I107" s="107" t="str">
        <f>VLOOKUP(C107,'[1]DM Đề tài SV ký HĐ (thay đổi)'!$B$1:$Q$475,16,0)</f>
        <v>0962774411</v>
      </c>
      <c r="J107" s="97" t="str">
        <f>VLOOKUP(C107,'[2]DM Đề tài SV ký HĐ (thay đổi)'!$B$1:$I$475,8,0)</f>
        <v>Cơ khí Chế tạo máy</v>
      </c>
      <c r="K107" s="88" t="s">
        <v>1711</v>
      </c>
      <c r="L107" s="88" t="s">
        <v>278</v>
      </c>
      <c r="M107" s="97" t="str">
        <f>VLOOKUP(C107,'[2]DM Đề tài SV ký HĐ (thay đổi)'!$B$1:$O$475,13,0)</f>
        <v>trungdt@hcmute.edu.vn</v>
      </c>
      <c r="N107" s="97" t="str">
        <f>VLOOKUP(C107,'[2]DM Đề tài SV ký HĐ (thay đổi)'!$B$1:$M$475,12,0)</f>
        <v>P.Khảo thí và ĐBCL</v>
      </c>
      <c r="O107" s="88" t="s">
        <v>1763</v>
      </c>
      <c r="P107" s="92">
        <v>25000000</v>
      </c>
      <c r="Q107" s="88" t="s">
        <v>1650</v>
      </c>
      <c r="R107" s="88"/>
      <c r="S107" s="88"/>
      <c r="T107" s="101">
        <v>2</v>
      </c>
      <c r="U107" s="103" t="s">
        <v>1787</v>
      </c>
      <c r="V107" s="83"/>
      <c r="W107" s="84"/>
      <c r="X107" s="84"/>
      <c r="Y107" s="84"/>
      <c r="Z107" s="84"/>
      <c r="AA107" s="84"/>
      <c r="AB107" s="84"/>
      <c r="AC107" s="84"/>
      <c r="AD107" s="84"/>
      <c r="AE107" s="84"/>
      <c r="AF107" s="84"/>
      <c r="AG107" s="113" t="s">
        <v>1814</v>
      </c>
      <c r="AH107" s="84"/>
    </row>
    <row r="108" spans="1:34" s="87" customFormat="1" ht="109.2" customHeight="1" x14ac:dyDescent="0.25">
      <c r="A108" s="83">
        <v>140</v>
      </c>
      <c r="B108" s="83" t="str">
        <f t="shared" si="6"/>
        <v>144</v>
      </c>
      <c r="C108" s="84" t="s">
        <v>845</v>
      </c>
      <c r="D108" s="88" t="s">
        <v>280</v>
      </c>
      <c r="E108" s="88" t="s">
        <v>1402</v>
      </c>
      <c r="F108" s="97" t="str">
        <f t="shared" si="7"/>
        <v xml:space="preserve">Nguyễn Khánh Duy </v>
      </c>
      <c r="G108" s="100" t="str">
        <f t="shared" si="8"/>
        <v>24134014</v>
      </c>
      <c r="H108" s="100" t="str">
        <f>VLOOKUP(C108,'[1]DM Đề tài SV ký HĐ (thay đổi)'!$B$1:$Q$475,15,0)</f>
        <v>24134014@student.hcmute.edu.vn</v>
      </c>
      <c r="I108" s="107" t="str">
        <f>VLOOKUP(C108,'[1]DM Đề tài SV ký HĐ (thay đổi)'!$B$1:$Q$475,16,0)</f>
        <v>0383055917</v>
      </c>
      <c r="J108" s="97" t="str">
        <f>VLOOKUP(C108,'[2]DM Đề tài SV ký HĐ (thay đổi)'!$B$1:$I$475,8,0)</f>
        <v>Cơ khí Chế tạo máy</v>
      </c>
      <c r="K108" s="88" t="s">
        <v>1436</v>
      </c>
      <c r="L108" s="108" t="s">
        <v>281</v>
      </c>
      <c r="M108" s="97" t="str">
        <f>VLOOKUP(C108,'[2]DM Đề tài SV ký HĐ (thay đổi)'!$B$1:$O$475,13,0)</f>
        <v>halm@hcmute.edu.vn</v>
      </c>
      <c r="N108" s="98" t="s">
        <v>1797</v>
      </c>
      <c r="O108" s="88" t="s">
        <v>1717</v>
      </c>
      <c r="P108" s="92">
        <v>5000000</v>
      </c>
      <c r="Q108" s="84" t="s">
        <v>1647</v>
      </c>
      <c r="R108" s="84"/>
      <c r="S108" s="84"/>
      <c r="T108" s="105" t="s">
        <v>1827</v>
      </c>
      <c r="U108" s="103"/>
      <c r="V108" s="83"/>
      <c r="W108" s="84"/>
      <c r="X108" s="84"/>
      <c r="Y108" s="84"/>
      <c r="Z108" s="84"/>
      <c r="AA108" s="84"/>
      <c r="AB108" s="84"/>
      <c r="AC108" s="84"/>
      <c r="AD108" s="84"/>
      <c r="AE108" s="84"/>
      <c r="AF108" s="84"/>
      <c r="AG108" s="85"/>
      <c r="AH108" s="96" t="s">
        <v>1818</v>
      </c>
    </row>
    <row r="109" spans="1:34" s="87" customFormat="1" ht="109.2" customHeight="1" x14ac:dyDescent="0.25">
      <c r="A109" s="83">
        <v>141</v>
      </c>
      <c r="B109" s="118" t="str">
        <f t="shared" si="6"/>
        <v>145</v>
      </c>
      <c r="C109" s="84" t="s">
        <v>846</v>
      </c>
      <c r="D109" s="84" t="s">
        <v>282</v>
      </c>
      <c r="E109" s="88" t="s">
        <v>1625</v>
      </c>
      <c r="F109" s="97" t="str">
        <f t="shared" si="7"/>
        <v xml:space="preserve">Huỳnh Duy Hưng </v>
      </c>
      <c r="G109" s="100" t="str">
        <f t="shared" si="8"/>
        <v>23144221</v>
      </c>
      <c r="H109" s="100" t="str">
        <f>VLOOKUP(C109,'[1]DM Đề tài SV ký HĐ (thay đổi)'!$B$1:$Q$475,15,0)</f>
        <v>23144221@student.hcmute.edu.vn</v>
      </c>
      <c r="I109" s="107" t="str">
        <f>VLOOKUP(C109,'[1]DM Đề tài SV ký HĐ (thay đổi)'!$B$1:$Q$475,16,0)</f>
        <v>0393901907</v>
      </c>
      <c r="J109" s="97" t="str">
        <f>VLOOKUP(C109,'[2]DM Đề tài SV ký HĐ (thay đổi)'!$B$1:$I$475,8,0)</f>
        <v>Cơ khí Chế tạo máy</v>
      </c>
      <c r="K109" s="84" t="s">
        <v>1706</v>
      </c>
      <c r="L109" s="84" t="s">
        <v>203</v>
      </c>
      <c r="M109" s="97" t="str">
        <f>VLOOKUP(C109,'[2]DM Đề tài SV ký HĐ (thay đổi)'!$B$1:$O$475,13,0)</f>
        <v>huyvq@hcmute.edu.vn</v>
      </c>
      <c r="N109" s="97" t="str">
        <f>VLOOKUP(C109,'[2]DM Đề tài SV ký HĐ (thay đổi)'!$B$1:$M$475,12,0)</f>
        <v>Khoa CKM</v>
      </c>
      <c r="O109" s="88" t="s">
        <v>1763</v>
      </c>
      <c r="P109" s="92">
        <v>25000000</v>
      </c>
      <c r="Q109" s="88" t="s">
        <v>1650</v>
      </c>
      <c r="R109" s="88"/>
      <c r="S109" s="88"/>
      <c r="T109" s="101">
        <v>2</v>
      </c>
      <c r="U109" s="103" t="s">
        <v>1787</v>
      </c>
      <c r="V109" s="83"/>
      <c r="W109" s="84"/>
      <c r="X109" s="84"/>
      <c r="Y109" s="84"/>
      <c r="Z109" s="84"/>
      <c r="AA109" s="84"/>
      <c r="AB109" s="84"/>
      <c r="AC109" s="84"/>
      <c r="AD109" s="84"/>
      <c r="AE109" s="84"/>
      <c r="AF109" s="84"/>
      <c r="AG109" s="114" t="s">
        <v>1813</v>
      </c>
      <c r="AH109" s="84"/>
    </row>
    <row r="110" spans="1:34" s="87" customFormat="1" ht="109.2" customHeight="1" x14ac:dyDescent="0.25">
      <c r="A110" s="83">
        <v>142</v>
      </c>
      <c r="B110" s="118" t="str">
        <f t="shared" si="6"/>
        <v>146</v>
      </c>
      <c r="C110" s="84" t="s">
        <v>847</v>
      </c>
      <c r="D110" s="84" t="s">
        <v>283</v>
      </c>
      <c r="E110" s="88" t="s">
        <v>1437</v>
      </c>
      <c r="F110" s="97" t="str">
        <f t="shared" si="7"/>
        <v xml:space="preserve">Nguyễn Văn Thương </v>
      </c>
      <c r="G110" s="100" t="str">
        <f t="shared" si="8"/>
        <v>23144320</v>
      </c>
      <c r="H110" s="100" t="str">
        <f>VLOOKUP(C110,'[1]DM Đề tài SV ký HĐ (thay đổi)'!$B$1:$Q$475,15,0)</f>
        <v>23144320@student.hcmute.edu.vn</v>
      </c>
      <c r="I110" s="107" t="str">
        <f>VLOOKUP(C110,'[1]DM Đề tài SV ký HĐ (thay đổi)'!$B$1:$Q$475,16,0)</f>
        <v>0335994873</v>
      </c>
      <c r="J110" s="97" t="str">
        <f>VLOOKUP(C110,'[2]DM Đề tài SV ký HĐ (thay đổi)'!$B$1:$I$475,8,0)</f>
        <v>Cơ khí Chế tạo máy</v>
      </c>
      <c r="K110" s="84" t="s">
        <v>1691</v>
      </c>
      <c r="L110" s="84" t="s">
        <v>203</v>
      </c>
      <c r="M110" s="97" t="str">
        <f>VLOOKUP(C110,'[2]DM Đề tài SV ký HĐ (thay đổi)'!$B$1:$O$475,13,0)</f>
        <v>huyvq@hcmute.edu.vn</v>
      </c>
      <c r="N110" s="97" t="str">
        <f>VLOOKUP(C110,'[2]DM Đề tài SV ký HĐ (thay đổi)'!$B$1:$M$475,12,0)</f>
        <v>Khoa CKM</v>
      </c>
      <c r="O110" s="88" t="s">
        <v>1763</v>
      </c>
      <c r="P110" s="92">
        <v>25000000</v>
      </c>
      <c r="Q110" s="88" t="s">
        <v>1650</v>
      </c>
      <c r="R110" s="88"/>
      <c r="S110" s="88"/>
      <c r="T110" s="101">
        <v>2</v>
      </c>
      <c r="U110" s="103" t="s">
        <v>1787</v>
      </c>
      <c r="V110" s="83"/>
      <c r="W110" s="84"/>
      <c r="X110" s="84"/>
      <c r="Y110" s="84"/>
      <c r="Z110" s="84"/>
      <c r="AA110" s="84"/>
      <c r="AB110" s="84"/>
      <c r="AC110" s="84"/>
      <c r="AD110" s="84"/>
      <c r="AE110" s="84"/>
      <c r="AF110" s="84"/>
      <c r="AG110" s="114" t="s">
        <v>1813</v>
      </c>
      <c r="AH110" s="84"/>
    </row>
    <row r="111" spans="1:34" s="87" customFormat="1" ht="109.2" customHeight="1" x14ac:dyDescent="0.25">
      <c r="A111" s="83">
        <v>143</v>
      </c>
      <c r="B111" s="118" t="str">
        <f t="shared" si="6"/>
        <v>147</v>
      </c>
      <c r="C111" s="84" t="s">
        <v>848</v>
      </c>
      <c r="D111" s="84" t="s">
        <v>284</v>
      </c>
      <c r="E111" s="88" t="s">
        <v>1449</v>
      </c>
      <c r="F111" s="97" t="str">
        <f t="shared" si="7"/>
        <v xml:space="preserve">Ngô Trọng Đức </v>
      </c>
      <c r="G111" s="100" t="str">
        <f t="shared" si="8"/>
        <v>23144061</v>
      </c>
      <c r="H111" s="100" t="str">
        <f>VLOOKUP(C111,'[1]DM Đề tài SV ký HĐ (thay đổi)'!$B$1:$Q$475,15,0)</f>
        <v>23144061@student.hcmute.edu.vn</v>
      </c>
      <c r="I111" s="107" t="str">
        <f>VLOOKUP(C111,'[1]DM Đề tài SV ký HĐ (thay đổi)'!$B$1:$Q$475,16,0)</f>
        <v>0778052891</v>
      </c>
      <c r="J111" s="97" t="str">
        <f>VLOOKUP(C111,'[2]DM Đề tài SV ký HĐ (thay đổi)'!$B$1:$I$475,8,0)</f>
        <v>Cơ khí Chế tạo máy</v>
      </c>
      <c r="K111" s="84" t="s">
        <v>1501</v>
      </c>
      <c r="L111" s="84" t="s">
        <v>285</v>
      </c>
      <c r="M111" s="97" t="str">
        <f>VLOOKUP(C111,'[2]DM Đề tài SV ký HĐ (thay đổi)'!$B$1:$O$475,13,0)</f>
        <v>tamvm@hcmute.edu.vn</v>
      </c>
      <c r="N111" s="97" t="str">
        <f>VLOOKUP(C111,'[2]DM Đề tài SV ký HĐ (thay đổi)'!$B$1:$M$475,12,0)</f>
        <v>Khoa CKM</v>
      </c>
      <c r="O111" s="88" t="s">
        <v>1763</v>
      </c>
      <c r="P111" s="92">
        <v>25000000</v>
      </c>
      <c r="Q111" s="88" t="s">
        <v>1650</v>
      </c>
      <c r="R111" s="88"/>
      <c r="S111" s="88"/>
      <c r="T111" s="101">
        <v>2</v>
      </c>
      <c r="U111" s="103" t="s">
        <v>1787</v>
      </c>
      <c r="V111" s="83"/>
      <c r="W111" s="84"/>
      <c r="X111" s="84"/>
      <c r="Y111" s="84"/>
      <c r="Z111" s="84"/>
      <c r="AA111" s="84"/>
      <c r="AB111" s="84"/>
      <c r="AC111" s="84"/>
      <c r="AD111" s="84"/>
      <c r="AE111" s="84"/>
      <c r="AF111" s="84"/>
      <c r="AG111" s="114" t="s">
        <v>1813</v>
      </c>
      <c r="AH111" s="84"/>
    </row>
    <row r="112" spans="1:34" s="87" customFormat="1" ht="109.2" customHeight="1" x14ac:dyDescent="0.25">
      <c r="A112" s="83">
        <v>144</v>
      </c>
      <c r="B112" s="118" t="str">
        <f t="shared" si="6"/>
        <v>148</v>
      </c>
      <c r="C112" s="84" t="s">
        <v>849</v>
      </c>
      <c r="D112" s="88" t="s">
        <v>286</v>
      </c>
      <c r="E112" s="88" t="s">
        <v>1438</v>
      </c>
      <c r="F112" s="97" t="str">
        <f t="shared" si="7"/>
        <v xml:space="preserve">Võ Thành Phát </v>
      </c>
      <c r="G112" s="100" t="str">
        <f t="shared" si="8"/>
        <v>23143323</v>
      </c>
      <c r="H112" s="100" t="str">
        <f>VLOOKUP(C112,'[1]DM Đề tài SV ký HĐ (thay đổi)'!$B$1:$Q$475,15,0)</f>
        <v>23143323@student.hcmute.edu.vn</v>
      </c>
      <c r="I112" s="107" t="str">
        <f>VLOOKUP(C112,'[1]DM Đề tài SV ký HĐ (thay đổi)'!$B$1:$Q$475,16,0)</f>
        <v>0837558770</v>
      </c>
      <c r="J112" s="97" t="str">
        <f>VLOOKUP(C112,'[2]DM Đề tài SV ký HĐ (thay đổi)'!$B$1:$I$475,8,0)</f>
        <v>Cơ khí Chế tạo máy</v>
      </c>
      <c r="K112" s="88" t="s">
        <v>1439</v>
      </c>
      <c r="L112" s="88" t="s">
        <v>223</v>
      </c>
      <c r="M112" s="97" t="str">
        <f>VLOOKUP(C112,'[2]DM Đề tài SV ký HĐ (thay đổi)'!$B$1:$O$475,13,0)</f>
        <v>thientn@hcmute.edu.vn</v>
      </c>
      <c r="N112" s="97" t="str">
        <f>VLOOKUP(C112,'[2]DM Đề tài SV ký HĐ (thay đổi)'!$B$1:$M$475,12,0)</f>
        <v>Khoa CKM</v>
      </c>
      <c r="O112" s="88" t="s">
        <v>1535</v>
      </c>
      <c r="P112" s="92">
        <v>10000000</v>
      </c>
      <c r="Q112" s="84" t="s">
        <v>1648</v>
      </c>
      <c r="R112" s="84"/>
      <c r="S112" s="84"/>
      <c r="T112" s="101">
        <v>2</v>
      </c>
      <c r="U112" s="103" t="s">
        <v>1787</v>
      </c>
      <c r="V112" s="83"/>
      <c r="W112" s="84"/>
      <c r="X112" s="84"/>
      <c r="Y112" s="84"/>
      <c r="Z112" s="84"/>
      <c r="AA112" s="84"/>
      <c r="AB112" s="84"/>
      <c r="AC112" s="84"/>
      <c r="AD112" s="84"/>
      <c r="AE112" s="84"/>
      <c r="AF112" s="84"/>
      <c r="AG112" s="114" t="s">
        <v>1813</v>
      </c>
      <c r="AH112" s="84"/>
    </row>
    <row r="113" spans="1:34" s="87" customFormat="1" ht="109.2" customHeight="1" x14ac:dyDescent="0.25">
      <c r="A113" s="83">
        <v>145</v>
      </c>
      <c r="B113" s="118" t="str">
        <f t="shared" si="6"/>
        <v>149</v>
      </c>
      <c r="C113" s="84" t="s">
        <v>850</v>
      </c>
      <c r="D113" s="88" t="s">
        <v>287</v>
      </c>
      <c r="E113" s="88" t="s">
        <v>1440</v>
      </c>
      <c r="F113" s="97" t="str">
        <f t="shared" si="7"/>
        <v xml:space="preserve">Đặng Việt  Hoàng </v>
      </c>
      <c r="G113" s="100" t="str">
        <f t="shared" si="8"/>
        <v>23144079</v>
      </c>
      <c r="H113" s="100" t="str">
        <f>VLOOKUP(C113,'[1]DM Đề tài SV ký HĐ (thay đổi)'!$B$1:$Q$475,15,0)</f>
        <v>23144079@student.hcmute.edu.vn</v>
      </c>
      <c r="I113" s="107" t="str">
        <f>VLOOKUP(C113,'[1]DM Đề tài SV ký HĐ (thay đổi)'!$B$1:$Q$475,16,0)</f>
        <v>0963976330</v>
      </c>
      <c r="J113" s="97" t="str">
        <f>VLOOKUP(C113,'[2]DM Đề tài SV ký HĐ (thay đổi)'!$B$1:$I$475,8,0)</f>
        <v>Cơ khí Chế tạo máy</v>
      </c>
      <c r="K113" s="88" t="s">
        <v>1378</v>
      </c>
      <c r="L113" s="88" t="s">
        <v>278</v>
      </c>
      <c r="M113" s="97" t="str">
        <f>VLOOKUP(C113,'[2]DM Đề tài SV ký HĐ (thay đổi)'!$B$1:$O$475,13,0)</f>
        <v>trungdt@hcmute.edu.vn</v>
      </c>
      <c r="N113" s="97" t="str">
        <f>VLOOKUP(C113,'[2]DM Đề tài SV ký HĐ (thay đổi)'!$B$1:$M$475,12,0)</f>
        <v>Khoa CKM</v>
      </c>
      <c r="O113" s="88" t="s">
        <v>1763</v>
      </c>
      <c r="P113" s="92">
        <v>25000000</v>
      </c>
      <c r="Q113" s="88" t="s">
        <v>1650</v>
      </c>
      <c r="R113" s="88"/>
      <c r="S113" s="88"/>
      <c r="T113" s="101">
        <v>2</v>
      </c>
      <c r="U113" s="103" t="s">
        <v>1787</v>
      </c>
      <c r="V113" s="83"/>
      <c r="W113" s="84"/>
      <c r="X113" s="84"/>
      <c r="Y113" s="84"/>
      <c r="Z113" s="84"/>
      <c r="AA113" s="84"/>
      <c r="AB113" s="84"/>
      <c r="AC113" s="84"/>
      <c r="AD113" s="84"/>
      <c r="AE113" s="84"/>
      <c r="AF113" s="84"/>
      <c r="AG113" s="114" t="s">
        <v>1813</v>
      </c>
      <c r="AH113" s="84"/>
    </row>
    <row r="114" spans="1:34" s="87" customFormat="1" ht="109.2" customHeight="1" x14ac:dyDescent="0.25">
      <c r="A114" s="83">
        <v>146</v>
      </c>
      <c r="B114" s="118" t="str">
        <f t="shared" si="6"/>
        <v>150</v>
      </c>
      <c r="C114" s="84" t="s">
        <v>851</v>
      </c>
      <c r="D114" s="84" t="s">
        <v>288</v>
      </c>
      <c r="E114" s="88" t="s">
        <v>1441</v>
      </c>
      <c r="F114" s="97" t="str">
        <f t="shared" si="7"/>
        <v xml:space="preserve">Lê Võ Minh Nhựt </v>
      </c>
      <c r="G114" s="100" t="str">
        <f t="shared" si="8"/>
        <v>23144130</v>
      </c>
      <c r="H114" s="100" t="str">
        <f>VLOOKUP(C114,'[1]DM Đề tài SV ký HĐ (thay đổi)'!$B$1:$Q$475,15,0)</f>
        <v>23144130@student.hcmute.edu.vn</v>
      </c>
      <c r="I114" s="107" t="str">
        <f>VLOOKUP(C114,'[1]DM Đề tài SV ký HĐ (thay đổi)'!$B$1:$Q$475,16,0)</f>
        <v>0358734293</v>
      </c>
      <c r="J114" s="97" t="str">
        <f>VLOOKUP(C114,'[2]DM Đề tài SV ký HĐ (thay đổi)'!$B$1:$I$475,8,0)</f>
        <v>Cơ khí Chế tạo máy</v>
      </c>
      <c r="K114" s="84" t="s">
        <v>1442</v>
      </c>
      <c r="L114" s="84" t="s">
        <v>246</v>
      </c>
      <c r="M114" s="97" t="str">
        <f>VLOOKUP(C114,'[2]DM Đề tài SV ký HĐ (thay đổi)'!$B$1:$O$475,13,0)</f>
        <v>tanlb@hcmute.edu.vn</v>
      </c>
      <c r="N114" s="97" t="str">
        <f>VLOOKUP(C114,'[2]DM Đề tài SV ký HĐ (thay đổi)'!$B$1:$M$475,12,0)</f>
        <v>Khoa Giao thông và Năng lượng</v>
      </c>
      <c r="O114" s="88" t="s">
        <v>1763</v>
      </c>
      <c r="P114" s="92">
        <v>25000000</v>
      </c>
      <c r="Q114" s="88" t="s">
        <v>1650</v>
      </c>
      <c r="R114" s="88"/>
      <c r="S114" s="88"/>
      <c r="T114" s="101">
        <v>2</v>
      </c>
      <c r="U114" s="103" t="s">
        <v>1787</v>
      </c>
      <c r="V114" s="83"/>
      <c r="W114" s="84"/>
      <c r="X114" s="84"/>
      <c r="Y114" s="84"/>
      <c r="Z114" s="84"/>
      <c r="AA114" s="84"/>
      <c r="AB114" s="84"/>
      <c r="AC114" s="84"/>
      <c r="AD114" s="84"/>
      <c r="AE114" s="84"/>
      <c r="AF114" s="84"/>
      <c r="AG114" s="114" t="s">
        <v>1813</v>
      </c>
      <c r="AH114" s="84"/>
    </row>
    <row r="115" spans="1:34" s="87" customFormat="1" ht="109.2" customHeight="1" x14ac:dyDescent="0.25">
      <c r="A115" s="83">
        <v>147</v>
      </c>
      <c r="B115" s="118" t="str">
        <f t="shared" si="6"/>
        <v>151</v>
      </c>
      <c r="C115" s="84" t="s">
        <v>852</v>
      </c>
      <c r="D115" s="84" t="s">
        <v>289</v>
      </c>
      <c r="E115" s="88" t="s">
        <v>1443</v>
      </c>
      <c r="F115" s="97" t="str">
        <f t="shared" si="7"/>
        <v xml:space="preserve">Phạm Quốc Kiệt </v>
      </c>
      <c r="G115" s="100" t="str">
        <f t="shared" si="8"/>
        <v>23144110</v>
      </c>
      <c r="H115" s="100" t="str">
        <f>VLOOKUP(C115,'[1]DM Đề tài SV ký HĐ (thay đổi)'!$B$1:$Q$475,15,0)</f>
        <v>23144110@student.hcmute.edu.vn</v>
      </c>
      <c r="I115" s="107" t="str">
        <f>VLOOKUP(C115,'[1]DM Đề tài SV ký HĐ (thay đổi)'!$B$1:$Q$475,16,0)</f>
        <v xml:space="preserve"> 0794299381</v>
      </c>
      <c r="J115" s="97" t="str">
        <f>VLOOKUP(C115,'[2]DM Đề tài SV ký HĐ (thay đổi)'!$B$1:$I$475,8,0)</f>
        <v>Cơ khí Chế tạo máy</v>
      </c>
      <c r="K115" s="84" t="s">
        <v>1686</v>
      </c>
      <c r="L115" s="84" t="s">
        <v>233</v>
      </c>
      <c r="M115" s="97" t="str">
        <f>VLOOKUP(C115,'[2]DM Đề tài SV ký HĐ (thay đổi)'!$B$1:$O$475,13,0)</f>
        <v>thuptd@hcmute.edu.vn</v>
      </c>
      <c r="N115" s="97" t="str">
        <f>VLOOKUP(C115,'[2]DM Đề tài SV ký HĐ (thay đổi)'!$B$1:$M$475,12,0)</f>
        <v>Khoa CKM</v>
      </c>
      <c r="O115" s="88" t="s">
        <v>1763</v>
      </c>
      <c r="P115" s="92">
        <v>25000000</v>
      </c>
      <c r="Q115" s="88" t="s">
        <v>1650</v>
      </c>
      <c r="R115" s="88"/>
      <c r="S115" s="88"/>
      <c r="T115" s="101">
        <v>2</v>
      </c>
      <c r="U115" s="103" t="s">
        <v>1787</v>
      </c>
      <c r="V115" s="83"/>
      <c r="W115" s="84"/>
      <c r="X115" s="84"/>
      <c r="Y115" s="84"/>
      <c r="Z115" s="84"/>
      <c r="AA115" s="84"/>
      <c r="AB115" s="84"/>
      <c r="AC115" s="84"/>
      <c r="AD115" s="84"/>
      <c r="AE115" s="84"/>
      <c r="AF115" s="84"/>
      <c r="AG115" s="114" t="s">
        <v>1813</v>
      </c>
      <c r="AH115" s="84"/>
    </row>
    <row r="116" spans="1:34" s="87" customFormat="1" ht="109.2" customHeight="1" x14ac:dyDescent="0.25">
      <c r="A116" s="83">
        <v>148</v>
      </c>
      <c r="B116" s="118" t="str">
        <f t="shared" si="6"/>
        <v>152</v>
      </c>
      <c r="C116" s="84" t="s">
        <v>853</v>
      </c>
      <c r="D116" s="88" t="s">
        <v>290</v>
      </c>
      <c r="E116" s="88" t="s">
        <v>1444</v>
      </c>
      <c r="F116" s="97" t="str">
        <f t="shared" si="7"/>
        <v xml:space="preserve">Mã Minh Nhựt </v>
      </c>
      <c r="G116" s="100" t="str">
        <f t="shared" si="8"/>
        <v>23144131</v>
      </c>
      <c r="H116" s="100" t="str">
        <f>VLOOKUP(C116,'[1]DM Đề tài SV ký HĐ (thay đổi)'!$B$1:$Q$475,15,0)</f>
        <v>23144131@student.hcmute.edu.vn</v>
      </c>
      <c r="I116" s="107" t="str">
        <f>VLOOKUP(C116,'[1]DM Đề tài SV ký HĐ (thay đổi)'!$B$1:$Q$475,16,0)</f>
        <v>0949488949</v>
      </c>
      <c r="J116" s="97" t="str">
        <f>VLOOKUP(C116,'[2]DM Đề tài SV ký HĐ (thay đổi)'!$B$1:$I$475,8,0)</f>
        <v>Cơ khí Chế tạo máy</v>
      </c>
      <c r="K116" s="88" t="s">
        <v>1445</v>
      </c>
      <c r="L116" s="84" t="s">
        <v>291</v>
      </c>
      <c r="M116" s="97" t="str">
        <f>VLOOKUP(C116,'[2]DM Đề tài SV ký HĐ (thay đổi)'!$B$1:$O$475,13,0)</f>
        <v>tienvx@hcmute.edu.vn</v>
      </c>
      <c r="N116" s="97" t="str">
        <f>VLOOKUP(C116,'[2]DM Đề tài SV ký HĐ (thay đổi)'!$B$1:$M$475,12,0)</f>
        <v>Khoa CKM</v>
      </c>
      <c r="O116" s="88" t="s">
        <v>1528</v>
      </c>
      <c r="P116" s="92">
        <v>10000000</v>
      </c>
      <c r="Q116" s="84" t="s">
        <v>1648</v>
      </c>
      <c r="R116" s="84"/>
      <c r="S116" s="84"/>
      <c r="T116" s="101">
        <v>2</v>
      </c>
      <c r="U116" s="103" t="s">
        <v>1787</v>
      </c>
      <c r="V116" s="83"/>
      <c r="W116" s="84"/>
      <c r="X116" s="84"/>
      <c r="Y116" s="84"/>
      <c r="Z116" s="84"/>
      <c r="AA116" s="84"/>
      <c r="AB116" s="84"/>
      <c r="AC116" s="84"/>
      <c r="AD116" s="84"/>
      <c r="AE116" s="84"/>
      <c r="AF116" s="84"/>
      <c r="AG116" s="113" t="s">
        <v>1814</v>
      </c>
      <c r="AH116" s="84"/>
    </row>
    <row r="117" spans="1:34" s="87" customFormat="1" ht="109.2" customHeight="1" x14ac:dyDescent="0.25">
      <c r="A117" s="83">
        <v>150</v>
      </c>
      <c r="B117" s="118" t="str">
        <f t="shared" si="6"/>
        <v>154</v>
      </c>
      <c r="C117" s="84" t="s">
        <v>854</v>
      </c>
      <c r="D117" s="88" t="s">
        <v>292</v>
      </c>
      <c r="E117" s="88" t="s">
        <v>1596</v>
      </c>
      <c r="F117" s="97" t="str">
        <f t="shared" si="7"/>
        <v xml:space="preserve">Hồ Hữu Thắng </v>
      </c>
      <c r="G117" s="100" t="str">
        <f t="shared" si="8"/>
        <v>23144156</v>
      </c>
      <c r="H117" s="100" t="str">
        <f>VLOOKUP(C117,'[1]DM Đề tài SV ký HĐ (thay đổi)'!$B$1:$Q$475,15,0)</f>
        <v>22144011@student.hcmute.edu.vn</v>
      </c>
      <c r="I117" s="107" t="str">
        <f>VLOOKUP(C117,'[1]DM Đề tài SV ký HĐ (thay đổi)'!$B$1:$Q$475,16,0)</f>
        <v>0931891423</v>
      </c>
      <c r="J117" s="97" t="str">
        <f>VLOOKUP(C117,'[2]DM Đề tài SV ký HĐ (thay đổi)'!$B$1:$I$475,8,0)</f>
        <v>Cơ khí Chế tạo máy</v>
      </c>
      <c r="K117" s="88" t="s">
        <v>1595</v>
      </c>
      <c r="L117" s="88" t="s">
        <v>246</v>
      </c>
      <c r="M117" s="97" t="str">
        <f>VLOOKUP(C117,'[2]DM Đề tài SV ký HĐ (thay đổi)'!$B$1:$O$475,13,0)</f>
        <v>tanlb@hcmute.edu.vn</v>
      </c>
      <c r="N117" s="97" t="str">
        <f>VLOOKUP(C117,'[2]DM Đề tài SV ký HĐ (thay đổi)'!$B$1:$M$475,12,0)</f>
        <v>Khoa Giao thông và Năng lượng</v>
      </c>
      <c r="O117" s="88" t="s">
        <v>1763</v>
      </c>
      <c r="P117" s="92">
        <v>25000000</v>
      </c>
      <c r="Q117" s="88" t="s">
        <v>1650</v>
      </c>
      <c r="R117" s="88"/>
      <c r="S117" s="88"/>
      <c r="T117" s="101">
        <v>2</v>
      </c>
      <c r="U117" s="103" t="s">
        <v>1787</v>
      </c>
      <c r="V117" s="83"/>
      <c r="W117" s="84"/>
      <c r="X117" s="84"/>
      <c r="Y117" s="84"/>
      <c r="Z117" s="84"/>
      <c r="AA117" s="84"/>
      <c r="AB117" s="84"/>
      <c r="AC117" s="84"/>
      <c r="AD117" s="84"/>
      <c r="AE117" s="84"/>
      <c r="AF117" s="84"/>
      <c r="AG117" s="114" t="s">
        <v>1813</v>
      </c>
      <c r="AH117" s="84"/>
    </row>
    <row r="118" spans="1:34" s="87" customFormat="1" ht="109.2" customHeight="1" x14ac:dyDescent="0.25">
      <c r="A118" s="83">
        <v>151</v>
      </c>
      <c r="B118" s="118" t="str">
        <f t="shared" si="6"/>
        <v>155</v>
      </c>
      <c r="C118" s="84" t="s">
        <v>855</v>
      </c>
      <c r="D118" s="84" t="s">
        <v>293</v>
      </c>
      <c r="E118" s="88" t="s">
        <v>1446</v>
      </c>
      <c r="F118" s="97" t="str">
        <f t="shared" si="7"/>
        <v xml:space="preserve">Đặng Vũ Lâm </v>
      </c>
      <c r="G118" s="100" t="str">
        <f t="shared" si="8"/>
        <v>22143122</v>
      </c>
      <c r="H118" s="100" t="str">
        <f>VLOOKUP(C118,'[1]DM Đề tài SV ký HĐ (thay đổi)'!$B$1:$Q$475,15,0)</f>
        <v>22143122@student.hcmute.edu.vn</v>
      </c>
      <c r="I118" s="107" t="str">
        <f>VLOOKUP(C118,'[1]DM Đề tài SV ký HĐ (thay đổi)'!$B$1:$Q$475,16,0)</f>
        <v>0387887031</v>
      </c>
      <c r="J118" s="97" t="str">
        <f>VLOOKUP(C118,'[2]DM Đề tài SV ký HĐ (thay đổi)'!$B$1:$I$475,8,0)</f>
        <v>Cơ khí Chế tạo máy</v>
      </c>
      <c r="K118" s="88" t="s">
        <v>1403</v>
      </c>
      <c r="L118" s="84" t="s">
        <v>294</v>
      </c>
      <c r="M118" s="97" t="str">
        <f>VLOOKUP(C118,'[2]DM Đề tài SV ký HĐ (thay đổi)'!$B$1:$O$475,13,0)</f>
        <v>ntatuyet@hcmute.edu.vn</v>
      </c>
      <c r="N118" s="97" t="str">
        <f>VLOOKUP(C118,'[2]DM Đề tài SV ký HĐ (thay đổi)'!$B$1:$M$475,12,0)</f>
        <v>Khoa CKM</v>
      </c>
      <c r="O118" s="88" t="s">
        <v>1763</v>
      </c>
      <c r="P118" s="92">
        <v>25000000</v>
      </c>
      <c r="Q118" s="88" t="s">
        <v>1650</v>
      </c>
      <c r="R118" s="88"/>
      <c r="S118" s="88"/>
      <c r="T118" s="103">
        <v>2</v>
      </c>
      <c r="U118" s="103" t="s">
        <v>1787</v>
      </c>
      <c r="V118" s="83"/>
      <c r="W118" s="84"/>
      <c r="X118" s="84"/>
      <c r="Y118" s="84"/>
      <c r="Z118" s="84"/>
      <c r="AA118" s="84"/>
      <c r="AB118" s="84"/>
      <c r="AC118" s="84"/>
      <c r="AD118" s="84"/>
      <c r="AE118" s="84"/>
      <c r="AF118" s="84"/>
      <c r="AG118" s="113" t="s">
        <v>1814</v>
      </c>
      <c r="AH118" s="84"/>
    </row>
    <row r="119" spans="1:34" s="87" customFormat="1" ht="109.2" customHeight="1" x14ac:dyDescent="0.25">
      <c r="A119" s="83">
        <v>153</v>
      </c>
      <c r="B119" s="118" t="str">
        <f t="shared" si="6"/>
        <v>157</v>
      </c>
      <c r="C119" s="84" t="s">
        <v>856</v>
      </c>
      <c r="D119" s="84" t="s">
        <v>295</v>
      </c>
      <c r="E119" s="88" t="s">
        <v>1447</v>
      </c>
      <c r="F119" s="97" t="str">
        <f t="shared" si="7"/>
        <v xml:space="preserve">Nguyễn Tuấn Anh </v>
      </c>
      <c r="G119" s="100" t="str">
        <f t="shared" si="8"/>
        <v>24144111</v>
      </c>
      <c r="H119" s="100" t="str">
        <f>VLOOKUP(C119,'[1]DM Đề tài SV ký HĐ (thay đổi)'!$B$1:$Q$475,15,0)</f>
        <v xml:space="preserve">24144111@student.hcmute.edu.vn </v>
      </c>
      <c r="I119" s="107" t="str">
        <f>VLOOKUP(C119,'[1]DM Đề tài SV ký HĐ (thay đổi)'!$B$1:$Q$475,16,0)</f>
        <v>0328034543</v>
      </c>
      <c r="J119" s="97" t="str">
        <f>VLOOKUP(C119,'[2]DM Đề tài SV ký HĐ (thay đổi)'!$B$1:$I$475,8,0)</f>
        <v>Cơ khí Chế tạo máy</v>
      </c>
      <c r="K119" s="84" t="s">
        <v>1448</v>
      </c>
      <c r="L119" s="84" t="s">
        <v>255</v>
      </c>
      <c r="M119" s="97" t="str">
        <f>VLOOKUP(C119,'[2]DM Đề tài SV ký HĐ (thay đổi)'!$B$1:$O$475,13,0)</f>
        <v>sonnlh@hcmute.edu.vn</v>
      </c>
      <c r="N119" s="97" t="str">
        <f>VLOOKUP(C119,'[2]DM Đề tài SV ký HĐ (thay đổi)'!$B$1:$M$475,12,0)</f>
        <v>Khoa Giao thông và Năng lượng</v>
      </c>
      <c r="O119" s="88" t="s">
        <v>1763</v>
      </c>
      <c r="P119" s="92">
        <v>25000000</v>
      </c>
      <c r="Q119" s="88" t="s">
        <v>1650</v>
      </c>
      <c r="R119" s="88"/>
      <c r="S119" s="88"/>
      <c r="T119" s="105">
        <v>2</v>
      </c>
      <c r="U119" s="103" t="s">
        <v>1787</v>
      </c>
      <c r="V119" s="83"/>
      <c r="W119" s="84"/>
      <c r="X119" s="84"/>
      <c r="Y119" s="84"/>
      <c r="Z119" s="84"/>
      <c r="AA119" s="84"/>
      <c r="AB119" s="84"/>
      <c r="AC119" s="84"/>
      <c r="AD119" s="84"/>
      <c r="AE119" s="84"/>
      <c r="AF119" s="84"/>
      <c r="AG119" s="114" t="s">
        <v>1813</v>
      </c>
      <c r="AH119" s="84"/>
    </row>
    <row r="120" spans="1:34" s="87" customFormat="1" ht="109.2" customHeight="1" x14ac:dyDescent="0.25">
      <c r="A120" s="83">
        <v>156</v>
      </c>
      <c r="B120" s="118" t="str">
        <f t="shared" si="6"/>
        <v>161</v>
      </c>
      <c r="C120" s="84" t="s">
        <v>857</v>
      </c>
      <c r="D120" s="88" t="s">
        <v>296</v>
      </c>
      <c r="E120" s="88" t="s">
        <v>1450</v>
      </c>
      <c r="F120" s="97" t="str">
        <f t="shared" si="7"/>
        <v xml:space="preserve">Võ Kiều Minh Hoàng </v>
      </c>
      <c r="G120" s="100" t="str">
        <f t="shared" si="8"/>
        <v>23144212</v>
      </c>
      <c r="H120" s="100" t="str">
        <f>VLOOKUP(C120,'[1]DM Đề tài SV ký HĐ (thay đổi)'!$B$1:$Q$475,15,0)</f>
        <v>23144212@student.hcmute.edu.vn</v>
      </c>
      <c r="I120" s="107" t="str">
        <f>VLOOKUP(C120,'[1]DM Đề tài SV ký HĐ (thay đổi)'!$B$1:$Q$475,16,0)</f>
        <v>0931809358</v>
      </c>
      <c r="J120" s="97" t="str">
        <f>VLOOKUP(C120,'[2]DM Đề tài SV ký HĐ (thay đổi)'!$B$1:$I$475,8,0)</f>
        <v>Cơ khí Chế tạo máy</v>
      </c>
      <c r="K120" s="88" t="s">
        <v>1451</v>
      </c>
      <c r="L120" s="88" t="s">
        <v>183</v>
      </c>
      <c r="M120" s="97" t="str">
        <f>VLOOKUP(C120,'[2]DM Đề tài SV ký HĐ (thay đổi)'!$B$1:$O$475,13,0)</f>
        <v>minhngvan@hcmute.edu.vn</v>
      </c>
      <c r="N120" s="97" t="str">
        <f>VLOOKUP(C120,'[2]DM Đề tài SV ký HĐ (thay đổi)'!$B$1:$M$475,12,0)</f>
        <v>Khoa CKM</v>
      </c>
      <c r="O120" s="88" t="s">
        <v>1763</v>
      </c>
      <c r="P120" s="92">
        <v>25000000</v>
      </c>
      <c r="Q120" s="88" t="s">
        <v>1650</v>
      </c>
      <c r="R120" s="88"/>
      <c r="S120" s="88"/>
      <c r="T120" s="103">
        <v>2</v>
      </c>
      <c r="U120" s="103" t="s">
        <v>1787</v>
      </c>
      <c r="V120" s="83"/>
      <c r="W120" s="84"/>
      <c r="X120" s="84"/>
      <c r="Y120" s="84"/>
      <c r="Z120" s="84"/>
      <c r="AA120" s="84"/>
      <c r="AB120" s="84"/>
      <c r="AC120" s="84"/>
      <c r="AD120" s="84"/>
      <c r="AE120" s="84"/>
      <c r="AF120" s="84"/>
      <c r="AG120" s="114" t="s">
        <v>1813</v>
      </c>
      <c r="AH120" s="84"/>
    </row>
    <row r="121" spans="1:34" s="87" customFormat="1" ht="109.2" customHeight="1" x14ac:dyDescent="0.25">
      <c r="A121" s="83">
        <v>157</v>
      </c>
      <c r="B121" s="118" t="str">
        <f t="shared" si="6"/>
        <v>162</v>
      </c>
      <c r="C121" s="84" t="s">
        <v>858</v>
      </c>
      <c r="D121" s="84" t="s">
        <v>297</v>
      </c>
      <c r="E121" s="88" t="s">
        <v>1452</v>
      </c>
      <c r="F121" s="97" t="str">
        <f t="shared" si="7"/>
        <v xml:space="preserve">Lê Hửu Tâm </v>
      </c>
      <c r="G121" s="100" t="str">
        <f t="shared" si="8"/>
        <v>21143388</v>
      </c>
      <c r="H121" s="100" t="str">
        <f>VLOOKUP(C121,'[1]DM Đề tài SV ký HĐ (thay đổi)'!$B$1:$Q$475,15,0)</f>
        <v>21143388@student.hcmute.edu.vn</v>
      </c>
      <c r="I121" s="107" t="str">
        <f>VLOOKUP(C121,'[1]DM Đề tài SV ký HĐ (thay đổi)'!$B$1:$Q$475,16,0)</f>
        <v>0866612427</v>
      </c>
      <c r="J121" s="97" t="str">
        <f>VLOOKUP(C121,'[2]DM Đề tài SV ký HĐ (thay đổi)'!$B$1:$I$475,8,0)</f>
        <v>Cơ khí Chế tạo máy</v>
      </c>
      <c r="K121" s="84" t="s">
        <v>1415</v>
      </c>
      <c r="L121" s="84" t="s">
        <v>185</v>
      </c>
      <c r="M121" s="97" t="str">
        <f>VLOOKUP(C121,'[2]DM Đề tài SV ký HĐ (thay đổi)'!$B$1:$O$475,13,0)</f>
        <v>sondh@hcmute.edu.vn</v>
      </c>
      <c r="N121" s="97" t="str">
        <f>VLOOKUP(C121,'[2]DM Đề tài SV ký HĐ (thay đổi)'!$B$1:$M$475,12,0)</f>
        <v>Khoa Giao thông và Năng lượng</v>
      </c>
      <c r="O121" s="88" t="s">
        <v>1763</v>
      </c>
      <c r="P121" s="92">
        <v>25000000</v>
      </c>
      <c r="Q121" s="88" t="s">
        <v>1650</v>
      </c>
      <c r="R121" s="88"/>
      <c r="S121" s="88"/>
      <c r="T121" s="101">
        <v>2</v>
      </c>
      <c r="U121" s="103" t="s">
        <v>1787</v>
      </c>
      <c r="V121" s="83"/>
      <c r="W121" s="84"/>
      <c r="X121" s="84"/>
      <c r="Y121" s="84"/>
      <c r="Z121" s="84"/>
      <c r="AA121" s="84"/>
      <c r="AB121" s="84"/>
      <c r="AC121" s="84"/>
      <c r="AD121" s="84"/>
      <c r="AE121" s="84"/>
      <c r="AF121" s="84"/>
      <c r="AG121" s="114" t="s">
        <v>1813</v>
      </c>
      <c r="AH121" s="84"/>
    </row>
    <row r="122" spans="1:34" s="87" customFormat="1" ht="109.2" customHeight="1" x14ac:dyDescent="0.25">
      <c r="A122" s="83">
        <v>158</v>
      </c>
      <c r="B122" s="83" t="str">
        <f t="shared" si="6"/>
        <v>163</v>
      </c>
      <c r="C122" s="84" t="s">
        <v>859</v>
      </c>
      <c r="D122" s="88" t="s">
        <v>298</v>
      </c>
      <c r="E122" s="88" t="s">
        <v>1453</v>
      </c>
      <c r="F122" s="97" t="str">
        <f t="shared" si="7"/>
        <v xml:space="preserve">Nguyễn Quốc Trung  </v>
      </c>
      <c r="G122" s="100" t="str">
        <f t="shared" si="8"/>
        <v>22134016</v>
      </c>
      <c r="H122" s="100" t="str">
        <f>VLOOKUP(C122,'[1]DM Đề tài SV ký HĐ (thay đổi)'!$B$1:$Q$475,15,0)</f>
        <v>22134016@student.hcmute.edu.vn</v>
      </c>
      <c r="I122" s="107" t="str">
        <f>VLOOKUP(C122,'[1]DM Đề tài SV ký HĐ (thay đổi)'!$B$1:$Q$475,16,0)</f>
        <v>0383394173</v>
      </c>
      <c r="J122" s="97" t="str">
        <f>VLOOKUP(C122,'[2]DM Đề tài SV ký HĐ (thay đổi)'!$B$1:$I$475,8,0)</f>
        <v>Cơ khí Chế tạo máy</v>
      </c>
      <c r="K122" s="88" t="s">
        <v>1454</v>
      </c>
      <c r="L122" s="84" t="s">
        <v>196</v>
      </c>
      <c r="M122" s="97" t="str">
        <f>VLOOKUP(C122,'[2]DM Đề tài SV ký HĐ (thay đổi)'!$B$1:$O$475,13,0)</f>
        <v>dungcva@hcmute.edu.vn</v>
      </c>
      <c r="N122" s="97" t="str">
        <f>VLOOKUP(C122,'[2]DM Đề tài SV ký HĐ (thay đổi)'!$B$1:$M$475,12,0)</f>
        <v>Khoa CKM</v>
      </c>
      <c r="O122" s="88" t="s">
        <v>1573</v>
      </c>
      <c r="P122" s="92">
        <v>10000000</v>
      </c>
      <c r="Q122" s="84" t="s">
        <v>1648</v>
      </c>
      <c r="R122" s="84"/>
      <c r="S122" s="84"/>
      <c r="T122" s="105" t="s">
        <v>1827</v>
      </c>
      <c r="U122" s="103"/>
      <c r="V122" s="83"/>
      <c r="W122" s="84"/>
      <c r="X122" s="84"/>
      <c r="Y122" s="84"/>
      <c r="Z122" s="84"/>
      <c r="AA122" s="84"/>
      <c r="AB122" s="84"/>
      <c r="AC122" s="84"/>
      <c r="AD122" s="84"/>
      <c r="AE122" s="84"/>
      <c r="AF122" s="84"/>
      <c r="AG122" s="85"/>
      <c r="AH122" s="96" t="s">
        <v>1818</v>
      </c>
    </row>
    <row r="123" spans="1:34" s="87" customFormat="1" ht="109.2" customHeight="1" x14ac:dyDescent="0.25">
      <c r="A123" s="83">
        <v>159</v>
      </c>
      <c r="B123" s="118" t="str">
        <f t="shared" si="6"/>
        <v>165</v>
      </c>
      <c r="C123" s="84" t="s">
        <v>860</v>
      </c>
      <c r="D123" s="88" t="s">
        <v>299</v>
      </c>
      <c r="E123" s="88" t="s">
        <v>1455</v>
      </c>
      <c r="F123" s="97" t="str">
        <f t="shared" si="7"/>
        <v xml:space="preserve">Nguyễn Xuân Hoà </v>
      </c>
      <c r="G123" s="100" t="str">
        <f t="shared" si="8"/>
        <v>23144213</v>
      </c>
      <c r="H123" s="100" t="str">
        <f>VLOOKUP(C123,'[1]DM Đề tài SV ký HĐ (thay đổi)'!$B$1:$Q$475,15,0)</f>
        <v>23144213@student.hcmute.edu.vn</v>
      </c>
      <c r="I123" s="107" t="str">
        <f>VLOOKUP(C123,'[1]DM Đề tài SV ký HĐ (thay đổi)'!$B$1:$Q$475,16,0)</f>
        <v>0917327491</v>
      </c>
      <c r="J123" s="97" t="str">
        <f>VLOOKUP(C123,'[2]DM Đề tài SV ký HĐ (thay đổi)'!$B$1:$I$475,8,0)</f>
        <v>Cơ khí Chế tạo máy</v>
      </c>
      <c r="K123" s="88" t="s">
        <v>1456</v>
      </c>
      <c r="L123" s="88" t="s">
        <v>192</v>
      </c>
      <c r="M123" s="97" t="str">
        <f>VLOOKUP(C123,'[2]DM Đề tài SV ký HĐ (thay đổi)'!$B$1:$O$475,13,0)</f>
        <v>uyentmt@hcmute.edu.vn</v>
      </c>
      <c r="N123" s="97" t="str">
        <f>VLOOKUP(C123,'[2]DM Đề tài SV ký HĐ (thay đổi)'!$B$1:$M$475,12,0)</f>
        <v>Khoa CKM</v>
      </c>
      <c r="O123" s="88" t="s">
        <v>1763</v>
      </c>
      <c r="P123" s="92">
        <v>25000000</v>
      </c>
      <c r="Q123" s="88" t="s">
        <v>1650</v>
      </c>
      <c r="R123" s="88"/>
      <c r="S123" s="88"/>
      <c r="T123" s="103">
        <v>2</v>
      </c>
      <c r="U123" s="103" t="s">
        <v>1787</v>
      </c>
      <c r="V123" s="83"/>
      <c r="W123" s="84"/>
      <c r="X123" s="84"/>
      <c r="Y123" s="84"/>
      <c r="Z123" s="84"/>
      <c r="AA123" s="84"/>
      <c r="AB123" s="84"/>
      <c r="AC123" s="84"/>
      <c r="AD123" s="84"/>
      <c r="AE123" s="84"/>
      <c r="AF123" s="84"/>
      <c r="AG123" s="114" t="s">
        <v>1813</v>
      </c>
      <c r="AH123" s="84"/>
    </row>
    <row r="124" spans="1:34" s="87" customFormat="1" ht="109.2" customHeight="1" x14ac:dyDescent="0.25">
      <c r="A124" s="83">
        <v>160</v>
      </c>
      <c r="B124" s="118" t="str">
        <f t="shared" si="6"/>
        <v>166</v>
      </c>
      <c r="C124" s="84" t="s">
        <v>861</v>
      </c>
      <c r="D124" s="84" t="s">
        <v>300</v>
      </c>
      <c r="E124" s="88" t="s">
        <v>1457</v>
      </c>
      <c r="F124" s="97" t="str">
        <f t="shared" si="7"/>
        <v xml:space="preserve">Nguyễn Hoàng Lam </v>
      </c>
      <c r="G124" s="100" t="str">
        <f t="shared" si="8"/>
        <v>22144134</v>
      </c>
      <c r="H124" s="100" t="str">
        <f>VLOOKUP(C124,'[1]DM Đề tài SV ký HĐ (thay đổi)'!$B$1:$Q$475,15,0)</f>
        <v>22144134@student.hcmute.edu.vn</v>
      </c>
      <c r="I124" s="107" t="str">
        <f>VLOOKUP(C124,'[1]DM Đề tài SV ký HĐ (thay đổi)'!$B$1:$Q$475,16,0)</f>
        <v>0394632112</v>
      </c>
      <c r="J124" s="97" t="str">
        <f>VLOOKUP(C124,'[2]DM Đề tài SV ký HĐ (thay đổi)'!$B$1:$I$475,8,0)</f>
        <v>Cơ khí Chế tạo máy</v>
      </c>
      <c r="K124" s="84" t="s">
        <v>1458</v>
      </c>
      <c r="L124" s="84" t="s">
        <v>235</v>
      </c>
      <c r="M124" s="97" t="str">
        <f>VLOOKUP(C124,'[2]DM Đề tài SV ký HĐ (thay đổi)'!$B$1:$O$475,13,0)</f>
        <v>tailm@hcmute.edu.vn</v>
      </c>
      <c r="N124" s="97" t="str">
        <f>VLOOKUP(C124,'[2]DM Đề tài SV ký HĐ (thay đổi)'!$B$1:$M$475,12,0)</f>
        <v>Khoa CKM</v>
      </c>
      <c r="O124" s="88" t="s">
        <v>1763</v>
      </c>
      <c r="P124" s="92">
        <v>25000000</v>
      </c>
      <c r="Q124" s="88" t="s">
        <v>1650</v>
      </c>
      <c r="R124" s="88"/>
      <c r="S124" s="88"/>
      <c r="T124" s="103">
        <v>2</v>
      </c>
      <c r="U124" s="103" t="s">
        <v>1787</v>
      </c>
      <c r="V124" s="83"/>
      <c r="W124" s="84"/>
      <c r="X124" s="84"/>
      <c r="Y124" s="84"/>
      <c r="Z124" s="84"/>
      <c r="AA124" s="84"/>
      <c r="AB124" s="84"/>
      <c r="AC124" s="84"/>
      <c r="AD124" s="84"/>
      <c r="AE124" s="84"/>
      <c r="AF124" s="84"/>
      <c r="AG124" s="114" t="s">
        <v>1813</v>
      </c>
      <c r="AH124" s="84"/>
    </row>
    <row r="125" spans="1:34" s="87" customFormat="1" ht="109.2" customHeight="1" x14ac:dyDescent="0.25">
      <c r="A125" s="83">
        <v>161</v>
      </c>
      <c r="B125" s="118" t="str">
        <f t="shared" si="6"/>
        <v>167</v>
      </c>
      <c r="C125" s="84" t="s">
        <v>862</v>
      </c>
      <c r="D125" s="88" t="s">
        <v>301</v>
      </c>
      <c r="E125" s="88" t="s">
        <v>1459</v>
      </c>
      <c r="F125" s="97" t="str">
        <f t="shared" si="7"/>
        <v xml:space="preserve">Trần Xuân Hoàng </v>
      </c>
      <c r="G125" s="100" t="str">
        <f t="shared" si="8"/>
        <v>22146311</v>
      </c>
      <c r="H125" s="100" t="str">
        <f>VLOOKUP(C125,'[1]DM Đề tài SV ký HĐ (thay đổi)'!$B$1:$Q$475,15,0)</f>
        <v>22146311@student.hcmute.edu.vn</v>
      </c>
      <c r="I125" s="107" t="str">
        <f>VLOOKUP(C125,'[1]DM Đề tài SV ký HĐ (thay đổi)'!$B$1:$Q$475,16,0)</f>
        <v>0359152625</v>
      </c>
      <c r="J125" s="97" t="str">
        <f>VLOOKUP(C125,'[2]DM Đề tài SV ký HĐ (thay đổi)'!$B$1:$I$475,8,0)</f>
        <v>Cơ khí Chế tạo máy</v>
      </c>
      <c r="K125" s="88" t="s">
        <v>1460</v>
      </c>
      <c r="L125" s="84" t="s">
        <v>177</v>
      </c>
      <c r="M125" s="97" t="str">
        <f>VLOOKUP(C125,'[2]DM Đề tài SV ký HĐ (thay đổi)'!$B$1:$O$475,13,0)</f>
        <v>thanh.hlnn@hcmute.edu.vn</v>
      </c>
      <c r="N125" s="97" t="str">
        <f>VLOOKUP(C125,'[2]DM Đề tài SV ký HĐ (thay đổi)'!$B$1:$M$475,12,0)</f>
        <v>Khoa CKM</v>
      </c>
      <c r="O125" s="88" t="s">
        <v>1536</v>
      </c>
      <c r="P125" s="92">
        <v>10000000</v>
      </c>
      <c r="Q125" s="84" t="s">
        <v>1648</v>
      </c>
      <c r="R125" s="84"/>
      <c r="S125" s="84"/>
      <c r="T125" s="101">
        <v>2</v>
      </c>
      <c r="U125" s="103" t="s">
        <v>1787</v>
      </c>
      <c r="V125" s="83"/>
      <c r="W125" s="84"/>
      <c r="X125" s="84"/>
      <c r="Y125" s="84"/>
      <c r="Z125" s="84"/>
      <c r="AA125" s="84"/>
      <c r="AB125" s="84"/>
      <c r="AC125" s="84"/>
      <c r="AD125" s="84"/>
      <c r="AE125" s="84"/>
      <c r="AF125" s="84"/>
      <c r="AG125" s="113" t="s">
        <v>1814</v>
      </c>
      <c r="AH125" s="84"/>
    </row>
    <row r="126" spans="1:34" s="87" customFormat="1" ht="109.2" customHeight="1" x14ac:dyDescent="0.25">
      <c r="A126" s="83">
        <v>163</v>
      </c>
      <c r="B126" s="118" t="str">
        <f t="shared" ref="B126:B162" si="9">RIGHT(C126,3)</f>
        <v>169</v>
      </c>
      <c r="C126" s="84" t="s">
        <v>863</v>
      </c>
      <c r="D126" s="88" t="s">
        <v>302</v>
      </c>
      <c r="E126" s="88" t="s">
        <v>1461</v>
      </c>
      <c r="F126" s="97" t="str">
        <f t="shared" si="7"/>
        <v xml:space="preserve">Đỗ Hoàng Phụng </v>
      </c>
      <c r="G126" s="100" t="str">
        <f t="shared" si="8"/>
        <v>22143143</v>
      </c>
      <c r="H126" s="100" t="str">
        <f>VLOOKUP(C126,'[1]DM Đề tài SV ký HĐ (thay đổi)'!$B$1:$Q$475,15,0)</f>
        <v>22143143@student.hcmute.edu.vn</v>
      </c>
      <c r="I126" s="107" t="str">
        <f>VLOOKUP(C126,'[1]DM Đề tài SV ký HĐ (thay đổi)'!$B$1:$Q$475,16,0)</f>
        <v>0328586685</v>
      </c>
      <c r="J126" s="97" t="str">
        <f>VLOOKUP(C126,'[2]DM Đề tài SV ký HĐ (thay đổi)'!$B$1:$I$475,8,0)</f>
        <v>Cơ khí Chế tạo máy</v>
      </c>
      <c r="K126" s="84" t="s">
        <v>1552</v>
      </c>
      <c r="L126" s="84" t="s">
        <v>181</v>
      </c>
      <c r="M126" s="97" t="str">
        <f>VLOOKUP(C126,'[2]DM Đề tài SV ký HĐ (thay đổi)'!$B$1:$O$475,13,0)</f>
        <v>lamtt@hcmute.edu.vn</v>
      </c>
      <c r="N126" s="97" t="str">
        <f>VLOOKUP(C126,'[2]DM Đề tài SV ký HĐ (thay đổi)'!$B$1:$M$475,12,0)</f>
        <v>Khoa CKM</v>
      </c>
      <c r="O126" s="88" t="s">
        <v>1555</v>
      </c>
      <c r="P126" s="92">
        <v>10000000</v>
      </c>
      <c r="Q126" s="84" t="s">
        <v>1648</v>
      </c>
      <c r="R126" s="84"/>
      <c r="S126" s="84"/>
      <c r="T126" s="103">
        <v>2</v>
      </c>
      <c r="U126" s="103" t="s">
        <v>1787</v>
      </c>
      <c r="V126" s="83"/>
      <c r="W126" s="84"/>
      <c r="X126" s="84"/>
      <c r="Y126" s="84"/>
      <c r="Z126" s="84"/>
      <c r="AA126" s="84"/>
      <c r="AB126" s="84"/>
      <c r="AC126" s="84"/>
      <c r="AD126" s="84"/>
      <c r="AE126" s="84"/>
      <c r="AF126" s="84"/>
      <c r="AG126" s="114" t="s">
        <v>1813</v>
      </c>
      <c r="AH126" s="84"/>
    </row>
    <row r="127" spans="1:34" s="87" customFormat="1" ht="109.2" customHeight="1" x14ac:dyDescent="0.25">
      <c r="A127" s="83">
        <v>164</v>
      </c>
      <c r="B127" s="118" t="str">
        <f t="shared" si="9"/>
        <v>170</v>
      </c>
      <c r="C127" s="84" t="s">
        <v>864</v>
      </c>
      <c r="D127" s="84" t="s">
        <v>245</v>
      </c>
      <c r="E127" s="88" t="s">
        <v>1409</v>
      </c>
      <c r="F127" s="97" t="str">
        <f t="shared" si="7"/>
        <v xml:space="preserve">Nguyễn Đình Nguyên </v>
      </c>
      <c r="G127" s="100" t="str">
        <f t="shared" si="8"/>
        <v>23144126</v>
      </c>
      <c r="H127" s="100" t="str">
        <f>VLOOKUP(C127,'[1]DM Đề tài SV ký HĐ (thay đổi)'!$B$1:$Q$475,15,0)</f>
        <v>23144126@student.hcmute.edu.vn</v>
      </c>
      <c r="I127" s="107" t="str">
        <f>VLOOKUP(C127,'[1]DM Đề tài SV ký HĐ (thay đổi)'!$B$1:$Q$475,16,0)</f>
        <v>0358364112</v>
      </c>
      <c r="J127" s="97" t="str">
        <f>VLOOKUP(C127,'[2]DM Đề tài SV ký HĐ (thay đổi)'!$B$1:$I$475,8,0)</f>
        <v>Cơ khí Chế tạo máy</v>
      </c>
      <c r="K127" s="84" t="s">
        <v>1449</v>
      </c>
      <c r="L127" s="84" t="s">
        <v>294</v>
      </c>
      <c r="M127" s="97" t="str">
        <f>VLOOKUP(C127,'[2]DM Đề tài SV ký HĐ (thay đổi)'!$B$1:$O$475,13,0)</f>
        <v>ntatuyet@hcmute.edu.vn</v>
      </c>
      <c r="N127" s="97" t="str">
        <f>VLOOKUP(C127,'[2]DM Đề tài SV ký HĐ (thay đổi)'!$B$1:$M$475,12,0)</f>
        <v>Khoa CKM</v>
      </c>
      <c r="O127" s="88" t="s">
        <v>1763</v>
      </c>
      <c r="P127" s="92">
        <v>25000000</v>
      </c>
      <c r="Q127" s="88" t="s">
        <v>1650</v>
      </c>
      <c r="R127" s="88"/>
      <c r="S127" s="88"/>
      <c r="T127" s="101">
        <v>2</v>
      </c>
      <c r="U127" s="103" t="s">
        <v>1787</v>
      </c>
      <c r="V127" s="83"/>
      <c r="W127" s="84"/>
      <c r="X127" s="84"/>
      <c r="Y127" s="84"/>
      <c r="Z127" s="84"/>
      <c r="AA127" s="84"/>
      <c r="AB127" s="84"/>
      <c r="AC127" s="84"/>
      <c r="AD127" s="84"/>
      <c r="AE127" s="84"/>
      <c r="AF127" s="84"/>
      <c r="AG127" s="114" t="s">
        <v>1813</v>
      </c>
      <c r="AH127" s="84"/>
    </row>
    <row r="128" spans="1:34" s="87" customFormat="1" ht="109.2" customHeight="1" x14ac:dyDescent="0.25">
      <c r="A128" s="83">
        <v>166</v>
      </c>
      <c r="B128" s="118" t="str">
        <f t="shared" si="9"/>
        <v>172</v>
      </c>
      <c r="C128" s="84" t="s">
        <v>865</v>
      </c>
      <c r="D128" s="88" t="s">
        <v>303</v>
      </c>
      <c r="E128" s="88" t="s">
        <v>1597</v>
      </c>
      <c r="F128" s="97" t="str">
        <f t="shared" si="7"/>
        <v xml:space="preserve">Nguyễn Tấn Đức </v>
      </c>
      <c r="G128" s="100" t="str">
        <f t="shared" si="8"/>
        <v>23144063</v>
      </c>
      <c r="H128" s="100" t="str">
        <f>VLOOKUP(C128,'[1]DM Đề tài SV ký HĐ (thay đổi)'!$B$1:$Q$475,15,0)</f>
        <v>22144017@student.hcmute.edu.vn</v>
      </c>
      <c r="I128" s="107" t="str">
        <f>VLOOKUP(C128,'[1]DM Đề tài SV ký HĐ (thay đổi)'!$B$1:$Q$475,16,0)</f>
        <v>0363960232</v>
      </c>
      <c r="J128" s="97" t="str">
        <f>VLOOKUP(C128,'[2]DM Đề tài SV ký HĐ (thay đổi)'!$B$1:$I$475,8,0)</f>
        <v>Cơ khí Chế tạo máy</v>
      </c>
      <c r="K128" s="88" t="s">
        <v>1598</v>
      </c>
      <c r="L128" s="88" t="s">
        <v>192</v>
      </c>
      <c r="M128" s="97" t="str">
        <f>VLOOKUP(C128,'[2]DM Đề tài SV ký HĐ (thay đổi)'!$B$1:$O$475,13,0)</f>
        <v>uyentmt@hcmute.edu.vn</v>
      </c>
      <c r="N128" s="97" t="str">
        <f>VLOOKUP(C128,'[2]DM Đề tài SV ký HĐ (thay đổi)'!$B$1:$M$475,12,0)</f>
        <v>Khoa CKM</v>
      </c>
      <c r="O128" s="88" t="s">
        <v>1763</v>
      </c>
      <c r="P128" s="92">
        <v>25000000</v>
      </c>
      <c r="Q128" s="88" t="s">
        <v>1650</v>
      </c>
      <c r="R128" s="88"/>
      <c r="S128" s="88"/>
      <c r="T128" s="101">
        <v>2</v>
      </c>
      <c r="U128" s="103" t="s">
        <v>1787</v>
      </c>
      <c r="V128" s="83"/>
      <c r="W128" s="84"/>
      <c r="X128" s="84"/>
      <c r="Y128" s="84"/>
      <c r="Z128" s="84"/>
      <c r="AA128" s="84"/>
      <c r="AB128" s="84"/>
      <c r="AC128" s="84"/>
      <c r="AD128" s="84"/>
      <c r="AE128" s="84"/>
      <c r="AF128" s="84"/>
      <c r="AG128" s="114" t="s">
        <v>1813</v>
      </c>
      <c r="AH128" s="84"/>
    </row>
    <row r="129" spans="1:34" s="87" customFormat="1" ht="109.2" customHeight="1" x14ac:dyDescent="0.25">
      <c r="A129" s="83">
        <v>168</v>
      </c>
      <c r="B129" s="118" t="str">
        <f t="shared" si="9"/>
        <v>174</v>
      </c>
      <c r="C129" s="84" t="s">
        <v>866</v>
      </c>
      <c r="D129" s="88" t="s">
        <v>304</v>
      </c>
      <c r="E129" s="88" t="s">
        <v>1462</v>
      </c>
      <c r="F129" s="97" t="str">
        <f t="shared" si="7"/>
        <v xml:space="preserve">Lê Phúc Khang </v>
      </c>
      <c r="G129" s="100" t="str">
        <f t="shared" si="8"/>
        <v>23144225</v>
      </c>
      <c r="H129" s="100" t="str">
        <f>VLOOKUP(C129,'[1]DM Đề tài SV ký HĐ (thay đổi)'!$B$1:$Q$475,15,0)</f>
        <v>23144225@student.hcmute.edu.vn</v>
      </c>
      <c r="I129" s="107" t="str">
        <f>VLOOKUP(C129,'[1]DM Đề tài SV ký HĐ (thay đổi)'!$B$1:$Q$475,16,0)</f>
        <v>0908984205</v>
      </c>
      <c r="J129" s="97" t="str">
        <f>VLOOKUP(C129,'[2]DM Đề tài SV ký HĐ (thay đổi)'!$B$1:$I$475,8,0)</f>
        <v>Cơ khí Chế tạo máy</v>
      </c>
      <c r="K129" s="88" t="s">
        <v>1682</v>
      </c>
      <c r="L129" s="88" t="s">
        <v>305</v>
      </c>
      <c r="M129" s="97" t="str">
        <f>VLOOKUP(C129,'[2]DM Đề tài SV ký HĐ (thay đổi)'!$B$1:$O$475,13,0)</f>
        <v>anhpq@hcmute.edu.vn</v>
      </c>
      <c r="N129" s="97" t="str">
        <f>VLOOKUP(C129,'[2]DM Đề tài SV ký HĐ (thay đổi)'!$B$1:$M$475,12,0)</f>
        <v>Khoa CKM</v>
      </c>
      <c r="O129" s="88" t="s">
        <v>1763</v>
      </c>
      <c r="P129" s="92">
        <v>25000000</v>
      </c>
      <c r="Q129" s="88" t="s">
        <v>1650</v>
      </c>
      <c r="R129" s="88"/>
      <c r="S129" s="88"/>
      <c r="T129" s="101">
        <v>2</v>
      </c>
      <c r="U129" s="103" t="s">
        <v>1787</v>
      </c>
      <c r="V129" s="83"/>
      <c r="W129" s="84"/>
      <c r="X129" s="84"/>
      <c r="Y129" s="84"/>
      <c r="Z129" s="84"/>
      <c r="AA129" s="84"/>
      <c r="AB129" s="84"/>
      <c r="AC129" s="84"/>
      <c r="AD129" s="84"/>
      <c r="AE129" s="84"/>
      <c r="AF129" s="84"/>
      <c r="AG129" s="114" t="s">
        <v>1813</v>
      </c>
      <c r="AH129" s="84"/>
    </row>
    <row r="130" spans="1:34" s="87" customFormat="1" ht="109.2" customHeight="1" x14ac:dyDescent="0.25">
      <c r="A130" s="83">
        <v>170</v>
      </c>
      <c r="B130" s="83" t="str">
        <f t="shared" si="9"/>
        <v>176</v>
      </c>
      <c r="C130" s="84" t="s">
        <v>867</v>
      </c>
      <c r="D130" s="88" t="s">
        <v>306</v>
      </c>
      <c r="E130" s="88" t="s">
        <v>1626</v>
      </c>
      <c r="F130" s="97" t="str">
        <f t="shared" si="7"/>
        <v xml:space="preserve">Bạch Trần Anh Kiệt </v>
      </c>
      <c r="G130" s="100" t="str">
        <f t="shared" si="8"/>
        <v>22146159</v>
      </c>
      <c r="H130" s="100" t="str">
        <f>VLOOKUP(C130,'[1]DM Đề tài SV ký HĐ (thay đổi)'!$B$1:$Q$475,15,0)</f>
        <v>22146159@student.hcmute.edu.vn</v>
      </c>
      <c r="I130" s="107" t="str">
        <f>VLOOKUP(C130,'[1]DM Đề tài SV ký HĐ (thay đổi)'!$B$1:$Q$475,16,0)</f>
        <v>[0792039967</v>
      </c>
      <c r="J130" s="97" t="str">
        <f>VLOOKUP(C130,'[2]DM Đề tài SV ký HĐ (thay đổi)'!$B$1:$I$475,8,0)</f>
        <v>Cơ khí Chế tạo máy</v>
      </c>
      <c r="K130" s="88" t="s">
        <v>1463</v>
      </c>
      <c r="L130" s="88" t="s">
        <v>237</v>
      </c>
      <c r="M130" s="97" t="str">
        <f>VLOOKUP(C130,'[2]DM Đề tài SV ký HĐ (thay đổi)'!$B$1:$O$475,13,0)</f>
        <v>tuongnl@hcmute.edu.vn</v>
      </c>
      <c r="N130" s="97" t="str">
        <f>VLOOKUP(C130,'[2]DM Đề tài SV ký HĐ (thay đổi)'!$B$1:$M$475,12,0)</f>
        <v>Khoa CKM</v>
      </c>
      <c r="O130" s="88" t="s">
        <v>175</v>
      </c>
      <c r="P130" s="92">
        <v>5000000</v>
      </c>
      <c r="Q130" s="84" t="s">
        <v>1647</v>
      </c>
      <c r="R130" s="84"/>
      <c r="S130" s="84"/>
      <c r="T130" s="105" t="s">
        <v>1827</v>
      </c>
      <c r="U130" s="103"/>
      <c r="V130" s="83"/>
      <c r="W130" s="84"/>
      <c r="X130" s="84"/>
      <c r="Y130" s="84"/>
      <c r="Z130" s="84"/>
      <c r="AA130" s="84"/>
      <c r="AB130" s="84"/>
      <c r="AC130" s="84"/>
      <c r="AD130" s="84"/>
      <c r="AE130" s="84"/>
      <c r="AF130" s="84"/>
      <c r="AG130" s="85"/>
      <c r="AH130" s="96" t="s">
        <v>1818</v>
      </c>
    </row>
    <row r="131" spans="1:34" s="87" customFormat="1" ht="109.2" customHeight="1" x14ac:dyDescent="0.25">
      <c r="A131" s="83">
        <v>173</v>
      </c>
      <c r="B131" s="118" t="str">
        <f t="shared" si="9"/>
        <v>179</v>
      </c>
      <c r="C131" s="84" t="s">
        <v>868</v>
      </c>
      <c r="D131" s="84" t="s">
        <v>308</v>
      </c>
      <c r="E131" s="84" t="s">
        <v>1464</v>
      </c>
      <c r="F131" s="97" t="str">
        <f t="shared" si="7"/>
        <v xml:space="preserve">Phan Văn Hoàng </v>
      </c>
      <c r="G131" s="100" t="str">
        <f t="shared" si="8"/>
        <v>23146244</v>
      </c>
      <c r="H131" s="100" t="str">
        <f>VLOOKUP(C131,'[1]DM Đề tài SV ký HĐ (thay đổi)'!$B$1:$Q$475,15,0)</f>
        <v>23146244@student.hcmute.edu.vn</v>
      </c>
      <c r="I131" s="107" t="str">
        <f>VLOOKUP(C131,'[1]DM Đề tài SV ký HĐ (thay đổi)'!$B$1:$Q$475,16,0)</f>
        <v>0353030331</v>
      </c>
      <c r="J131" s="97" t="str">
        <f>VLOOKUP(C131,'[2]DM Đề tài SV ký HĐ (thay đổi)'!$B$1:$I$475,8,0)</f>
        <v>Cơ khí Chế tạo máy</v>
      </c>
      <c r="K131" s="84"/>
      <c r="L131" s="84" t="s">
        <v>309</v>
      </c>
      <c r="M131" s="97" t="str">
        <f>VLOOKUP(C131,'[2]DM Đề tài SV ký HĐ (thay đổi)'!$B$1:$O$475,13,0)</f>
        <v>thotp@hcmute.edu.vn</v>
      </c>
      <c r="N131" s="97" t="str">
        <f>VLOOKUP(C131,'[2]DM Đề tài SV ký HĐ (thay đổi)'!$B$1:$M$475,12,0)</f>
        <v>Khoa CKM</v>
      </c>
      <c r="O131" s="88" t="s">
        <v>1515</v>
      </c>
      <c r="P131" s="92">
        <v>15000000</v>
      </c>
      <c r="Q131" s="85" t="s">
        <v>1649</v>
      </c>
      <c r="R131" s="85"/>
      <c r="S131" s="85"/>
      <c r="T131" s="101">
        <v>2</v>
      </c>
      <c r="U131" s="103" t="s">
        <v>1787</v>
      </c>
      <c r="V131" s="83"/>
      <c r="W131" s="84"/>
      <c r="X131" s="84"/>
      <c r="Y131" s="84"/>
      <c r="Z131" s="84"/>
      <c r="AA131" s="84"/>
      <c r="AB131" s="84"/>
      <c r="AC131" s="84"/>
      <c r="AD131" s="84"/>
      <c r="AE131" s="84"/>
      <c r="AF131" s="84"/>
      <c r="AG131" s="114" t="s">
        <v>1813</v>
      </c>
      <c r="AH131" s="84"/>
    </row>
    <row r="132" spans="1:34" s="87" customFormat="1" ht="109.2" customHeight="1" x14ac:dyDescent="0.25">
      <c r="A132" s="83">
        <v>174</v>
      </c>
      <c r="B132" s="118" t="str">
        <f t="shared" si="9"/>
        <v>180</v>
      </c>
      <c r="C132" s="84" t="s">
        <v>869</v>
      </c>
      <c r="D132" s="88" t="s">
        <v>240</v>
      </c>
      <c r="E132" s="88" t="s">
        <v>1465</v>
      </c>
      <c r="F132" s="97" t="str">
        <f t="shared" si="7"/>
        <v xml:space="preserve">Phạm Toàn Cơ  </v>
      </c>
      <c r="G132" s="100" t="str">
        <f t="shared" si="8"/>
        <v>22143084</v>
      </c>
      <c r="H132" s="100" t="str">
        <f>VLOOKUP(C132,'[1]DM Đề tài SV ký HĐ (thay đổi)'!$B$1:$Q$475,15,0)</f>
        <v>22143084@student.hcmute.edu.vn</v>
      </c>
      <c r="I132" s="107" t="str">
        <f>VLOOKUP(C132,'[1]DM Đề tài SV ký HĐ (thay đổi)'!$B$1:$Q$475,16,0)</f>
        <v>0706163886</v>
      </c>
      <c r="J132" s="97" t="str">
        <f>VLOOKUP(C132,'[2]DM Đề tài SV ký HĐ (thay đổi)'!$B$1:$I$475,8,0)</f>
        <v>Cơ khí Chế tạo máy</v>
      </c>
      <c r="K132" s="88" t="s">
        <v>1466</v>
      </c>
      <c r="L132" s="88" t="s">
        <v>241</v>
      </c>
      <c r="M132" s="97" t="str">
        <f>VLOOKUP(C132,'[2]DM Đề tài SV ký HĐ (thay đổi)'!$B$1:$O$475,13,0)</f>
        <v>tienvx@hcmute.edu.vn</v>
      </c>
      <c r="N132" s="97" t="str">
        <f>VLOOKUP(C132,'[2]DM Đề tài SV ký HĐ (thay đổi)'!$B$1:$M$475,12,0)</f>
        <v>Khoa CKM</v>
      </c>
      <c r="O132" s="88" t="s">
        <v>1513</v>
      </c>
      <c r="P132" s="92">
        <v>10000000</v>
      </c>
      <c r="Q132" s="84" t="s">
        <v>1648</v>
      </c>
      <c r="R132" s="84"/>
      <c r="S132" s="84"/>
      <c r="T132" s="103">
        <v>2</v>
      </c>
      <c r="U132" s="103" t="s">
        <v>1787</v>
      </c>
      <c r="V132" s="83"/>
      <c r="W132" s="84"/>
      <c r="X132" s="84" t="s">
        <v>1801</v>
      </c>
      <c r="Y132" s="84"/>
      <c r="Z132" s="84"/>
      <c r="AA132" s="84"/>
      <c r="AB132" s="84"/>
      <c r="AC132" s="84"/>
      <c r="AD132" s="84"/>
      <c r="AE132" s="84"/>
      <c r="AF132" s="84"/>
      <c r="AG132" s="113" t="s">
        <v>1814</v>
      </c>
      <c r="AH132" s="84"/>
    </row>
    <row r="133" spans="1:34" s="87" customFormat="1" ht="109.2" customHeight="1" x14ac:dyDescent="0.25">
      <c r="A133" s="83">
        <v>175</v>
      </c>
      <c r="B133" s="118" t="str">
        <f t="shared" si="9"/>
        <v>181</v>
      </c>
      <c r="C133" s="84" t="s">
        <v>870</v>
      </c>
      <c r="D133" s="88" t="s">
        <v>310</v>
      </c>
      <c r="E133" s="88" t="s">
        <v>1467</v>
      </c>
      <c r="F133" s="97" t="str">
        <f t="shared" si="7"/>
        <v xml:space="preserve">Lưu Khắc Thảo Trang </v>
      </c>
      <c r="G133" s="100" t="str">
        <f t="shared" si="8"/>
        <v>23134056</v>
      </c>
      <c r="H133" s="100" t="str">
        <f>VLOOKUP(C133,'[1]DM Đề tài SV ký HĐ (thay đổi)'!$B$1:$Q$475,15,0)</f>
        <v>23134056@student.hcmute.edu.vn</v>
      </c>
      <c r="I133" s="107" t="str">
        <f>VLOOKUP(C133,'[1]DM Đề tài SV ký HĐ (thay đổi)'!$B$1:$Q$475,16,0)</f>
        <v>0965062647</v>
      </c>
      <c r="J133" s="97" t="str">
        <f>VLOOKUP(C133,'[2]DM Đề tài SV ký HĐ (thay đổi)'!$B$1:$I$475,8,0)</f>
        <v>Cơ khí Chế tạo máy</v>
      </c>
      <c r="K133" s="88" t="s">
        <v>1468</v>
      </c>
      <c r="L133" s="84" t="s">
        <v>190</v>
      </c>
      <c r="M133" s="97" t="str">
        <f>VLOOKUP(C133,'[2]DM Đề tài SV ký HĐ (thay đổi)'!$B$1:$O$475,13,0)</f>
        <v>thientm@hcmute.edu.vn</v>
      </c>
      <c r="N133" s="97" t="str">
        <f>VLOOKUP(C133,'[2]DM Đề tài SV ký HĐ (thay đổi)'!$B$1:$M$475,12,0)</f>
        <v>Khoa CKM</v>
      </c>
      <c r="O133" s="88" t="s">
        <v>1514</v>
      </c>
      <c r="P133" s="92">
        <v>5000000</v>
      </c>
      <c r="Q133" s="84" t="s">
        <v>1647</v>
      </c>
      <c r="R133" s="84"/>
      <c r="S133" s="84"/>
      <c r="T133" s="101">
        <v>2</v>
      </c>
      <c r="U133" s="103" t="s">
        <v>1787</v>
      </c>
      <c r="V133" s="83"/>
      <c r="W133" s="84"/>
      <c r="X133" s="84"/>
      <c r="Y133" s="84"/>
      <c r="Z133" s="84"/>
      <c r="AA133" s="84"/>
      <c r="AB133" s="84"/>
      <c r="AC133" s="84"/>
      <c r="AD133" s="84"/>
      <c r="AE133" s="84"/>
      <c r="AF133" s="84"/>
      <c r="AG133" s="114" t="s">
        <v>1813</v>
      </c>
      <c r="AH133" s="84"/>
    </row>
    <row r="134" spans="1:34" s="87" customFormat="1" ht="109.2" customHeight="1" x14ac:dyDescent="0.25">
      <c r="A134" s="83">
        <v>177</v>
      </c>
      <c r="B134" s="118" t="str">
        <f t="shared" si="9"/>
        <v>184</v>
      </c>
      <c r="C134" s="84" t="s">
        <v>871</v>
      </c>
      <c r="D134" s="88" t="s">
        <v>311</v>
      </c>
      <c r="E134" s="88" t="s">
        <v>312</v>
      </c>
      <c r="F134" s="97" t="str">
        <f t="shared" si="7"/>
        <v xml:space="preserve">Trần Khánh Khoa	 </v>
      </c>
      <c r="G134" s="100" t="str">
        <f t="shared" si="8"/>
        <v>21144395</v>
      </c>
      <c r="H134" s="100" t="str">
        <f>VLOOKUP(C134,'[1]DM Đề tài SV ký HĐ (thay đổi)'!$B$1:$Q$475,15,0)</f>
        <v>21144395@student.hcmute.edu.vn</v>
      </c>
      <c r="I134" s="107" t="str">
        <f>VLOOKUP(C134,'[1]DM Đề tài SV ký HĐ (thay đổi)'!$B$1:$Q$475,16,0)</f>
        <v>0966831249</v>
      </c>
      <c r="J134" s="97" t="str">
        <f>VLOOKUP(C134,'[2]DM Đề tài SV ký HĐ (thay đổi)'!$B$1:$I$475,8,0)</f>
        <v>Cơ khí Chế tạo máy</v>
      </c>
      <c r="K134" s="88" t="s">
        <v>1469</v>
      </c>
      <c r="L134" s="88" t="s">
        <v>214</v>
      </c>
      <c r="M134" s="97" t="str">
        <f>VLOOKUP(C134,'[2]DM Đề tài SV ký HĐ (thay đổi)'!$B$1:$O$475,13,0)</f>
        <v>hangvk@hcmute.edu.vn</v>
      </c>
      <c r="N134" s="97" t="str">
        <f>VLOOKUP(C134,'[2]DM Đề tài SV ký HĐ (thay đổi)'!$B$1:$M$475,12,0)</f>
        <v>Khoa Giao thông và Năng lượng</v>
      </c>
      <c r="O134" s="88" t="s">
        <v>1763</v>
      </c>
      <c r="P134" s="92">
        <v>25000000</v>
      </c>
      <c r="Q134" s="88" t="s">
        <v>1650</v>
      </c>
      <c r="R134" s="88"/>
      <c r="S134" s="88"/>
      <c r="T134" s="101">
        <v>2</v>
      </c>
      <c r="U134" s="103" t="s">
        <v>1787</v>
      </c>
      <c r="V134" s="83"/>
      <c r="W134" s="84"/>
      <c r="X134" s="84"/>
      <c r="Y134" s="84"/>
      <c r="Z134" s="84"/>
      <c r="AA134" s="84"/>
      <c r="AB134" s="84"/>
      <c r="AC134" s="84"/>
      <c r="AD134" s="84"/>
      <c r="AE134" s="84"/>
      <c r="AF134" s="84"/>
      <c r="AG134" s="114" t="s">
        <v>1813</v>
      </c>
      <c r="AH134" s="84"/>
    </row>
    <row r="135" spans="1:34" s="87" customFormat="1" ht="109.2" customHeight="1" x14ac:dyDescent="0.25">
      <c r="A135" s="83">
        <v>178</v>
      </c>
      <c r="B135" s="118" t="str">
        <f t="shared" si="9"/>
        <v>185</v>
      </c>
      <c r="C135" s="84" t="s">
        <v>872</v>
      </c>
      <c r="D135" s="84" t="s">
        <v>313</v>
      </c>
      <c r="E135" s="88" t="s">
        <v>1470</v>
      </c>
      <c r="F135" s="97" t="str">
        <f t="shared" si="7"/>
        <v xml:space="preserve">Nguyễn Đăng Thưởng </v>
      </c>
      <c r="G135" s="100" t="str">
        <f t="shared" si="8"/>
        <v>23144321</v>
      </c>
      <c r="H135" s="100" t="str">
        <f>VLOOKUP(C135,'[1]DM Đề tài SV ký HĐ (thay đổi)'!$B$1:$Q$475,15,0)</f>
        <v xml:space="preserve"> 23144321@student.hcmute.edu.vn</v>
      </c>
      <c r="I135" s="107" t="str">
        <f>VLOOKUP(C135,'[1]DM Đề tài SV ký HĐ (thay đổi)'!$B$1:$Q$475,16,0)</f>
        <v>0399763852</v>
      </c>
      <c r="J135" s="97" t="str">
        <f>VLOOKUP(C135,'[2]DM Đề tài SV ký HĐ (thay đổi)'!$B$1:$I$475,8,0)</f>
        <v>Cơ khí Chế tạo máy</v>
      </c>
      <c r="K135" s="84" t="s">
        <v>1692</v>
      </c>
      <c r="L135" s="84" t="s">
        <v>233</v>
      </c>
      <c r="M135" s="97" t="str">
        <f>VLOOKUP(C135,'[2]DM Đề tài SV ký HĐ (thay đổi)'!$B$1:$O$475,13,0)</f>
        <v>thuptd@hcmute.edu.vn</v>
      </c>
      <c r="N135" s="97" t="str">
        <f>VLOOKUP(C135,'[2]DM Đề tài SV ký HĐ (thay đổi)'!$B$1:$M$475,12,0)</f>
        <v>Khoa CKM</v>
      </c>
      <c r="O135" s="88" t="s">
        <v>1763</v>
      </c>
      <c r="P135" s="92">
        <v>25000000</v>
      </c>
      <c r="Q135" s="88" t="s">
        <v>1650</v>
      </c>
      <c r="R135" s="88"/>
      <c r="S135" s="88"/>
      <c r="T135" s="101">
        <v>2</v>
      </c>
      <c r="U135" s="103" t="s">
        <v>1787</v>
      </c>
      <c r="V135" s="83"/>
      <c r="W135" s="84"/>
      <c r="X135" s="84"/>
      <c r="Y135" s="84"/>
      <c r="Z135" s="84"/>
      <c r="AA135" s="84"/>
      <c r="AB135" s="84"/>
      <c r="AC135" s="84"/>
      <c r="AD135" s="84"/>
      <c r="AE135" s="84"/>
      <c r="AF135" s="84"/>
      <c r="AG135" s="114" t="s">
        <v>1813</v>
      </c>
      <c r="AH135" s="84"/>
    </row>
    <row r="136" spans="1:34" s="87" customFormat="1" ht="109.2" customHeight="1" x14ac:dyDescent="0.25">
      <c r="A136" s="83">
        <v>179</v>
      </c>
      <c r="B136" s="118" t="str">
        <f t="shared" si="9"/>
        <v>186</v>
      </c>
      <c r="C136" s="84" t="s">
        <v>873</v>
      </c>
      <c r="D136" s="84" t="s">
        <v>314</v>
      </c>
      <c r="E136" s="88" t="s">
        <v>1599</v>
      </c>
      <c r="F136" s="97" t="str">
        <f t="shared" si="7"/>
        <v xml:space="preserve">Lưu Thiên Bách </v>
      </c>
      <c r="G136" s="100" t="str">
        <f t="shared" si="8"/>
        <v>24144120</v>
      </c>
      <c r="H136" s="100" t="str">
        <f>VLOOKUP(C136,'[1]DM Đề tài SV ký HĐ (thay đổi)'!$B$1:$Q$475,15,0)</f>
        <v>22144008@student.hcmute.edu.vn</v>
      </c>
      <c r="I136" s="107" t="str">
        <f>VLOOKUP(C136,'[1]DM Đề tài SV ký HĐ (thay đổi)'!$B$1:$Q$475,16,0)</f>
        <v>0813055308</v>
      </c>
      <c r="J136" s="97" t="str">
        <f>VLOOKUP(C136,'[2]DM Đề tài SV ký HĐ (thay đổi)'!$B$1:$I$475,8,0)</f>
        <v>Cơ khí Chế tạo máy</v>
      </c>
      <c r="K136" s="84" t="s">
        <v>1600</v>
      </c>
      <c r="L136" s="84" t="s">
        <v>257</v>
      </c>
      <c r="M136" s="97" t="str">
        <f>VLOOKUP(C136,'[2]DM Đề tài SV ký HĐ (thay đổi)'!$B$1:$O$475,13,0)</f>
        <v>minhngv@hcmute.edu.vn</v>
      </c>
      <c r="N136" s="97" t="str">
        <f>VLOOKUP(C136,'[2]DM Đề tài SV ký HĐ (thay đổi)'!$B$1:$M$475,12,0)</f>
        <v>Khoa CKM</v>
      </c>
      <c r="O136" s="88" t="s">
        <v>1763</v>
      </c>
      <c r="P136" s="92">
        <v>25000000</v>
      </c>
      <c r="Q136" s="88" t="s">
        <v>1650</v>
      </c>
      <c r="R136" s="88"/>
      <c r="S136" s="88"/>
      <c r="T136" s="101">
        <v>2</v>
      </c>
      <c r="U136" s="103" t="s">
        <v>1787</v>
      </c>
      <c r="V136" s="83"/>
      <c r="W136" s="84"/>
      <c r="X136" s="84"/>
      <c r="Y136" s="84"/>
      <c r="Z136" s="84"/>
      <c r="AA136" s="84"/>
      <c r="AB136" s="84"/>
      <c r="AC136" s="84"/>
      <c r="AD136" s="84"/>
      <c r="AE136" s="84"/>
      <c r="AF136" s="84"/>
      <c r="AG136" s="114" t="s">
        <v>1813</v>
      </c>
      <c r="AH136" s="84"/>
    </row>
    <row r="137" spans="1:34" s="87" customFormat="1" ht="109.2" customHeight="1" x14ac:dyDescent="0.25">
      <c r="A137" s="83">
        <v>182</v>
      </c>
      <c r="B137" s="118" t="str">
        <f t="shared" si="9"/>
        <v>189</v>
      </c>
      <c r="C137" s="84" t="s">
        <v>874</v>
      </c>
      <c r="D137" s="88" t="s">
        <v>315</v>
      </c>
      <c r="E137" s="88" t="s">
        <v>1471</v>
      </c>
      <c r="F137" s="97" t="str">
        <f t="shared" si="7"/>
        <v xml:space="preserve">Lê Hữu Hùng </v>
      </c>
      <c r="G137" s="100" t="str">
        <f t="shared" si="8"/>
        <v>22146318</v>
      </c>
      <c r="H137" s="100" t="str">
        <f>VLOOKUP(C137,'[1]DM Đề tài SV ký HĐ (thay đổi)'!$B$1:$Q$475,15,0)</f>
        <v>22146318@student.hcmute.edu.vn</v>
      </c>
      <c r="I137" s="107" t="str">
        <f>VLOOKUP(C137,'[1]DM Đề tài SV ký HĐ (thay đổi)'!$B$1:$Q$475,16,0)</f>
        <v>0396908010</v>
      </c>
      <c r="J137" s="97" t="str">
        <f>VLOOKUP(C137,'[2]DM Đề tài SV ký HĐ (thay đổi)'!$B$1:$I$475,8,0)</f>
        <v>Cơ khí Chế tạo máy</v>
      </c>
      <c r="K137" s="88" t="s">
        <v>1472</v>
      </c>
      <c r="L137" s="84" t="s">
        <v>212</v>
      </c>
      <c r="M137" s="97" t="str">
        <f>VLOOKUP(C137,'[2]DM Đề tài SV ký HĐ (thay đổi)'!$B$1:$O$475,13,0)</f>
        <v>nvdoan@hcmute.edu.vn</v>
      </c>
      <c r="N137" s="97" t="str">
        <f>VLOOKUP(C137,'[2]DM Đề tài SV ký HĐ (thay đổi)'!$B$1:$M$475,12,0)</f>
        <v>Khoa CKM</v>
      </c>
      <c r="O137" s="88" t="s">
        <v>1537</v>
      </c>
      <c r="P137" s="92">
        <v>10000000</v>
      </c>
      <c r="Q137" s="84" t="s">
        <v>1648</v>
      </c>
      <c r="R137" s="84"/>
      <c r="S137" s="84"/>
      <c r="T137" s="103">
        <v>2</v>
      </c>
      <c r="U137" s="103" t="s">
        <v>1787</v>
      </c>
      <c r="V137" s="83"/>
      <c r="W137" s="84"/>
      <c r="X137" s="84"/>
      <c r="Y137" s="84"/>
      <c r="Z137" s="84"/>
      <c r="AA137" s="84"/>
      <c r="AB137" s="84"/>
      <c r="AC137" s="84"/>
      <c r="AD137" s="84"/>
      <c r="AE137" s="84"/>
      <c r="AF137" s="84"/>
      <c r="AG137" s="113" t="s">
        <v>1814</v>
      </c>
      <c r="AH137" s="84"/>
    </row>
    <row r="138" spans="1:34" s="87" customFormat="1" ht="109.2" customHeight="1" x14ac:dyDescent="0.25">
      <c r="A138" s="83">
        <v>183</v>
      </c>
      <c r="B138" s="118" t="str">
        <f t="shared" si="9"/>
        <v>190</v>
      </c>
      <c r="C138" s="84" t="s">
        <v>875</v>
      </c>
      <c r="D138" s="88" t="s">
        <v>316</v>
      </c>
      <c r="E138" s="88" t="s">
        <v>1710</v>
      </c>
      <c r="F138" s="97" t="str">
        <f t="shared" si="7"/>
        <v xml:space="preserve">Trịnh Minh Tài </v>
      </c>
      <c r="G138" s="100" t="str">
        <f t="shared" si="8"/>
        <v>22144181</v>
      </c>
      <c r="H138" s="100" t="str">
        <f>VLOOKUP(C138,'[1]DM Đề tài SV ký HĐ (thay đổi)'!$B$1:$Q$475,15,0)</f>
        <v>22144030@student.hcmute.edu.vn</v>
      </c>
      <c r="I138" s="107" t="str">
        <f>VLOOKUP(C138,'[1]DM Đề tài SV ký HĐ (thay đổi)'!$B$1:$Q$475,16,0)</f>
        <v>0705194243</v>
      </c>
      <c r="J138" s="97" t="str">
        <f>VLOOKUP(C138,'[2]DM Đề tài SV ký HĐ (thay đổi)'!$B$1:$I$475,8,0)</f>
        <v>Cơ khí Chế tạo máy</v>
      </c>
      <c r="K138" s="88" t="s">
        <v>1709</v>
      </c>
      <c r="L138" s="88" t="s">
        <v>279</v>
      </c>
      <c r="M138" s="97" t="str">
        <f>VLOOKUP(C138,'[2]DM Đề tài SV ký HĐ (thay đổi)'!$B$1:$O$475,13,0)</f>
        <v>phunt@hcmute.edu.vn</v>
      </c>
      <c r="N138" s="97" t="str">
        <f>VLOOKUP(C138,'[2]DM Đề tài SV ký HĐ (thay đổi)'!$B$1:$M$475,12,0)</f>
        <v>Khoa Giao thông và Năng lượng</v>
      </c>
      <c r="O138" s="88" t="s">
        <v>1763</v>
      </c>
      <c r="P138" s="92">
        <v>25000000</v>
      </c>
      <c r="Q138" s="88" t="s">
        <v>1650</v>
      </c>
      <c r="R138" s="88"/>
      <c r="S138" s="88"/>
      <c r="T138" s="103">
        <v>2</v>
      </c>
      <c r="U138" s="103" t="s">
        <v>1787</v>
      </c>
      <c r="V138" s="83"/>
      <c r="W138" s="84"/>
      <c r="X138" s="84"/>
      <c r="Y138" s="84"/>
      <c r="Z138" s="84"/>
      <c r="AA138" s="84"/>
      <c r="AB138" s="84"/>
      <c r="AC138" s="84"/>
      <c r="AD138" s="84"/>
      <c r="AE138" s="84"/>
      <c r="AF138" s="84"/>
      <c r="AG138" s="113" t="s">
        <v>1814</v>
      </c>
      <c r="AH138" s="84"/>
    </row>
    <row r="139" spans="1:34" s="87" customFormat="1" ht="109.2" customHeight="1" x14ac:dyDescent="0.25">
      <c r="A139" s="83">
        <v>185</v>
      </c>
      <c r="B139" s="118" t="str">
        <f t="shared" si="9"/>
        <v>192</v>
      </c>
      <c r="C139" s="84" t="s">
        <v>876</v>
      </c>
      <c r="D139" s="84" t="s">
        <v>318</v>
      </c>
      <c r="E139" s="88" t="s">
        <v>1627</v>
      </c>
      <c r="F139" s="97" t="str">
        <f t="shared" si="7"/>
        <v xml:space="preserve">Nguyễn Văn Trọng </v>
      </c>
      <c r="G139" s="100" t="str">
        <f t="shared" si="8"/>
        <v>23144328</v>
      </c>
      <c r="H139" s="100" t="str">
        <f>VLOOKUP(C139,'[1]DM Đề tài SV ký HĐ (thay đổi)'!$B$1:$Q$475,15,0)</f>
        <v>23144328@student.hcmute.edu.vn</v>
      </c>
      <c r="I139" s="107" t="str">
        <f>VLOOKUP(C139,'[1]DM Đề tài SV ký HĐ (thay đổi)'!$B$1:$Q$475,16,0)</f>
        <v>0345367794</v>
      </c>
      <c r="J139" s="97" t="str">
        <f>VLOOKUP(C139,'[2]DM Đề tài SV ký HĐ (thay đổi)'!$B$1:$I$475,8,0)</f>
        <v>Cơ khí Chế tạo máy</v>
      </c>
      <c r="K139" s="84" t="s">
        <v>1437</v>
      </c>
      <c r="L139" s="84" t="s">
        <v>216</v>
      </c>
      <c r="M139" s="97" t="str">
        <f>VLOOKUP(C139,'[2]DM Đề tài SV ký HĐ (thay đổi)'!$B$1:$O$475,13,0)</f>
        <v>minhps@hcmute.edu.vn</v>
      </c>
      <c r="N139" s="97" t="str">
        <f>VLOOKUP(C139,'[2]DM Đề tài SV ký HĐ (thay đổi)'!$B$1:$M$475,12,0)</f>
        <v>Khoa CKM</v>
      </c>
      <c r="O139" s="88" t="s">
        <v>1763</v>
      </c>
      <c r="P139" s="92">
        <v>25000000</v>
      </c>
      <c r="Q139" s="88" t="s">
        <v>1650</v>
      </c>
      <c r="R139" s="88"/>
      <c r="S139" s="88"/>
      <c r="T139" s="101">
        <v>2</v>
      </c>
      <c r="U139" s="103" t="s">
        <v>1787</v>
      </c>
      <c r="V139" s="83"/>
      <c r="W139" s="84"/>
      <c r="X139" s="84"/>
      <c r="Y139" s="84"/>
      <c r="Z139" s="84"/>
      <c r="AA139" s="84"/>
      <c r="AB139" s="84"/>
      <c r="AC139" s="84"/>
      <c r="AD139" s="84"/>
      <c r="AE139" s="84"/>
      <c r="AF139" s="84"/>
      <c r="AG139" s="114" t="s">
        <v>1813</v>
      </c>
      <c r="AH139" s="84"/>
    </row>
    <row r="140" spans="1:34" s="87" customFormat="1" ht="109.2" customHeight="1" x14ac:dyDescent="0.25">
      <c r="A140" s="83">
        <v>186</v>
      </c>
      <c r="B140" s="118" t="str">
        <f t="shared" si="9"/>
        <v>193</v>
      </c>
      <c r="C140" s="84" t="s">
        <v>877</v>
      </c>
      <c r="D140" s="88" t="s">
        <v>319</v>
      </c>
      <c r="E140" s="88" t="s">
        <v>1473</v>
      </c>
      <c r="F140" s="97" t="str">
        <f t="shared" si="7"/>
        <v xml:space="preserve">Trần Nhất Long </v>
      </c>
      <c r="G140" s="100" t="str">
        <f t="shared" si="8"/>
        <v>23144116</v>
      </c>
      <c r="H140" s="100" t="str">
        <f>VLOOKUP(C140,'[1]DM Đề tài SV ký HĐ (thay đổi)'!$B$1:$Q$475,15,0)</f>
        <v>23144116@student.hcmute.edu.vn</v>
      </c>
      <c r="I140" s="107" t="str">
        <f>VLOOKUP(C140,'[1]DM Đề tài SV ký HĐ (thay đổi)'!$B$1:$Q$475,16,0)</f>
        <v>0869255411</v>
      </c>
      <c r="J140" s="97" t="str">
        <f>VLOOKUP(C140,'[2]DM Đề tài SV ký HĐ (thay đổi)'!$B$1:$I$475,8,0)</f>
        <v>Cơ khí Chế tạo máy</v>
      </c>
      <c r="K140" s="88" t="s">
        <v>1378</v>
      </c>
      <c r="L140" s="88" t="s">
        <v>269</v>
      </c>
      <c r="M140" s="97" t="str">
        <f>VLOOKUP(C140,'[2]DM Đề tài SV ký HĐ (thay đổi)'!$B$1:$O$475,13,0)</f>
        <v>hieunt@hcmute.edu.vn</v>
      </c>
      <c r="N140" s="97" t="str">
        <f>VLOOKUP(C140,'[2]DM Đề tài SV ký HĐ (thay đổi)'!$B$1:$M$475,12,0)</f>
        <v>Khoa CKM</v>
      </c>
      <c r="O140" s="88" t="s">
        <v>1763</v>
      </c>
      <c r="P140" s="92">
        <v>25000000</v>
      </c>
      <c r="Q140" s="88" t="s">
        <v>1650</v>
      </c>
      <c r="R140" s="88"/>
      <c r="S140" s="88"/>
      <c r="T140" s="101">
        <v>2</v>
      </c>
      <c r="U140" s="103" t="s">
        <v>1787</v>
      </c>
      <c r="V140" s="83"/>
      <c r="W140" s="84"/>
      <c r="X140" s="84"/>
      <c r="Y140" s="84"/>
      <c r="Z140" s="84"/>
      <c r="AA140" s="84"/>
      <c r="AB140" s="84"/>
      <c r="AC140" s="84"/>
      <c r="AD140" s="84"/>
      <c r="AE140" s="84"/>
      <c r="AF140" s="84"/>
      <c r="AG140" s="114" t="s">
        <v>1813</v>
      </c>
      <c r="AH140" s="84"/>
    </row>
    <row r="141" spans="1:34" s="87" customFormat="1" ht="109.2" customHeight="1" x14ac:dyDescent="0.25">
      <c r="A141" s="83">
        <v>187</v>
      </c>
      <c r="B141" s="118" t="str">
        <f t="shared" si="9"/>
        <v>194</v>
      </c>
      <c r="C141" s="84" t="s">
        <v>878</v>
      </c>
      <c r="D141" s="88" t="s">
        <v>320</v>
      </c>
      <c r="E141" s="88" t="s">
        <v>1474</v>
      </c>
      <c r="F141" s="97" t="str">
        <f t="shared" si="7"/>
        <v xml:space="preserve">Phạm Đức Minh </v>
      </c>
      <c r="G141" s="100" t="str">
        <f t="shared" si="8"/>
        <v>23144258</v>
      </c>
      <c r="H141" s="100" t="str">
        <f>VLOOKUP(C141,'[1]DM Đề tài SV ký HĐ (thay đổi)'!$B$1:$Q$475,15,0)</f>
        <v>23144258@student.hcmute.edu.vn</v>
      </c>
      <c r="I141" s="107" t="str">
        <f>VLOOKUP(C141,'[1]DM Đề tài SV ký HĐ (thay đổi)'!$B$1:$Q$475,16,0)</f>
        <v>0367172505</v>
      </c>
      <c r="J141" s="97" t="str">
        <f>VLOOKUP(C141,'[2]DM Đề tài SV ký HĐ (thay đổi)'!$B$1:$I$475,8,0)</f>
        <v>Cơ khí Chế tạo máy</v>
      </c>
      <c r="K141" s="88" t="s">
        <v>1680</v>
      </c>
      <c r="L141" s="88" t="s">
        <v>233</v>
      </c>
      <c r="M141" s="97" t="str">
        <f>VLOOKUP(C141,'[2]DM Đề tài SV ký HĐ (thay đổi)'!$B$1:$O$475,13,0)</f>
        <v>thuptd@hcmute.edu.vn</v>
      </c>
      <c r="N141" s="97" t="str">
        <f>VLOOKUP(C141,'[2]DM Đề tài SV ký HĐ (thay đổi)'!$B$1:$M$475,12,0)</f>
        <v>Khoa CKM</v>
      </c>
      <c r="O141" s="88" t="s">
        <v>1763</v>
      </c>
      <c r="P141" s="92">
        <v>25000000</v>
      </c>
      <c r="Q141" s="88" t="s">
        <v>1650</v>
      </c>
      <c r="R141" s="88"/>
      <c r="S141" s="88"/>
      <c r="T141" s="101">
        <v>2</v>
      </c>
      <c r="U141" s="103" t="s">
        <v>1787</v>
      </c>
      <c r="V141" s="83"/>
      <c r="W141" s="84"/>
      <c r="X141" s="84"/>
      <c r="Y141" s="84"/>
      <c r="Z141" s="84"/>
      <c r="AA141" s="84"/>
      <c r="AB141" s="84"/>
      <c r="AC141" s="84"/>
      <c r="AD141" s="84"/>
      <c r="AE141" s="84"/>
      <c r="AF141" s="84"/>
      <c r="AG141" s="114" t="s">
        <v>1813</v>
      </c>
      <c r="AH141" s="84"/>
    </row>
    <row r="142" spans="1:34" s="87" customFormat="1" ht="109.2" customHeight="1" x14ac:dyDescent="0.25">
      <c r="A142" s="83">
        <v>188</v>
      </c>
      <c r="B142" s="118" t="str">
        <f t="shared" si="9"/>
        <v>196</v>
      </c>
      <c r="C142" s="84" t="s">
        <v>879</v>
      </c>
      <c r="D142" s="88" t="s">
        <v>321</v>
      </c>
      <c r="E142" s="88" t="s">
        <v>1628</v>
      </c>
      <c r="F142" s="97" t="str">
        <f t="shared" si="7"/>
        <v xml:space="preserve">Trần Đăng Nghiêm </v>
      </c>
      <c r="G142" s="100" t="str">
        <f t="shared" si="8"/>
        <v>22144151</v>
      </c>
      <c r="H142" s="100" t="str">
        <f>VLOOKUP(C142,'[1]DM Đề tài SV ký HĐ (thay đổi)'!$B$1:$Q$475,15,0)</f>
        <v xml:space="preserve">22144151@student.hcmute.edu.vn </v>
      </c>
      <c r="I142" s="107" t="str">
        <f>VLOOKUP(C142,'[1]DM Đề tài SV ký HĐ (thay đổi)'!$B$1:$Q$475,16,0)</f>
        <v>0366012315</v>
      </c>
      <c r="J142" s="97" t="str">
        <f>VLOOKUP(C142,'[2]DM Đề tài SV ký HĐ (thay đổi)'!$B$1:$I$475,8,0)</f>
        <v>Cơ khí Chế tạo máy</v>
      </c>
      <c r="K142" s="88" t="s">
        <v>1401</v>
      </c>
      <c r="L142" s="84" t="s">
        <v>317</v>
      </c>
      <c r="M142" s="97" t="str">
        <f>VLOOKUP(C142,'[2]DM Đề tài SV ký HĐ (thay đổi)'!$B$1:$O$475,13,0)</f>
        <v>khoadq@hcmute.edu.vn</v>
      </c>
      <c r="N142" s="97" t="str">
        <f>VLOOKUP(C142,'[2]DM Đề tài SV ký HĐ (thay đổi)'!$B$1:$M$475,12,0)</f>
        <v>Khoa CKM</v>
      </c>
      <c r="O142" s="88" t="s">
        <v>322</v>
      </c>
      <c r="P142" s="92">
        <v>10000000</v>
      </c>
      <c r="Q142" s="84" t="s">
        <v>1648</v>
      </c>
      <c r="R142" s="84"/>
      <c r="S142" s="84"/>
      <c r="T142" s="103">
        <v>2</v>
      </c>
      <c r="U142" s="103" t="s">
        <v>1787</v>
      </c>
      <c r="V142" s="83"/>
      <c r="W142" s="84"/>
      <c r="X142" s="84"/>
      <c r="Y142" s="84"/>
      <c r="Z142" s="84"/>
      <c r="AA142" s="84"/>
      <c r="AB142" s="84"/>
      <c r="AC142" s="84"/>
      <c r="AD142" s="84"/>
      <c r="AE142" s="84"/>
      <c r="AF142" s="84"/>
      <c r="AG142" s="113" t="s">
        <v>1814</v>
      </c>
      <c r="AH142" s="84"/>
    </row>
    <row r="143" spans="1:34" s="87" customFormat="1" ht="109.2" customHeight="1" x14ac:dyDescent="0.25">
      <c r="A143" s="83">
        <v>189</v>
      </c>
      <c r="B143" s="118" t="str">
        <f t="shared" si="9"/>
        <v>197</v>
      </c>
      <c r="C143" s="84" t="s">
        <v>880</v>
      </c>
      <c r="D143" s="88" t="s">
        <v>323</v>
      </c>
      <c r="E143" s="88" t="s">
        <v>324</v>
      </c>
      <c r="F143" s="97" t="str">
        <f t="shared" si="7"/>
        <v xml:space="preserve">Huỳnh Văn Hưỡng </v>
      </c>
      <c r="G143" s="100" t="str">
        <f t="shared" si="8"/>
        <v>23144091</v>
      </c>
      <c r="H143" s="100" t="str">
        <f>VLOOKUP(C143,'[1]DM Đề tài SV ký HĐ (thay đổi)'!$B$1:$Q$475,15,0)</f>
        <v>23144091@student.hcmute.edu.vn</v>
      </c>
      <c r="I143" s="107" t="str">
        <f>VLOOKUP(C143,'[1]DM Đề tài SV ký HĐ (thay đổi)'!$B$1:$Q$475,16,0)</f>
        <v>0388173453</v>
      </c>
      <c r="J143" s="97" t="str">
        <f>VLOOKUP(C143,'[2]DM Đề tài SV ký HĐ (thay đổi)'!$B$1:$I$475,8,0)</f>
        <v>Cơ khí Chế tạo máy</v>
      </c>
      <c r="K143" s="88" t="s">
        <v>1704</v>
      </c>
      <c r="L143" s="88" t="s">
        <v>279</v>
      </c>
      <c r="M143" s="97" t="str">
        <f>VLOOKUP(C143,'[2]DM Đề tài SV ký HĐ (thay đổi)'!$B$1:$O$475,13,0)</f>
        <v>phunt@hcmute.edu.vn</v>
      </c>
      <c r="N143" s="97" t="str">
        <f>VLOOKUP(C143,'[2]DM Đề tài SV ký HĐ (thay đổi)'!$B$1:$M$475,12,0)</f>
        <v>Khoa Giao thông và Năng lượng</v>
      </c>
      <c r="O143" s="88" t="s">
        <v>1763</v>
      </c>
      <c r="P143" s="92">
        <v>25000000</v>
      </c>
      <c r="Q143" s="88" t="s">
        <v>1650</v>
      </c>
      <c r="R143" s="88"/>
      <c r="S143" s="88"/>
      <c r="T143" s="101">
        <v>2</v>
      </c>
      <c r="U143" s="103" t="s">
        <v>1787</v>
      </c>
      <c r="V143" s="83"/>
      <c r="W143" s="84"/>
      <c r="X143" s="84"/>
      <c r="Y143" s="84"/>
      <c r="Z143" s="84"/>
      <c r="AA143" s="84"/>
      <c r="AB143" s="84"/>
      <c r="AC143" s="84"/>
      <c r="AD143" s="84"/>
      <c r="AE143" s="84"/>
      <c r="AF143" s="84"/>
      <c r="AG143" s="114" t="s">
        <v>1813</v>
      </c>
    </row>
    <row r="144" spans="1:34" s="87" customFormat="1" ht="109.2" customHeight="1" x14ac:dyDescent="0.25">
      <c r="A144" s="83">
        <v>190</v>
      </c>
      <c r="B144" s="118" t="str">
        <f t="shared" si="9"/>
        <v>198</v>
      </c>
      <c r="C144" s="84" t="s">
        <v>881</v>
      </c>
      <c r="D144" s="88" t="s">
        <v>325</v>
      </c>
      <c r="E144" s="88" t="s">
        <v>1587</v>
      </c>
      <c r="F144" s="97" t="str">
        <f t="shared" si="7"/>
        <v xml:space="preserve">Huỳnh Nguyễn Thái Anh </v>
      </c>
      <c r="G144" s="100" t="str">
        <f t="shared" si="8"/>
        <v>24143164</v>
      </c>
      <c r="H144" s="110" t="s">
        <v>1799</v>
      </c>
      <c r="I144" s="107" t="s">
        <v>1800</v>
      </c>
      <c r="J144" s="97" t="str">
        <f>VLOOKUP(C144,'[2]DM Đề tài SV ký HĐ (thay đổi)'!$B$1:$I$475,8,0)</f>
        <v>Cơ khí Chế tạo máy</v>
      </c>
      <c r="K144" s="88" t="s">
        <v>1588</v>
      </c>
      <c r="L144" s="84" t="s">
        <v>285</v>
      </c>
      <c r="M144" s="97" t="str">
        <f>VLOOKUP(C144,'[2]DM Đề tài SV ký HĐ (thay đổi)'!$B$1:$O$475,13,0)</f>
        <v>tamvm@hcmute.edu.vn</v>
      </c>
      <c r="N144" s="97" t="str">
        <f>VLOOKUP(C144,'[2]DM Đề tài SV ký HĐ (thay đổi)'!$B$1:$M$475,12,0)</f>
        <v>Khoa CKM</v>
      </c>
      <c r="O144" s="88" t="s">
        <v>326</v>
      </c>
      <c r="P144" s="92">
        <v>10000000</v>
      </c>
      <c r="Q144" s="84" t="s">
        <v>1648</v>
      </c>
      <c r="R144" s="84"/>
      <c r="S144" s="84"/>
      <c r="T144" s="103">
        <v>2</v>
      </c>
      <c r="U144" s="103" t="s">
        <v>1787</v>
      </c>
      <c r="V144" s="83"/>
      <c r="W144" s="84"/>
      <c r="X144" s="84"/>
      <c r="Y144" s="84"/>
      <c r="Z144" s="84"/>
      <c r="AA144" s="84"/>
      <c r="AB144" s="84"/>
      <c r="AC144" s="84"/>
      <c r="AD144" s="84"/>
      <c r="AE144" s="84"/>
      <c r="AF144" s="84"/>
      <c r="AG144" s="113" t="s">
        <v>1814</v>
      </c>
      <c r="AH144" s="84"/>
    </row>
    <row r="145" spans="1:34" s="87" customFormat="1" ht="109.2" customHeight="1" x14ac:dyDescent="0.25">
      <c r="A145" s="83">
        <v>192</v>
      </c>
      <c r="B145" s="118" t="str">
        <f t="shared" si="9"/>
        <v>200</v>
      </c>
      <c r="C145" s="84" t="s">
        <v>882</v>
      </c>
      <c r="D145" s="88" t="s">
        <v>327</v>
      </c>
      <c r="E145" s="88" t="s">
        <v>1400</v>
      </c>
      <c r="F145" s="97" t="str">
        <f t="shared" si="7"/>
        <v xml:space="preserve">Trần Nguyễn Ngọc Thành </v>
      </c>
      <c r="G145" s="100" t="str">
        <f t="shared" si="8"/>
        <v>22146401</v>
      </c>
      <c r="H145" s="100" t="str">
        <f>VLOOKUP(C145,'[1]DM Đề tài SV ký HĐ (thay đổi)'!$B$1:$Q$475,15,0)</f>
        <v>22146401@student.hcmute.edu.vn</v>
      </c>
      <c r="I145" s="107" t="str">
        <f>VLOOKUP(C145,'[1]DM Đề tài SV ký HĐ (thay đổi)'!$B$1:$Q$475,16,0)</f>
        <v>0859441577</v>
      </c>
      <c r="J145" s="97" t="str">
        <f>VLOOKUP(C145,'[2]DM Đề tài SV ký HĐ (thay đổi)'!$B$1:$I$475,8,0)</f>
        <v>Cơ khí Chế tạo máy</v>
      </c>
      <c r="K145" s="84" t="s">
        <v>1399</v>
      </c>
      <c r="L145" s="84" t="s">
        <v>177</v>
      </c>
      <c r="M145" s="97" t="str">
        <f>VLOOKUP(C145,'[2]DM Đề tài SV ký HĐ (thay đổi)'!$B$1:$O$475,13,0)</f>
        <v>thanh.hlnn@hcmute.edu.vn</v>
      </c>
      <c r="N145" s="97" t="str">
        <f>VLOOKUP(C145,'[2]DM Đề tài SV ký HĐ (thay đổi)'!$B$1:$M$475,12,0)</f>
        <v>Khoa CKM</v>
      </c>
      <c r="O145" s="88" t="s">
        <v>1538</v>
      </c>
      <c r="P145" s="92">
        <v>10000000</v>
      </c>
      <c r="Q145" s="84" t="s">
        <v>1648</v>
      </c>
      <c r="R145" s="84"/>
      <c r="S145" s="84"/>
      <c r="T145" s="101">
        <v>2</v>
      </c>
      <c r="U145" s="103" t="s">
        <v>1787</v>
      </c>
      <c r="V145" s="83"/>
      <c r="W145" s="84"/>
      <c r="X145" s="84"/>
      <c r="Y145" s="84"/>
      <c r="Z145" s="84"/>
      <c r="AA145" s="84"/>
      <c r="AB145" s="84"/>
      <c r="AC145" s="84"/>
      <c r="AD145" s="84"/>
      <c r="AE145" s="84"/>
      <c r="AF145" s="84"/>
      <c r="AG145" s="113" t="s">
        <v>1814</v>
      </c>
      <c r="AH145" s="84"/>
    </row>
    <row r="146" spans="1:34" s="87" customFormat="1" ht="109.2" customHeight="1" x14ac:dyDescent="0.25">
      <c r="A146" s="83">
        <v>194</v>
      </c>
      <c r="B146" s="118" t="str">
        <f t="shared" si="9"/>
        <v>204</v>
      </c>
      <c r="C146" s="84" t="s">
        <v>883</v>
      </c>
      <c r="D146" s="84" t="s">
        <v>328</v>
      </c>
      <c r="E146" s="84" t="s">
        <v>329</v>
      </c>
      <c r="F146" s="97" t="str">
        <f t="shared" ref="F146:F180" si="10">LEFT(E146,LEN(E146)-LEN(G146))</f>
        <v xml:space="preserve">Đỗ Đại Quý </v>
      </c>
      <c r="G146" s="100" t="str">
        <f t="shared" ref="G146:G180" si="11">RIGHT(E146,8)</f>
        <v>22144176</v>
      </c>
      <c r="H146" s="100" t="str">
        <f>VLOOKUP(C146,'[1]DM Đề tài SV ký HĐ (thay đổi)'!$B$1:$Q$475,15,0)</f>
        <v>22144176@student.hcmute.edu.vn</v>
      </c>
      <c r="I146" s="107" t="str">
        <f>VLOOKUP(C146,'[1]DM Đề tài SV ký HĐ (thay đổi)'!$B$1:$Q$475,16,0)</f>
        <v>0366322654</v>
      </c>
      <c r="J146" s="97" t="str">
        <f>VLOOKUP(C146,'[2]DM Đề tài SV ký HĐ (thay đổi)'!$B$1:$I$475,8,0)</f>
        <v>Cơ khí Chế tạo máy</v>
      </c>
      <c r="K146" s="84" t="s">
        <v>1398</v>
      </c>
      <c r="L146" s="84" t="s">
        <v>737</v>
      </c>
      <c r="M146" s="97" t="str">
        <f>VLOOKUP(C146,'[2]DM Đề tài SV ký HĐ (thay đổi)'!$B$1:$O$475,13,0)</f>
        <v>thientc@hcmute.edu.vn</v>
      </c>
      <c r="N146" s="97" t="str">
        <f>VLOOKUP(C146,'[2]DM Đề tài SV ký HĐ (thay đổi)'!$B$1:$M$475,12,0)</f>
        <v>Khoa CKM</v>
      </c>
      <c r="O146" s="88" t="s">
        <v>330</v>
      </c>
      <c r="P146" s="92">
        <v>10000000</v>
      </c>
      <c r="Q146" s="84" t="s">
        <v>1648</v>
      </c>
      <c r="R146" s="84"/>
      <c r="S146" s="84"/>
      <c r="T146" s="101">
        <v>2</v>
      </c>
      <c r="U146" s="103" t="s">
        <v>1787</v>
      </c>
      <c r="V146" s="83"/>
      <c r="W146" s="84"/>
      <c r="X146" s="84"/>
      <c r="Y146" s="84"/>
      <c r="Z146" s="84"/>
      <c r="AA146" s="84"/>
      <c r="AB146" s="84"/>
      <c r="AC146" s="84"/>
      <c r="AD146" s="84"/>
      <c r="AE146" s="84"/>
      <c r="AF146" s="84"/>
      <c r="AG146" s="114" t="s">
        <v>1813</v>
      </c>
      <c r="AH146" s="84"/>
    </row>
    <row r="147" spans="1:34" s="87" customFormat="1" ht="109.2" customHeight="1" x14ac:dyDescent="0.25">
      <c r="A147" s="83">
        <v>195</v>
      </c>
      <c r="B147" s="118" t="str">
        <f t="shared" si="9"/>
        <v>205</v>
      </c>
      <c r="C147" s="84" t="s">
        <v>884</v>
      </c>
      <c r="D147" s="84" t="s">
        <v>331</v>
      </c>
      <c r="E147" s="84" t="s">
        <v>332</v>
      </c>
      <c r="F147" s="97" t="str">
        <f t="shared" si="10"/>
        <v xml:space="preserve">Nguyễn Cảnh Khánh </v>
      </c>
      <c r="G147" s="100" t="str">
        <f t="shared" si="11"/>
        <v>22143115</v>
      </c>
      <c r="H147" s="100" t="str">
        <f>VLOOKUP(C147,'[1]DM Đề tài SV ký HĐ (thay đổi)'!$B$1:$Q$475,15,0)</f>
        <v>22143115@student.hcmute.edu.vn</v>
      </c>
      <c r="I147" s="107" t="str">
        <f>VLOOKUP(C147,'[1]DM Đề tài SV ký HĐ (thay đổi)'!$B$1:$Q$475,16,0)</f>
        <v>0363335400</v>
      </c>
      <c r="J147" s="97" t="str">
        <f>VLOOKUP(C147,'[2]DM Đề tài SV ký HĐ (thay đổi)'!$B$1:$I$475,8,0)</f>
        <v>Cơ khí Chế tạo máy</v>
      </c>
      <c r="K147" s="84" t="s">
        <v>1553</v>
      </c>
      <c r="L147" s="84" t="s">
        <v>227</v>
      </c>
      <c r="M147" s="97" t="str">
        <f>VLOOKUP(C147,'[2]DM Đề tài SV ký HĐ (thay đổi)'!$B$1:$O$475,13,0)</f>
        <v>hongnga@hcmute.edu.vn</v>
      </c>
      <c r="N147" s="97" t="str">
        <f>VLOOKUP(C147,'[2]DM Đề tài SV ký HĐ (thay đổi)'!$B$1:$M$475,12,0)</f>
        <v>Khoa CKM</v>
      </c>
      <c r="O147" s="88" t="s">
        <v>1539</v>
      </c>
      <c r="P147" s="92">
        <v>15000000</v>
      </c>
      <c r="Q147" s="85" t="s">
        <v>1649</v>
      </c>
      <c r="R147" s="85"/>
      <c r="S147" s="85"/>
      <c r="T147" s="103">
        <v>2</v>
      </c>
      <c r="U147" s="103" t="s">
        <v>1787</v>
      </c>
      <c r="V147" s="83"/>
      <c r="W147" s="84"/>
      <c r="X147" s="84"/>
      <c r="Y147" s="84"/>
      <c r="Z147" s="84"/>
      <c r="AA147" s="84"/>
      <c r="AB147" s="84"/>
      <c r="AC147" s="84"/>
      <c r="AD147" s="84"/>
      <c r="AE147" s="84"/>
      <c r="AF147" s="84"/>
      <c r="AG147" s="114" t="s">
        <v>1813</v>
      </c>
      <c r="AH147" s="84"/>
    </row>
    <row r="148" spans="1:34" s="87" customFormat="1" ht="109.2" customHeight="1" x14ac:dyDescent="0.25">
      <c r="A148" s="83">
        <v>196</v>
      </c>
      <c r="B148" s="118" t="str">
        <f t="shared" si="9"/>
        <v>206</v>
      </c>
      <c r="C148" s="84" t="s">
        <v>885</v>
      </c>
      <c r="D148" s="84" t="s">
        <v>1358</v>
      </c>
      <c r="E148" s="84" t="s">
        <v>333</v>
      </c>
      <c r="F148" s="97" t="str">
        <f t="shared" si="10"/>
        <v xml:space="preserve">Trần Trung Hậu </v>
      </c>
      <c r="G148" s="100" t="str">
        <f t="shared" si="11"/>
        <v>23144070</v>
      </c>
      <c r="H148" s="100" t="str">
        <f>VLOOKUP(C148,'[1]DM Đề tài SV ký HĐ (thay đổi)'!$B$1:$Q$475,15,0)</f>
        <v>23144070@student.hcmute.edu.vn</v>
      </c>
      <c r="I148" s="107" t="str">
        <f>VLOOKUP(C148,'[1]DM Đề tài SV ký HĐ (thay đổi)'!$B$1:$Q$475,16,0)</f>
        <v xml:space="preserve">0365365052 </v>
      </c>
      <c r="J148" s="97" t="str">
        <f>VLOOKUP(C148,'[2]DM Đề tài SV ký HĐ (thay đổi)'!$B$1:$I$475,8,0)</f>
        <v>Cơ khí Chế tạo máy</v>
      </c>
      <c r="K148" s="84" t="s">
        <v>1554</v>
      </c>
      <c r="L148" s="84" t="s">
        <v>227</v>
      </c>
      <c r="M148" s="97" t="str">
        <f>VLOOKUP(C148,'[2]DM Đề tài SV ký HĐ (thay đổi)'!$B$1:$O$475,13,0)</f>
        <v>hongnga@hcmute.edu.vn</v>
      </c>
      <c r="N148" s="97" t="str">
        <f>VLOOKUP(C148,'[2]DM Đề tài SV ký HĐ (thay đổi)'!$B$1:$M$475,12,0)</f>
        <v>Khoa CKM</v>
      </c>
      <c r="O148" s="88" t="s">
        <v>334</v>
      </c>
      <c r="P148" s="92">
        <v>15000000</v>
      </c>
      <c r="Q148" s="85" t="s">
        <v>1649</v>
      </c>
      <c r="R148" s="85"/>
      <c r="S148" s="85"/>
      <c r="T148" s="103">
        <v>2</v>
      </c>
      <c r="U148" s="103" t="s">
        <v>1787</v>
      </c>
      <c r="V148" s="83"/>
      <c r="W148" s="84"/>
      <c r="X148" s="84"/>
      <c r="Y148" s="84"/>
      <c r="Z148" s="84"/>
      <c r="AA148" s="84"/>
      <c r="AB148" s="84"/>
      <c r="AC148" s="84"/>
      <c r="AD148" s="84"/>
      <c r="AE148" s="84"/>
      <c r="AF148" s="84"/>
      <c r="AG148" s="113" t="s">
        <v>1814</v>
      </c>
      <c r="AH148" s="84"/>
    </row>
    <row r="149" spans="1:34" s="87" customFormat="1" ht="109.2" customHeight="1" x14ac:dyDescent="0.25">
      <c r="A149" s="83">
        <v>197</v>
      </c>
      <c r="B149" s="118" t="str">
        <f t="shared" si="9"/>
        <v>207</v>
      </c>
      <c r="C149" s="84" t="s">
        <v>886</v>
      </c>
      <c r="D149" s="88" t="s">
        <v>335</v>
      </c>
      <c r="E149" s="88" t="s">
        <v>336</v>
      </c>
      <c r="F149" s="97" t="str">
        <f t="shared" si="10"/>
        <v xml:space="preserve">Trần Thị Thanh Xuân </v>
      </c>
      <c r="G149" s="100" t="str">
        <f t="shared" si="11"/>
        <v>24104070</v>
      </c>
      <c r="H149" s="100" t="str">
        <f>VLOOKUP(C149,'[1]DM Đề tài SV ký HĐ (thay đổi)'!$B$1:$Q$475,15,0)</f>
        <v>24104070@student.hcmute.edu.vn</v>
      </c>
      <c r="I149" s="107" t="str">
        <f>VLOOKUP(C149,'[1]DM Đề tài SV ký HĐ (thay đổi)'!$B$1:$Q$475,16,0)</f>
        <v>0899728717</v>
      </c>
      <c r="J149" s="97" t="str">
        <f>VLOOKUP(C149,'[2]DM Đề tài SV ký HĐ (thay đổi)'!$B$1:$I$475,8,0)</f>
        <v>Cơ khí Chế tạo máy</v>
      </c>
      <c r="K149" s="88" t="s">
        <v>1397</v>
      </c>
      <c r="L149" s="84" t="s">
        <v>235</v>
      </c>
      <c r="M149" s="97" t="str">
        <f>VLOOKUP(C149,'[2]DM Đề tài SV ký HĐ (thay đổi)'!$B$1:$O$475,13,0)</f>
        <v>tailm@hcmute.edu.vn</v>
      </c>
      <c r="N149" s="97" t="str">
        <f>VLOOKUP(C149,'[2]DM Đề tài SV ký HĐ (thay đổi)'!$B$1:$M$475,12,0)</f>
        <v>Khoa CKM</v>
      </c>
      <c r="O149" s="88" t="s">
        <v>1663</v>
      </c>
      <c r="P149" s="92">
        <v>10000000</v>
      </c>
      <c r="Q149" s="84" t="s">
        <v>1648</v>
      </c>
      <c r="R149" s="84"/>
      <c r="S149" s="84"/>
      <c r="T149" s="103">
        <v>2</v>
      </c>
      <c r="U149" s="103" t="s">
        <v>1787</v>
      </c>
      <c r="V149" s="83"/>
      <c r="W149" s="84"/>
      <c r="X149" s="84"/>
      <c r="Y149" s="84"/>
      <c r="Z149" s="84"/>
      <c r="AA149" s="84"/>
      <c r="AB149" s="84"/>
      <c r="AC149" s="84"/>
      <c r="AD149" s="84"/>
      <c r="AE149" s="84"/>
      <c r="AF149" s="84"/>
      <c r="AG149" s="113" t="s">
        <v>1814</v>
      </c>
      <c r="AH149" s="84"/>
    </row>
    <row r="150" spans="1:34" s="87" customFormat="1" ht="109.2" customHeight="1" x14ac:dyDescent="0.25">
      <c r="A150" s="83">
        <v>200</v>
      </c>
      <c r="B150" s="118" t="str">
        <f t="shared" si="9"/>
        <v>210</v>
      </c>
      <c r="C150" s="84" t="s">
        <v>887</v>
      </c>
      <c r="D150" s="84" t="s">
        <v>338</v>
      </c>
      <c r="E150" s="84" t="s">
        <v>1250</v>
      </c>
      <c r="F150" s="97" t="str">
        <f t="shared" si="10"/>
        <v xml:space="preserve">Quách Hải Thọ </v>
      </c>
      <c r="G150" s="100" t="str">
        <f t="shared" si="11"/>
        <v>23142443</v>
      </c>
      <c r="H150" s="100" t="str">
        <f>VLOOKUP(C150,'[1]DM Đề tài SV ký HĐ (thay đổi)'!$B$1:$Q$475,15,0)</f>
        <v>23142443@student.hcmute.edu.vn</v>
      </c>
      <c r="I150" s="107" t="str">
        <f>VLOOKUP(C150,'[1]DM Đề tài SV ký HĐ (thay đổi)'!$B$1:$Q$475,16,0)</f>
        <v>0359875090</v>
      </c>
      <c r="J150" s="97" t="str">
        <f>VLOOKUP(C150,'[2]DM Đề tài SV ký HĐ (thay đổi)'!$B$1:$I$475,8,0)</f>
        <v>Chính trị và Luật</v>
      </c>
      <c r="K150" s="84" t="s">
        <v>1251</v>
      </c>
      <c r="L150" s="84" t="s">
        <v>339</v>
      </c>
      <c r="M150" s="97" t="str">
        <f>VLOOKUP(C150,'[2]DM Đề tài SV ký HĐ (thay đổi)'!$B$1:$O$475,13,0)</f>
        <v>vittt@hcmute.edu.vn</v>
      </c>
      <c r="N150" s="97" t="str">
        <f>VLOOKUP(C150,'[2]DM Đề tài SV ký HĐ (thay đổi)'!$B$1:$M$475,12,0)</f>
        <v>Khoa Chính trị và Luật</v>
      </c>
      <c r="O150" s="84" t="s">
        <v>340</v>
      </c>
      <c r="P150" s="90">
        <v>15000000</v>
      </c>
      <c r="Q150" s="85" t="s">
        <v>1649</v>
      </c>
      <c r="R150" s="85"/>
      <c r="S150" s="85"/>
      <c r="T150" s="103">
        <v>2</v>
      </c>
      <c r="U150" s="103" t="s">
        <v>1787</v>
      </c>
      <c r="V150" s="83"/>
      <c r="W150" s="84"/>
      <c r="X150" s="84"/>
      <c r="Y150" s="84"/>
      <c r="Z150" s="84"/>
      <c r="AA150" s="84"/>
      <c r="AB150" s="84"/>
      <c r="AC150" s="84"/>
      <c r="AD150" s="84"/>
      <c r="AE150" s="84"/>
      <c r="AF150" s="84"/>
      <c r="AG150" s="114" t="s">
        <v>1813</v>
      </c>
      <c r="AH150" s="84"/>
    </row>
    <row r="151" spans="1:34" s="87" customFormat="1" ht="109.2" customHeight="1" x14ac:dyDescent="0.25">
      <c r="A151" s="83">
        <v>202</v>
      </c>
      <c r="B151" s="118" t="str">
        <f t="shared" si="9"/>
        <v>212</v>
      </c>
      <c r="C151" s="84" t="s">
        <v>888</v>
      </c>
      <c r="D151" s="84" t="s">
        <v>341</v>
      </c>
      <c r="E151" s="84" t="s">
        <v>1252</v>
      </c>
      <c r="F151" s="97" t="str">
        <f t="shared" si="10"/>
        <v xml:space="preserve">Võ Thị Bảo Trân </v>
      </c>
      <c r="G151" s="100" t="str">
        <f t="shared" si="11"/>
        <v>24163101</v>
      </c>
      <c r="H151" s="100" t="str">
        <f>VLOOKUP(C151,'[1]DM Đề tài SV ký HĐ (thay đổi)'!$B$1:$Q$475,15,0)</f>
        <v>24163101@student.hcmute.edu.vn</v>
      </c>
      <c r="I151" s="107" t="str">
        <f>VLOOKUP(C151,'[1]DM Đề tài SV ký HĐ (thay đổi)'!$B$1:$Q$475,16,0)</f>
        <v>0829444211</v>
      </c>
      <c r="J151" s="97" t="str">
        <f>VLOOKUP(C151,'[2]DM Đề tài SV ký HĐ (thay đổi)'!$B$1:$I$475,8,0)</f>
        <v>Chính trị và Luật</v>
      </c>
      <c r="K151" s="84" t="s">
        <v>1253</v>
      </c>
      <c r="L151" s="84" t="s">
        <v>337</v>
      </c>
      <c r="M151" s="97" t="str">
        <f>VLOOKUP(C151,'[2]DM Đề tài SV ký HĐ (thay đổi)'!$B$1:$O$475,13,0)</f>
        <v>chinhdt@hcmute.edu.vn</v>
      </c>
      <c r="N151" s="97" t="str">
        <f>VLOOKUP(C151,'[2]DM Đề tài SV ký HĐ (thay đổi)'!$B$1:$M$475,12,0)</f>
        <v>Khoa Chính trị và Luật</v>
      </c>
      <c r="O151" s="84" t="s">
        <v>1726</v>
      </c>
      <c r="P151" s="90">
        <v>10000000</v>
      </c>
      <c r="Q151" s="84" t="s">
        <v>1648</v>
      </c>
      <c r="R151" s="84"/>
      <c r="S151" s="84"/>
      <c r="T151" s="103">
        <v>2</v>
      </c>
      <c r="U151" s="103" t="s">
        <v>1787</v>
      </c>
      <c r="V151" s="83"/>
      <c r="W151" s="84"/>
      <c r="X151" s="84"/>
      <c r="Y151" s="84"/>
      <c r="Z151" s="84"/>
      <c r="AA151" s="84"/>
      <c r="AB151" s="84"/>
      <c r="AC151" s="84"/>
      <c r="AD151" s="84"/>
      <c r="AE151" s="84"/>
      <c r="AF151" s="84"/>
      <c r="AG151" s="114" t="s">
        <v>1813</v>
      </c>
      <c r="AH151" s="84"/>
    </row>
    <row r="152" spans="1:34" s="87" customFormat="1" ht="109.2" customHeight="1" x14ac:dyDescent="0.25">
      <c r="A152" s="83">
        <v>203</v>
      </c>
      <c r="B152" s="118" t="str">
        <f t="shared" si="9"/>
        <v>213</v>
      </c>
      <c r="C152" s="84" t="s">
        <v>889</v>
      </c>
      <c r="D152" s="84" t="s">
        <v>1545</v>
      </c>
      <c r="E152" s="84" t="s">
        <v>1254</v>
      </c>
      <c r="F152" s="97" t="str">
        <f t="shared" si="10"/>
        <v xml:space="preserve">Lê Thị Kim Thùy </v>
      </c>
      <c r="G152" s="100" t="str">
        <f t="shared" si="11"/>
        <v>24163092</v>
      </c>
      <c r="H152" s="100" t="str">
        <f>VLOOKUP(C152,'[1]DM Đề tài SV ký HĐ (thay đổi)'!$B$1:$Q$475,15,0)</f>
        <v>24163092@student.hcmute.edu.vn</v>
      </c>
      <c r="I152" s="107" t="str">
        <f>VLOOKUP(C152,'[1]DM Đề tài SV ký HĐ (thay đổi)'!$B$1:$Q$475,16,0)</f>
        <v>0377817341</v>
      </c>
      <c r="J152" s="97" t="str">
        <f>VLOOKUP(C152,'[2]DM Đề tài SV ký HĐ (thay đổi)'!$B$1:$I$475,8,0)</f>
        <v>Chính trị và Luật</v>
      </c>
      <c r="K152" s="84" t="s">
        <v>1255</v>
      </c>
      <c r="L152" s="84" t="s">
        <v>342</v>
      </c>
      <c r="M152" s="97" t="str">
        <f>VLOOKUP(C152,'[2]DM Đề tài SV ký HĐ (thay đổi)'!$B$1:$O$475,13,0)</f>
        <v>ntnthuy@hcmute.edu.vn</v>
      </c>
      <c r="N152" s="97" t="str">
        <f>VLOOKUP(C152,'[2]DM Đề tài SV ký HĐ (thay đổi)'!$B$1:$M$475,12,0)</f>
        <v>Khoa Chính trị và Luật</v>
      </c>
      <c r="O152" s="84" t="s">
        <v>340</v>
      </c>
      <c r="P152" s="90">
        <v>15000000</v>
      </c>
      <c r="Q152" s="85" t="s">
        <v>1649</v>
      </c>
      <c r="R152" s="85"/>
      <c r="S152" s="85"/>
      <c r="T152" s="101">
        <v>2</v>
      </c>
      <c r="U152" s="103" t="s">
        <v>1787</v>
      </c>
      <c r="V152" s="83"/>
      <c r="W152" s="84"/>
      <c r="X152" s="84"/>
      <c r="Y152" s="84"/>
      <c r="Z152" s="84"/>
      <c r="AA152" s="84"/>
      <c r="AB152" s="84"/>
      <c r="AC152" s="84"/>
      <c r="AD152" s="84"/>
      <c r="AE152" s="84"/>
      <c r="AF152" s="84"/>
      <c r="AG152" s="114" t="s">
        <v>1813</v>
      </c>
      <c r="AH152" s="84"/>
    </row>
    <row r="153" spans="1:34" s="87" customFormat="1" ht="109.2" customHeight="1" x14ac:dyDescent="0.25">
      <c r="A153" s="83">
        <v>204</v>
      </c>
      <c r="B153" s="118" t="str">
        <f t="shared" si="9"/>
        <v>214</v>
      </c>
      <c r="C153" s="84" t="s">
        <v>890</v>
      </c>
      <c r="D153" s="84" t="s">
        <v>1547</v>
      </c>
      <c r="E153" s="84" t="s">
        <v>1256</v>
      </c>
      <c r="F153" s="97" t="str">
        <f t="shared" si="10"/>
        <v xml:space="preserve">Trương Phan Đăng Khoa </v>
      </c>
      <c r="G153" s="100" t="str">
        <f t="shared" si="11"/>
        <v>24163037</v>
      </c>
      <c r="H153" s="100" t="str">
        <f>VLOOKUP(C153,'[1]DM Đề tài SV ký HĐ (thay đổi)'!$B$1:$Q$475,15,0)</f>
        <v>24163037@student.hcmute.edu.vn</v>
      </c>
      <c r="I153" s="107" t="str">
        <f>VLOOKUP(C153,'[1]DM Đề tài SV ký HĐ (thay đổi)'!$B$1:$Q$475,16,0)</f>
        <v>0962392809</v>
      </c>
      <c r="J153" s="97" t="str">
        <f>VLOOKUP(C153,'[2]DM Đề tài SV ký HĐ (thay đổi)'!$B$1:$I$475,8,0)</f>
        <v>Chính trị và Luật</v>
      </c>
      <c r="K153" s="84" t="s">
        <v>1257</v>
      </c>
      <c r="L153" s="84" t="s">
        <v>1258</v>
      </c>
      <c r="M153" s="97" t="str">
        <f>VLOOKUP(C153,'[2]DM Đề tài SV ký HĐ (thay đổi)'!$B$1:$O$475,13,0)</f>
        <v>dinhpct@hcmute.
edu.vn</v>
      </c>
      <c r="N153" s="97" t="str">
        <f>VLOOKUP(C153,'[2]DM Đề tài SV ký HĐ (thay đổi)'!$B$1:$M$475,12,0)</f>
        <v>Khoa Chính trị và Luật</v>
      </c>
      <c r="O153" s="88" t="s">
        <v>1516</v>
      </c>
      <c r="P153" s="93">
        <v>15000000</v>
      </c>
      <c r="Q153" s="85" t="s">
        <v>1649</v>
      </c>
      <c r="R153" s="85"/>
      <c r="S153" s="85"/>
      <c r="T153" s="101">
        <v>2</v>
      </c>
      <c r="U153" s="103" t="s">
        <v>1787</v>
      </c>
      <c r="V153" s="83"/>
      <c r="W153" s="84"/>
      <c r="X153" s="84"/>
      <c r="Y153" s="84"/>
      <c r="Z153" s="84"/>
      <c r="AA153" s="84"/>
      <c r="AB153" s="84"/>
      <c r="AC153" s="84"/>
      <c r="AD153" s="84"/>
      <c r="AE153" s="84"/>
      <c r="AF153" s="84"/>
      <c r="AG153" s="114" t="s">
        <v>1813</v>
      </c>
      <c r="AH153" s="84"/>
    </row>
    <row r="154" spans="1:34" s="87" customFormat="1" ht="109.2" customHeight="1" x14ac:dyDescent="0.25">
      <c r="A154" s="83">
        <v>209</v>
      </c>
      <c r="B154" s="118" t="str">
        <f t="shared" si="9"/>
        <v>219</v>
      </c>
      <c r="C154" s="84" t="s">
        <v>891</v>
      </c>
      <c r="D154" s="84" t="s">
        <v>345</v>
      </c>
      <c r="E154" s="84" t="s">
        <v>346</v>
      </c>
      <c r="F154" s="97" t="str">
        <f t="shared" si="10"/>
        <v xml:space="preserve">Châu Ngọc Tính </v>
      </c>
      <c r="G154" s="100" t="str">
        <f t="shared" si="11"/>
        <v>23151187</v>
      </c>
      <c r="H154" s="100" t="str">
        <f>VLOOKUP(C154,'[1]DM Đề tài SV ký HĐ (thay đổi)'!$B$1:$Q$475,15,0)</f>
        <v>23151187@student.hcmute.edu.vn</v>
      </c>
      <c r="I154" s="107" t="str">
        <f>VLOOKUP(C154,'[1]DM Đề tài SV ký HĐ (thay đổi)'!$B$1:$Q$475,16,0)</f>
        <v>0382686181</v>
      </c>
      <c r="J154" s="97" t="str">
        <f>VLOOKUP(C154,'[2]DM Đề tài SV ký HĐ (thay đổi)'!$B$1:$I$475,8,0)</f>
        <v>Điện - Điện tử</v>
      </c>
      <c r="K154" s="84" t="s">
        <v>1660</v>
      </c>
      <c r="L154" s="84" t="s">
        <v>347</v>
      </c>
      <c r="M154" s="97" t="str">
        <f>VLOOKUP(C154,'[2]DM Đề tài SV ký HĐ (thay đổi)'!$B$1:$O$475,13,0)</f>
        <v>thoinguyen@hcmute.edu.vn</v>
      </c>
      <c r="N154" s="97" t="str">
        <f>VLOOKUP(C154,'[2]DM Đề tài SV ký HĐ (thay đổi)'!$B$1:$M$475,12,0)</f>
        <v>P.QHQT</v>
      </c>
      <c r="O154" s="88" t="s">
        <v>348</v>
      </c>
      <c r="P154" s="92">
        <v>5000000</v>
      </c>
      <c r="Q154" s="84" t="s">
        <v>1647</v>
      </c>
      <c r="R154" s="84"/>
      <c r="S154" s="84"/>
      <c r="T154" s="103">
        <v>2</v>
      </c>
      <c r="U154" s="103" t="s">
        <v>1787</v>
      </c>
      <c r="V154" s="83"/>
      <c r="W154" s="84"/>
      <c r="X154" s="84"/>
      <c r="Y154" s="84"/>
      <c r="Z154" s="84"/>
      <c r="AA154" s="84"/>
      <c r="AB154" s="84"/>
      <c r="AC154" s="84"/>
      <c r="AD154" s="84"/>
      <c r="AE154" s="84"/>
      <c r="AF154" s="84"/>
      <c r="AG154" s="114" t="s">
        <v>1813</v>
      </c>
      <c r="AH154" s="84"/>
    </row>
    <row r="155" spans="1:34" s="87" customFormat="1" ht="109.2" customHeight="1" x14ac:dyDescent="0.25">
      <c r="A155" s="83">
        <v>212</v>
      </c>
      <c r="B155" s="118" t="str">
        <f t="shared" si="9"/>
        <v>222</v>
      </c>
      <c r="C155" s="84" t="s">
        <v>892</v>
      </c>
      <c r="D155" s="84" t="s">
        <v>350</v>
      </c>
      <c r="E155" s="84" t="s">
        <v>351</v>
      </c>
      <c r="F155" s="97" t="str">
        <f t="shared" si="10"/>
        <v xml:space="preserve">Đào Nhất Huy </v>
      </c>
      <c r="G155" s="100" t="str">
        <f t="shared" si="11"/>
        <v>23151247</v>
      </c>
      <c r="H155" s="100" t="str">
        <f>VLOOKUP(C155,'[1]DM Đề tài SV ký HĐ (thay đổi)'!$B$1:$Q$475,15,0)</f>
        <v>23151247@student.hcmute.edu.vn</v>
      </c>
      <c r="I155" s="107" t="str">
        <f>VLOOKUP(C155,'[1]DM Đề tài SV ký HĐ (thay đổi)'!$B$1:$Q$475,16,0)</f>
        <v>0981778279</v>
      </c>
      <c r="J155" s="97" t="str">
        <f>VLOOKUP(C155,'[2]DM Đề tài SV ký HĐ (thay đổi)'!$B$1:$I$475,8,0)</f>
        <v>Điện - Điện tử</v>
      </c>
      <c r="K155" s="84" t="s">
        <v>352</v>
      </c>
      <c r="L155" s="84" t="s">
        <v>353</v>
      </c>
      <c r="M155" s="97" t="str">
        <f>VLOOKUP(C155,'[2]DM Đề tài SV ký HĐ (thay đổi)'!$B$1:$O$475,13,0)</f>
        <v>dotv@hcmute.edu.vn</v>
      </c>
      <c r="N155" s="97" t="str">
        <f>VLOOKUP(C155,'[2]DM Đề tài SV ký HĐ (thay đổi)'!$B$1:$M$475,12,0)</f>
        <v>Khoa Điện - Điện tử</v>
      </c>
      <c r="O155" s="88" t="s">
        <v>354</v>
      </c>
      <c r="P155" s="92">
        <v>10000000</v>
      </c>
      <c r="Q155" s="84" t="s">
        <v>1648</v>
      </c>
      <c r="R155" s="84"/>
      <c r="S155" s="84"/>
      <c r="T155" s="101">
        <v>2</v>
      </c>
      <c r="U155" s="103" t="s">
        <v>1787</v>
      </c>
      <c r="V155" s="83"/>
      <c r="W155" s="84"/>
      <c r="X155" s="84"/>
      <c r="Y155" s="84"/>
      <c r="Z155" s="84"/>
      <c r="AA155" s="84"/>
      <c r="AB155" s="84"/>
      <c r="AC155" s="84"/>
      <c r="AD155" s="84"/>
      <c r="AE155" s="84"/>
      <c r="AF155" s="84"/>
      <c r="AG155" s="113" t="s">
        <v>1814</v>
      </c>
      <c r="AH155" s="84"/>
    </row>
    <row r="156" spans="1:34" s="87" customFormat="1" ht="109.2" customHeight="1" x14ac:dyDescent="0.25">
      <c r="A156" s="83">
        <v>213</v>
      </c>
      <c r="B156" s="83" t="str">
        <f t="shared" si="9"/>
        <v>223</v>
      </c>
      <c r="C156" s="84" t="s">
        <v>893</v>
      </c>
      <c r="D156" s="84" t="s">
        <v>355</v>
      </c>
      <c r="E156" s="84" t="s">
        <v>356</v>
      </c>
      <c r="F156" s="97" t="str">
        <f t="shared" si="10"/>
        <v xml:space="preserve">Đào Phước Hưng </v>
      </c>
      <c r="G156" s="100" t="str">
        <f t="shared" si="11"/>
        <v>23151113</v>
      </c>
      <c r="H156" s="100" t="str">
        <f>VLOOKUP(C156,'[1]DM Đề tài SV ký HĐ (thay đổi)'!$B$1:$Q$475,15,0)</f>
        <v>23151113@student.hcmute.edu.vn</v>
      </c>
      <c r="I156" s="107" t="str">
        <f>VLOOKUP(C156,'[1]DM Đề tài SV ký HĐ (thay đổi)'!$B$1:$Q$475,16,0)</f>
        <v>0973282426</v>
      </c>
      <c r="J156" s="97" t="str">
        <f>VLOOKUP(C156,'[2]DM Đề tài SV ký HĐ (thay đổi)'!$B$1:$I$475,8,0)</f>
        <v>Điện - Điện tử</v>
      </c>
      <c r="K156" s="84" t="s">
        <v>357</v>
      </c>
      <c r="L156" s="84" t="s">
        <v>358</v>
      </c>
      <c r="M156" s="97" t="str">
        <f>VLOOKUP(C156,'[2]DM Đề tài SV ký HĐ (thay đổi)'!$B$1:$O$475,13,0)</f>
        <v>thaiph@hcmute.edu.vn</v>
      </c>
      <c r="N156" s="97" t="str">
        <f>VLOOKUP(C156,'[2]DM Đề tài SV ký HĐ (thay đổi)'!$B$1:$M$475,12,0)</f>
        <v>Khoa Điện - Điện tử</v>
      </c>
      <c r="O156" s="88" t="s">
        <v>1765</v>
      </c>
      <c r="P156" s="92">
        <v>10000000</v>
      </c>
      <c r="Q156" s="84" t="s">
        <v>1648</v>
      </c>
      <c r="R156" s="84"/>
      <c r="S156" s="84"/>
      <c r="T156" s="101">
        <v>2</v>
      </c>
      <c r="U156" s="103" t="s">
        <v>1827</v>
      </c>
      <c r="V156" s="83"/>
      <c r="W156" s="84"/>
      <c r="X156" s="84"/>
      <c r="Y156" s="84"/>
      <c r="Z156" s="84"/>
      <c r="AA156" s="84"/>
      <c r="AB156" s="84"/>
      <c r="AC156" s="84"/>
      <c r="AD156" s="84"/>
      <c r="AE156" s="84"/>
      <c r="AF156" s="84"/>
      <c r="AG156" s="85"/>
      <c r="AH156" s="96" t="s">
        <v>1818</v>
      </c>
    </row>
    <row r="157" spans="1:34" s="87" customFormat="1" ht="109.2" customHeight="1" x14ac:dyDescent="0.25">
      <c r="A157" s="83">
        <v>216</v>
      </c>
      <c r="B157" s="115" t="str">
        <f t="shared" si="9"/>
        <v>226</v>
      </c>
      <c r="C157" s="84" t="s">
        <v>894</v>
      </c>
      <c r="D157" s="84" t="s">
        <v>360</v>
      </c>
      <c r="E157" s="84" t="s">
        <v>361</v>
      </c>
      <c r="F157" s="97" t="str">
        <f t="shared" si="10"/>
        <v xml:space="preserve">Đoàn Văn Hây </v>
      </c>
      <c r="G157" s="100" t="str">
        <f t="shared" si="11"/>
        <v>21151103</v>
      </c>
      <c r="H157" s="100" t="str">
        <f>VLOOKUP(C157,'[1]DM Đề tài SV ký HĐ (thay đổi)'!$B$1:$Q$475,15,0)</f>
        <v>21151103@student.hcmute.edu.vn</v>
      </c>
      <c r="I157" s="107" t="str">
        <f>VLOOKUP(C157,'[1]DM Đề tài SV ký HĐ (thay đổi)'!$B$1:$Q$475,16,0)</f>
        <v>0819044311</v>
      </c>
      <c r="J157" s="97" t="str">
        <f>VLOOKUP(C157,'[2]DM Đề tài SV ký HĐ (thay đổi)'!$B$1:$I$475,8,0)</f>
        <v>Điện - Điện tử</v>
      </c>
      <c r="K157" s="84" t="s">
        <v>362</v>
      </c>
      <c r="L157" s="84" t="s">
        <v>363</v>
      </c>
      <c r="M157" s="97" t="str">
        <f>VLOOKUP(C157,'[2]DM Đề tài SV ký HĐ (thay đổi)'!$B$1:$O$475,13,0)</f>
        <v>thientd@hcmute.edu.vn</v>
      </c>
      <c r="N157" s="97" t="str">
        <f>VLOOKUP(C157,'[2]DM Đề tài SV ký HĐ (thay đổi)'!$B$1:$M$475,12,0)</f>
        <v>Khoa Điện - Điện tử</v>
      </c>
      <c r="O157" s="88" t="s">
        <v>1766</v>
      </c>
      <c r="P157" s="92">
        <v>10000000</v>
      </c>
      <c r="Q157" s="84" t="s">
        <v>1648</v>
      </c>
      <c r="R157" s="84"/>
      <c r="S157" s="84"/>
      <c r="T157" s="101">
        <v>2</v>
      </c>
      <c r="U157" s="103" t="s">
        <v>1787</v>
      </c>
      <c r="V157" s="83"/>
      <c r="W157" s="84"/>
      <c r="X157" s="84"/>
      <c r="Y157" s="84"/>
      <c r="Z157" s="84"/>
      <c r="AA157" s="84"/>
      <c r="AB157" s="84"/>
      <c r="AC157" s="84"/>
      <c r="AD157" s="84"/>
      <c r="AE157" s="84"/>
      <c r="AF157" s="84"/>
      <c r="AG157" s="114" t="s">
        <v>1813</v>
      </c>
      <c r="AH157" s="84"/>
    </row>
    <row r="158" spans="1:34" s="87" customFormat="1" ht="109.2" customHeight="1" x14ac:dyDescent="0.25">
      <c r="A158" s="83">
        <v>217</v>
      </c>
      <c r="B158" s="118" t="str">
        <f t="shared" si="9"/>
        <v>227</v>
      </c>
      <c r="C158" s="84" t="s">
        <v>895</v>
      </c>
      <c r="D158" s="84" t="s">
        <v>364</v>
      </c>
      <c r="E158" s="84" t="s">
        <v>365</v>
      </c>
      <c r="F158" s="97" t="str">
        <f t="shared" si="10"/>
        <v xml:space="preserve">Hồ Lê Tuấn </v>
      </c>
      <c r="G158" s="100" t="str">
        <f t="shared" si="11"/>
        <v>22151158</v>
      </c>
      <c r="H158" s="100" t="str">
        <f>VLOOKUP(C158,'[1]DM Đề tài SV ký HĐ (thay đổi)'!$B$1:$Q$475,15,0)</f>
        <v>22151158@student.hcmute.edu.vn</v>
      </c>
      <c r="I158" s="107" t="str">
        <f>VLOOKUP(C158,'[1]DM Đề tài SV ký HĐ (thay đổi)'!$B$1:$Q$475,16,0)</f>
        <v>0329764279</v>
      </c>
      <c r="J158" s="97" t="str">
        <f>VLOOKUP(C158,'[2]DM Đề tài SV ký HĐ (thay đổi)'!$B$1:$I$475,8,0)</f>
        <v>Điện - Điện tử</v>
      </c>
      <c r="K158" s="84" t="s">
        <v>366</v>
      </c>
      <c r="L158" s="84" t="s">
        <v>363</v>
      </c>
      <c r="M158" s="97" t="str">
        <f>VLOOKUP(C158,'[2]DM Đề tài SV ký HĐ (thay đổi)'!$B$1:$O$475,13,0)</f>
        <v>thientd@hcmute.edu.vn</v>
      </c>
      <c r="N158" s="97" t="str">
        <f>VLOOKUP(C158,'[2]DM Đề tài SV ký HĐ (thay đổi)'!$B$1:$M$475,12,0)</f>
        <v>Khoa Điện - Điện tử</v>
      </c>
      <c r="O158" s="88" t="s">
        <v>1767</v>
      </c>
      <c r="P158" s="92">
        <v>10000000</v>
      </c>
      <c r="Q158" s="84" t="s">
        <v>1648</v>
      </c>
      <c r="R158" s="84"/>
      <c r="S158" s="84"/>
      <c r="T158" s="101">
        <v>2</v>
      </c>
      <c r="U158" s="103" t="s">
        <v>1787</v>
      </c>
      <c r="V158" s="83"/>
      <c r="W158" s="84"/>
      <c r="X158" s="84"/>
      <c r="Y158" s="84"/>
      <c r="Z158" s="84"/>
      <c r="AA158" s="84"/>
      <c r="AB158" s="84"/>
      <c r="AC158" s="84"/>
      <c r="AD158" s="84"/>
      <c r="AE158" s="84"/>
      <c r="AF158" s="84"/>
      <c r="AG158" s="114" t="s">
        <v>1813</v>
      </c>
      <c r="AH158" s="84"/>
    </row>
    <row r="159" spans="1:34" s="87" customFormat="1" ht="109.2" customHeight="1" x14ac:dyDescent="0.25">
      <c r="A159" s="83">
        <v>218</v>
      </c>
      <c r="B159" s="118" t="str">
        <f t="shared" si="9"/>
        <v>228</v>
      </c>
      <c r="C159" s="84" t="s">
        <v>896</v>
      </c>
      <c r="D159" s="84" t="s">
        <v>367</v>
      </c>
      <c r="E159" s="84" t="s">
        <v>368</v>
      </c>
      <c r="F159" s="97" t="str">
        <f t="shared" si="10"/>
        <v xml:space="preserve">Hồ Minh Quân </v>
      </c>
      <c r="G159" s="100" t="str">
        <f t="shared" si="11"/>
        <v>23161171</v>
      </c>
      <c r="H159" s="100" t="str">
        <f>VLOOKUP(C159,'[1]DM Đề tài SV ký HĐ (thay đổi)'!$B$1:$Q$475,15,0)</f>
        <v>23161171@student.hcmute.edu.vn</v>
      </c>
      <c r="I159" s="107" t="str">
        <f>VLOOKUP(C159,'[1]DM Đề tài SV ký HĐ (thay đổi)'!$B$1:$Q$475,16,0)</f>
        <v>0355064427</v>
      </c>
      <c r="J159" s="97" t="str">
        <f>VLOOKUP(C159,'[2]DM Đề tài SV ký HĐ (thay đổi)'!$B$1:$I$475,8,0)</f>
        <v>Điện - Điện tử</v>
      </c>
      <c r="K159" s="84" t="s">
        <v>1356</v>
      </c>
      <c r="L159" s="84" t="s">
        <v>369</v>
      </c>
      <c r="M159" s="97" t="str">
        <f>VLOOKUP(C159,'[2]DM Đề tài SV ký HĐ (thay đổi)'!$B$1:$O$475,13,0)</f>
        <v>thanhlm@hcmute.edu.vn</v>
      </c>
      <c r="N159" s="97" t="str">
        <f>VLOOKUP(C159,'[2]DM Đề tài SV ký HĐ (thay đổi)'!$B$1:$M$475,12,0)</f>
        <v>Khoa Điện - Điện tử</v>
      </c>
      <c r="O159" s="88" t="s">
        <v>1768</v>
      </c>
      <c r="P159" s="92">
        <v>10000000</v>
      </c>
      <c r="Q159" s="84" t="s">
        <v>1648</v>
      </c>
      <c r="R159" s="84"/>
      <c r="S159" s="84"/>
      <c r="T159" s="101">
        <v>2</v>
      </c>
      <c r="U159" s="103" t="s">
        <v>1787</v>
      </c>
      <c r="V159" s="83"/>
      <c r="W159" s="84"/>
      <c r="X159" s="84"/>
      <c r="Y159" s="84"/>
      <c r="Z159" s="84"/>
      <c r="AA159" s="84"/>
      <c r="AB159" s="84"/>
      <c r="AC159" s="84"/>
      <c r="AD159" s="84"/>
      <c r="AE159" s="84"/>
      <c r="AF159" s="84"/>
      <c r="AG159" s="114" t="s">
        <v>1813</v>
      </c>
      <c r="AH159" s="84"/>
    </row>
    <row r="160" spans="1:34" s="87" customFormat="1" ht="109.2" customHeight="1" x14ac:dyDescent="0.25">
      <c r="A160" s="83">
        <v>222</v>
      </c>
      <c r="B160" s="83" t="str">
        <f t="shared" si="9"/>
        <v>232</v>
      </c>
      <c r="C160" s="84" t="s">
        <v>897</v>
      </c>
      <c r="D160" s="84" t="s">
        <v>1737</v>
      </c>
      <c r="E160" s="84" t="s">
        <v>370</v>
      </c>
      <c r="F160" s="97" t="str">
        <f t="shared" si="10"/>
        <v xml:space="preserve">Huỳnh Nhật Tân </v>
      </c>
      <c r="G160" s="100" t="str">
        <f t="shared" si="11"/>
        <v>23142203</v>
      </c>
      <c r="H160" s="100" t="str">
        <f>VLOOKUP(C160,'[1]DM Đề tài SV ký HĐ (thay đổi)'!$B$1:$Q$475,15,0)</f>
        <v>23142203@student.hcmute.edu.vn</v>
      </c>
      <c r="I160" s="107" t="str">
        <f>VLOOKUP(C160,'[1]DM Đề tài SV ký HĐ (thay đổi)'!$B$1:$Q$475,16,0)</f>
        <v>0367727103</v>
      </c>
      <c r="J160" s="97" t="str">
        <f>VLOOKUP(C160,'[2]DM Đề tài SV ký HĐ (thay đổi)'!$B$1:$I$475,8,0)</f>
        <v>Điện - Điện tử</v>
      </c>
      <c r="K160" s="84" t="s">
        <v>371</v>
      </c>
      <c r="L160" s="84" t="s">
        <v>372</v>
      </c>
      <c r="M160" s="97" t="str">
        <f>VLOOKUP(C160,'[2]DM Đề tài SV ký HĐ (thay đổi)'!$B$1:$O$475,13,0)</f>
        <v>thanhnp@hcmute.edu.vn</v>
      </c>
      <c r="N160" s="97" t="str">
        <f>VLOOKUP(C160,'[2]DM Đề tài SV ký HĐ (thay đổi)'!$B$1:$M$475,12,0)</f>
        <v>Khoa Điện - Điện tử</v>
      </c>
      <c r="O160" s="88" t="s">
        <v>373</v>
      </c>
      <c r="P160" s="92">
        <v>5000000</v>
      </c>
      <c r="Q160" s="84" t="s">
        <v>1647</v>
      </c>
      <c r="R160" s="84"/>
      <c r="S160" s="84"/>
      <c r="T160" s="105" t="s">
        <v>1827</v>
      </c>
      <c r="U160" s="103"/>
      <c r="V160" s="83"/>
      <c r="W160" s="84"/>
      <c r="X160" s="84"/>
      <c r="Y160" s="84"/>
      <c r="Z160" s="84"/>
      <c r="AA160" s="84"/>
      <c r="AB160" s="84"/>
      <c r="AC160" s="84"/>
      <c r="AD160" s="84"/>
      <c r="AE160" s="84"/>
      <c r="AF160" s="84"/>
      <c r="AG160" s="85"/>
      <c r="AH160" s="96" t="s">
        <v>1818</v>
      </c>
    </row>
    <row r="161" spans="1:34" s="87" customFormat="1" ht="109.2" customHeight="1" x14ac:dyDescent="0.25">
      <c r="A161" s="83">
        <v>223</v>
      </c>
      <c r="B161" s="83" t="str">
        <f t="shared" si="9"/>
        <v>234</v>
      </c>
      <c r="C161" s="84" t="s">
        <v>898</v>
      </c>
      <c r="D161" s="84" t="s">
        <v>375</v>
      </c>
      <c r="E161" s="84" t="s">
        <v>376</v>
      </c>
      <c r="F161" s="97" t="str">
        <f t="shared" si="10"/>
        <v xml:space="preserve">Huỳnh Thế Vinh </v>
      </c>
      <c r="G161" s="100" t="str">
        <f t="shared" si="11"/>
        <v>22161336</v>
      </c>
      <c r="H161" s="100" t="str">
        <f>VLOOKUP(C161,'[1]DM Đề tài SV ký HĐ (thay đổi)'!$B$1:$Q$475,15,0)</f>
        <v>thevinh0811.2004@gmail.com</v>
      </c>
      <c r="I161" s="107" t="str">
        <f>VLOOKUP(C161,'[1]DM Đề tài SV ký HĐ (thay đổi)'!$B$1:$Q$475,16,0)</f>
        <v>0789525924</v>
      </c>
      <c r="J161" s="97" t="str">
        <f>VLOOKUP(C161,'[2]DM Đề tài SV ký HĐ (thay đổi)'!$B$1:$I$475,8,0)</f>
        <v>Điện - Điện tử</v>
      </c>
      <c r="K161" s="84" t="s">
        <v>377</v>
      </c>
      <c r="L161" s="84" t="s">
        <v>378</v>
      </c>
      <c r="M161" s="97" t="str">
        <f>VLOOKUP(C161,'[2]DM Đề tài SV ký HĐ (thay đổi)'!$B$1:$O$475,13,0)</f>
        <v>hiepspkt@hcmute.edu.vn</v>
      </c>
      <c r="N161" s="97" t="str">
        <f>VLOOKUP(C161,'[2]DM Đề tài SV ký HĐ (thay đổi)'!$B$1:$M$475,12,0)</f>
        <v>Khoa Điện - Điện tử</v>
      </c>
      <c r="O161" s="88" t="s">
        <v>379</v>
      </c>
      <c r="P161" s="92">
        <v>10000000</v>
      </c>
      <c r="Q161" s="84" t="s">
        <v>1648</v>
      </c>
      <c r="R161" s="84"/>
      <c r="S161" s="84"/>
      <c r="T161" s="105" t="s">
        <v>1827</v>
      </c>
      <c r="U161" s="103"/>
      <c r="V161" s="83"/>
      <c r="W161" s="84"/>
      <c r="X161" s="84"/>
      <c r="Y161" s="84"/>
      <c r="Z161" s="84"/>
      <c r="AA161" s="84"/>
      <c r="AB161" s="84"/>
      <c r="AC161" s="84"/>
      <c r="AD161" s="84"/>
      <c r="AE161" s="84"/>
      <c r="AF161" s="84"/>
      <c r="AG161" s="85"/>
      <c r="AH161" s="96" t="s">
        <v>1818</v>
      </c>
    </row>
    <row r="162" spans="1:34" s="87" customFormat="1" ht="109.2" customHeight="1" x14ac:dyDescent="0.25">
      <c r="A162" s="83">
        <v>224</v>
      </c>
      <c r="B162" s="118" t="str">
        <f t="shared" si="9"/>
        <v>235</v>
      </c>
      <c r="C162" s="84" t="s">
        <v>899</v>
      </c>
      <c r="D162" s="84" t="s">
        <v>1548</v>
      </c>
      <c r="E162" s="84" t="s">
        <v>1549</v>
      </c>
      <c r="F162" s="97" t="str">
        <f t="shared" si="10"/>
        <v xml:space="preserve">Lại Đức Thuật </v>
      </c>
      <c r="G162" s="100" t="str">
        <f t="shared" si="11"/>
        <v>22151152</v>
      </c>
      <c r="H162" s="100" t="str">
        <f>VLOOKUP(C162,'[1]DM Đề tài SV ký HĐ (thay đổi)'!$B$1:$Q$475,15,0)</f>
        <v>22151152@student.hcmute.edu.vn</v>
      </c>
      <c r="I162" s="107" t="str">
        <f>VLOOKUP(C162,'[1]DM Đề tài SV ký HĐ (thay đổi)'!$B$1:$Q$475,16,0)</f>
        <v>0382630431</v>
      </c>
      <c r="J162" s="97" t="str">
        <f>VLOOKUP(C162,'[2]DM Đề tài SV ký HĐ (thay đổi)'!$B$1:$I$475,8,0)</f>
        <v>Điện - Điện tử</v>
      </c>
      <c r="K162" s="84" t="s">
        <v>380</v>
      </c>
      <c r="L162" s="84" t="s">
        <v>381</v>
      </c>
      <c r="M162" s="97" t="str">
        <f>VLOOKUP(C162,'[2]DM Đề tài SV ký HĐ (thay đổi)'!$B$1:$O$475,13,0)</f>
        <v>thanhps@hcmute.edu.vn</v>
      </c>
      <c r="N162" s="97" t="str">
        <f>VLOOKUP(C162,'[2]DM Đề tài SV ký HĐ (thay đổi)'!$B$1:$M$475,12,0)</f>
        <v>Khoa Điện - Điện tử</v>
      </c>
      <c r="O162" s="88" t="s">
        <v>382</v>
      </c>
      <c r="P162" s="92">
        <v>10000000</v>
      </c>
      <c r="Q162" s="84" t="s">
        <v>1648</v>
      </c>
      <c r="R162" s="84"/>
      <c r="S162" s="84"/>
      <c r="T162" s="101">
        <v>2</v>
      </c>
      <c r="U162" s="103" t="s">
        <v>1787</v>
      </c>
      <c r="V162" s="83"/>
      <c r="W162" s="84"/>
      <c r="X162" s="84"/>
      <c r="Y162" s="84"/>
      <c r="Z162" s="84"/>
      <c r="AA162" s="84"/>
      <c r="AB162" s="84"/>
      <c r="AC162" s="84"/>
      <c r="AD162" s="84"/>
      <c r="AE162" s="84"/>
      <c r="AF162" s="84"/>
      <c r="AG162" s="114" t="s">
        <v>1813</v>
      </c>
      <c r="AH162" s="84"/>
    </row>
    <row r="163" spans="1:34" s="87" customFormat="1" ht="109.2" customHeight="1" x14ac:dyDescent="0.25">
      <c r="A163" s="83">
        <v>225</v>
      </c>
      <c r="B163" s="118" t="str">
        <f t="shared" ref="B163:B200" si="12">RIGHT(C163,3)</f>
        <v>236</v>
      </c>
      <c r="C163" s="84" t="s">
        <v>900</v>
      </c>
      <c r="D163" s="84" t="s">
        <v>383</v>
      </c>
      <c r="E163" s="84" t="s">
        <v>384</v>
      </c>
      <c r="F163" s="97" t="str">
        <f t="shared" si="10"/>
        <v xml:space="preserve">Lê Hoàng Linh </v>
      </c>
      <c r="G163" s="100" t="str">
        <f t="shared" si="11"/>
        <v>20151391</v>
      </c>
      <c r="H163" s="100" t="str">
        <f>VLOOKUP(C163,'[1]DM Đề tài SV ký HĐ (thay đổi)'!$B$1:$Q$475,15,0)</f>
        <v xml:space="preserve">20151391@student.hcmute.edu.vn </v>
      </c>
      <c r="I163" s="107" t="str">
        <f>VLOOKUP(C163,'[1]DM Đề tài SV ký HĐ (thay đổi)'!$B$1:$Q$475,16,0)</f>
        <v>0365965019</v>
      </c>
      <c r="J163" s="97" t="str">
        <f>VLOOKUP(C163,'[2]DM Đề tài SV ký HĐ (thay đổi)'!$B$1:$I$475,8,0)</f>
        <v>Điện - Điện tử</v>
      </c>
      <c r="K163" s="84" t="s">
        <v>1662</v>
      </c>
      <c r="L163" s="84" t="s">
        <v>344</v>
      </c>
      <c r="M163" s="97" t="str">
        <f>VLOOKUP(C163,'[2]DM Đề tài SV ký HĐ (thay đổi)'!$B$1:$O$475,13,0)</f>
        <v>lamlth@hcmute.edu.vn</v>
      </c>
      <c r="N163" s="97" t="str">
        <f>VLOOKUP(C163,'[2]DM Đề tài SV ký HĐ (thay đổi)'!$B$1:$M$475,12,0)</f>
        <v>Khoa Điện - Điện tử</v>
      </c>
      <c r="O163" s="88" t="s">
        <v>1769</v>
      </c>
      <c r="P163" s="92">
        <v>25000000</v>
      </c>
      <c r="Q163" s="88" t="s">
        <v>1650</v>
      </c>
      <c r="R163" s="88"/>
      <c r="S163" s="88"/>
      <c r="T163" s="101">
        <v>2</v>
      </c>
      <c r="U163" s="103" t="s">
        <v>1787</v>
      </c>
      <c r="V163" s="83"/>
      <c r="W163" s="84"/>
      <c r="X163" s="84"/>
      <c r="Y163" s="84"/>
      <c r="Z163" s="84"/>
      <c r="AA163" s="84"/>
      <c r="AB163" s="84"/>
      <c r="AC163" s="84"/>
      <c r="AD163" s="84"/>
      <c r="AE163" s="84"/>
      <c r="AF163" s="84"/>
      <c r="AG163" s="114" t="s">
        <v>1813</v>
      </c>
      <c r="AH163" s="84"/>
    </row>
    <row r="164" spans="1:34" s="87" customFormat="1" ht="109.2" customHeight="1" x14ac:dyDescent="0.25">
      <c r="A164" s="83">
        <v>226</v>
      </c>
      <c r="B164" s="118" t="str">
        <f t="shared" si="12"/>
        <v>237</v>
      </c>
      <c r="C164" s="84" t="s">
        <v>901</v>
      </c>
      <c r="D164" s="84" t="s">
        <v>385</v>
      </c>
      <c r="E164" s="84" t="s">
        <v>386</v>
      </c>
      <c r="F164" s="97" t="str">
        <f t="shared" si="10"/>
        <v xml:space="preserve">Lê Hữu Lộc </v>
      </c>
      <c r="G164" s="100" t="str">
        <f t="shared" si="11"/>
        <v>23161148</v>
      </c>
      <c r="H164" s="100" t="str">
        <f>VLOOKUP(C164,'[1]DM Đề tài SV ký HĐ (thay đổi)'!$B$1:$Q$475,15,0)</f>
        <v>23161148@student.hcmute.edu.vn</v>
      </c>
      <c r="I164" s="107" t="str">
        <f>VLOOKUP(C164,'[1]DM Đề tài SV ký HĐ (thay đổi)'!$B$1:$Q$475,16,0)</f>
        <v>0765353887</v>
      </c>
      <c r="J164" s="97" t="str">
        <f>VLOOKUP(C164,'[2]DM Đề tài SV ký HĐ (thay đổi)'!$B$1:$I$475,8,0)</f>
        <v>Điện - Điện tử</v>
      </c>
      <c r="K164" s="84" t="s">
        <v>387</v>
      </c>
      <c r="L164" s="84" t="s">
        <v>388</v>
      </c>
      <c r="M164" s="97" t="str">
        <f>VLOOKUP(C164,'[2]DM Đề tài SV ký HĐ (thay đổi)'!$B$1:$O$475,13,0)</f>
        <v>lamnn@hcmute.edu.vn</v>
      </c>
      <c r="N164" s="97" t="str">
        <f>VLOOKUP(C164,'[2]DM Đề tài SV ký HĐ (thay đổi)'!$B$1:$M$475,12,0)</f>
        <v>Khoa Điện - Điện tử</v>
      </c>
      <c r="O164" s="88" t="s">
        <v>389</v>
      </c>
      <c r="P164" s="92">
        <v>10000000</v>
      </c>
      <c r="Q164" s="84" t="s">
        <v>1648</v>
      </c>
      <c r="R164" s="84"/>
      <c r="S164" s="84"/>
      <c r="T164" s="103">
        <v>2</v>
      </c>
      <c r="U164" s="103" t="s">
        <v>1787</v>
      </c>
      <c r="V164" s="83"/>
      <c r="W164" s="84"/>
      <c r="X164" s="84"/>
      <c r="Y164" s="84"/>
      <c r="Z164" s="84"/>
      <c r="AA164" s="84"/>
      <c r="AB164" s="84"/>
      <c r="AC164" s="84"/>
      <c r="AD164" s="84"/>
      <c r="AE164" s="84"/>
      <c r="AF164" s="84"/>
      <c r="AG164" s="113" t="s">
        <v>1814</v>
      </c>
      <c r="AH164" s="84"/>
    </row>
    <row r="165" spans="1:34" s="87" customFormat="1" ht="109.2" customHeight="1" x14ac:dyDescent="0.25">
      <c r="A165" s="83">
        <v>227</v>
      </c>
      <c r="B165" s="118" t="str">
        <f t="shared" si="12"/>
        <v>238</v>
      </c>
      <c r="C165" s="84" t="s">
        <v>902</v>
      </c>
      <c r="D165" s="84" t="s">
        <v>390</v>
      </c>
      <c r="E165" s="84" t="s">
        <v>1652</v>
      </c>
      <c r="F165" s="97" t="str">
        <f t="shared" si="10"/>
        <v xml:space="preserve">Nguyễn Duy Linh </v>
      </c>
      <c r="G165" s="100" t="str">
        <f t="shared" si="11"/>
        <v>23161146</v>
      </c>
      <c r="H165" s="100" t="str">
        <f>VLOOKUP(C165,'[1]DM Đề tài SV ký HĐ (thay đổi)'!$B$1:$Q$475,15,0)</f>
        <v>23161146@student.hcmute.edu.vn
23161152@student.hcmute.edu.vn</v>
      </c>
      <c r="I165" s="107" t="str">
        <f>VLOOKUP(C165,'[1]DM Đề tài SV ký HĐ (thay đổi)'!$B$1:$Q$475,16,0)</f>
        <v>0349120157
0901570154</v>
      </c>
      <c r="J165" s="97" t="str">
        <f>VLOOKUP(C165,'[2]DM Đề tài SV ký HĐ (thay đổi)'!$B$1:$I$475,8,0)</f>
        <v>Điện - Điện tử</v>
      </c>
      <c r="K165" s="84" t="s">
        <v>1653</v>
      </c>
      <c r="L165" s="84" t="s">
        <v>358</v>
      </c>
      <c r="M165" s="97" t="str">
        <f>VLOOKUP(C165,'[2]DM Đề tài SV ký HĐ (thay đổi)'!$B$1:$O$475,13,0)</f>
        <v>thaiph@hcmute.edu.vn</v>
      </c>
      <c r="N165" s="97" t="str">
        <f>VLOOKUP(C165,'[2]DM Đề tài SV ký HĐ (thay đổi)'!$B$1:$M$475,12,0)</f>
        <v>Khoa Điện - Điện tử</v>
      </c>
      <c r="O165" s="88" t="s">
        <v>1765</v>
      </c>
      <c r="P165" s="92">
        <v>10000000</v>
      </c>
      <c r="Q165" s="84" t="s">
        <v>1648</v>
      </c>
      <c r="R165" s="84"/>
      <c r="S165" s="84"/>
      <c r="T165" s="101">
        <v>2</v>
      </c>
      <c r="U165" s="103" t="s">
        <v>1787</v>
      </c>
      <c r="V165" s="83"/>
      <c r="W165" s="84"/>
      <c r="X165" s="84"/>
      <c r="Y165" s="84"/>
      <c r="Z165" s="84"/>
      <c r="AA165" s="84"/>
      <c r="AB165" s="84"/>
      <c r="AC165" s="84"/>
      <c r="AD165" s="84"/>
      <c r="AE165" s="84"/>
      <c r="AF165" s="84"/>
      <c r="AG165" s="114" t="s">
        <v>1813</v>
      </c>
      <c r="AH165" s="84"/>
    </row>
    <row r="166" spans="1:34" s="87" customFormat="1" ht="109.2" customHeight="1" x14ac:dyDescent="0.25">
      <c r="A166" s="83">
        <v>228</v>
      </c>
      <c r="B166" s="118" t="str">
        <f t="shared" si="12"/>
        <v>239</v>
      </c>
      <c r="C166" s="84" t="s">
        <v>903</v>
      </c>
      <c r="D166" s="84" t="s">
        <v>391</v>
      </c>
      <c r="E166" s="84" t="s">
        <v>392</v>
      </c>
      <c r="F166" s="97" t="str">
        <f t="shared" si="10"/>
        <v xml:space="preserve">Lê Trung Huy </v>
      </c>
      <c r="G166" s="100" t="str">
        <f t="shared" si="11"/>
        <v>23161125</v>
      </c>
      <c r="H166" s="100" t="str">
        <f>VLOOKUP(C166,'[1]DM Đề tài SV ký HĐ (thay đổi)'!$B$1:$Q$475,15,0)</f>
        <v>trunghuyle27@gmail.com</v>
      </c>
      <c r="I166" s="107" t="str">
        <f>VLOOKUP(C166,'[1]DM Đề tài SV ký HĐ (thay đổi)'!$B$1:$Q$475,16,0)</f>
        <v>0919022005</v>
      </c>
      <c r="J166" s="97" t="str">
        <f>VLOOKUP(C166,'[2]DM Đề tài SV ký HĐ (thay đổi)'!$B$1:$I$475,8,0)</f>
        <v>Điện - Điện tử</v>
      </c>
      <c r="K166" s="84" t="s">
        <v>393</v>
      </c>
      <c r="L166" s="84" t="s">
        <v>394</v>
      </c>
      <c r="M166" s="97" t="str">
        <f>VLOOKUP(C166,'[2]DM Đề tài SV ký HĐ (thay đổi)'!$B$1:$O$475,13,0)</f>
        <v>phucnv@hcmute.edu.vn</v>
      </c>
      <c r="N166" s="97" t="str">
        <f>VLOOKUP(C166,'[2]DM Đề tài SV ký HĐ (thay đổi)'!$B$1:$M$475,12,0)</f>
        <v>Khoa Điện - Điện tử</v>
      </c>
      <c r="O166" s="88" t="s">
        <v>395</v>
      </c>
      <c r="P166" s="92">
        <v>10000000</v>
      </c>
      <c r="Q166" s="84" t="s">
        <v>1648</v>
      </c>
      <c r="R166" s="84"/>
      <c r="S166" s="84"/>
      <c r="T166" s="101">
        <v>2</v>
      </c>
      <c r="U166" s="103" t="s">
        <v>1787</v>
      </c>
      <c r="V166" s="83"/>
      <c r="W166" s="84"/>
      <c r="X166" s="84"/>
      <c r="Y166" s="84"/>
      <c r="Z166" s="84"/>
      <c r="AA166" s="84"/>
      <c r="AB166" s="84"/>
      <c r="AC166" s="84"/>
      <c r="AD166" s="84"/>
      <c r="AE166" s="84"/>
      <c r="AF166" s="84"/>
      <c r="AG166" s="114" t="s">
        <v>1813</v>
      </c>
      <c r="AH166" s="84"/>
    </row>
    <row r="167" spans="1:34" s="87" customFormat="1" ht="109.2" customHeight="1" x14ac:dyDescent="0.25">
      <c r="A167" s="83">
        <v>230</v>
      </c>
      <c r="B167" s="118" t="str">
        <f t="shared" si="12"/>
        <v>241</v>
      </c>
      <c r="C167" s="84" t="s">
        <v>904</v>
      </c>
      <c r="D167" s="84" t="s">
        <v>396</v>
      </c>
      <c r="E167" s="84" t="s">
        <v>397</v>
      </c>
      <c r="F167" s="97" t="str">
        <f t="shared" si="10"/>
        <v xml:space="preserve">Lê Văn Đức </v>
      </c>
      <c r="G167" s="100" t="str">
        <f t="shared" si="11"/>
        <v>23161121</v>
      </c>
      <c r="H167" s="100" t="str">
        <f>VLOOKUP(C167,'[1]DM Đề tài SV ký HĐ (thay đổi)'!$B$1:$Q$475,15,0)</f>
        <v>levanduc3421@gmail.com</v>
      </c>
      <c r="I167" s="107" t="str">
        <f>VLOOKUP(C167,'[1]DM Đề tài SV ký HĐ (thay đổi)'!$B$1:$Q$475,16,0)</f>
        <v>0969520100</v>
      </c>
      <c r="J167" s="97" t="str">
        <f>VLOOKUP(C167,'[2]DM Đề tài SV ký HĐ (thay đổi)'!$B$1:$I$475,8,0)</f>
        <v>Điện - Điện tử</v>
      </c>
      <c r="K167" s="84" t="s">
        <v>398</v>
      </c>
      <c r="L167" s="84" t="s">
        <v>399</v>
      </c>
      <c r="M167" s="97" t="str">
        <f>VLOOKUP(C167,'[2]DM Đề tài SV ký HĐ (thay đổi)'!$B$1:$O$475,13,0)</f>
        <v>thanhlm@hcmute.edu.vn</v>
      </c>
      <c r="N167" s="97" t="str">
        <f>VLOOKUP(C167,'[2]DM Đề tài SV ký HĐ (thay đổi)'!$B$1:$M$475,12,0)</f>
        <v>Khoa Điện - Điện tử</v>
      </c>
      <c r="O167" s="88" t="s">
        <v>1727</v>
      </c>
      <c r="P167" s="92">
        <v>10000000</v>
      </c>
      <c r="Q167" s="84" t="s">
        <v>1648</v>
      </c>
      <c r="R167" s="84"/>
      <c r="S167" s="84"/>
      <c r="T167" s="101">
        <v>2</v>
      </c>
      <c r="U167" s="103" t="s">
        <v>1787</v>
      </c>
      <c r="V167" s="83"/>
      <c r="W167" s="84"/>
      <c r="X167" s="84"/>
      <c r="Y167" s="84"/>
      <c r="Z167" s="84"/>
      <c r="AA167" s="84"/>
      <c r="AB167" s="84"/>
      <c r="AC167" s="84"/>
      <c r="AD167" s="84"/>
      <c r="AE167" s="84"/>
      <c r="AF167" s="84"/>
      <c r="AG167" s="113" t="s">
        <v>1814</v>
      </c>
      <c r="AH167" s="84"/>
    </row>
    <row r="168" spans="1:34" s="87" customFormat="1" ht="109.2" customHeight="1" x14ac:dyDescent="0.25">
      <c r="A168" s="83">
        <v>232</v>
      </c>
      <c r="B168" s="118" t="str">
        <f t="shared" si="12"/>
        <v>243</v>
      </c>
      <c r="C168" s="84" t="s">
        <v>905</v>
      </c>
      <c r="D168" s="84" t="s">
        <v>400</v>
      </c>
      <c r="E168" s="84" t="s">
        <v>401</v>
      </c>
      <c r="F168" s="97" t="str">
        <f t="shared" si="10"/>
        <v xml:space="preserve">Lưu Công Thành </v>
      </c>
      <c r="G168" s="100" t="str">
        <f t="shared" si="11"/>
        <v>23151175</v>
      </c>
      <c r="H168" s="100" t="str">
        <f>VLOOKUP(C168,'[1]DM Đề tài SV ký HĐ (thay đổi)'!$B$1:$Q$475,15,0)</f>
        <v>23151175@student.hcmute.edu.vn</v>
      </c>
      <c r="I168" s="107" t="str">
        <f>VLOOKUP(C168,'[1]DM Đề tài SV ký HĐ (thay đổi)'!$B$1:$Q$475,16,0)</f>
        <v>0827060880</v>
      </c>
      <c r="J168" s="97" t="str">
        <f>VLOOKUP(C168,'[2]DM Đề tài SV ký HĐ (thay đổi)'!$B$1:$I$475,8,0)</f>
        <v>Điện - Điện tử</v>
      </c>
      <c r="K168" s="84" t="s">
        <v>402</v>
      </c>
      <c r="L168" s="84" t="s">
        <v>403</v>
      </c>
      <c r="M168" s="97" t="str">
        <f>VLOOKUP(C168,'[2]DM Đề tài SV ký HĐ (thay đổi)'!$B$1:$O$475,13,0)</f>
        <v>anth@hcmute.edu.vn</v>
      </c>
      <c r="N168" s="97" t="str">
        <f>VLOOKUP(C168,'[2]DM Đề tài SV ký HĐ (thay đổi)'!$B$1:$M$475,12,0)</f>
        <v>Khoa Điện - Điện tử</v>
      </c>
      <c r="O168" s="88" t="s">
        <v>359</v>
      </c>
      <c r="P168" s="92">
        <v>10000000</v>
      </c>
      <c r="Q168" s="84" t="s">
        <v>1648</v>
      </c>
      <c r="R168" s="84"/>
      <c r="S168" s="84"/>
      <c r="T168" s="101">
        <v>2</v>
      </c>
      <c r="U168" s="103" t="s">
        <v>1787</v>
      </c>
      <c r="V168" s="83"/>
      <c r="W168" s="84"/>
      <c r="X168" s="84"/>
      <c r="Y168" s="84"/>
      <c r="Z168" s="84"/>
      <c r="AA168" s="84"/>
      <c r="AB168" s="84"/>
      <c r="AC168" s="84"/>
      <c r="AD168" s="84"/>
      <c r="AE168" s="84"/>
      <c r="AF168" s="84"/>
      <c r="AG168" s="114" t="s">
        <v>1813</v>
      </c>
      <c r="AH168" s="84"/>
    </row>
    <row r="169" spans="1:34" s="87" customFormat="1" ht="109.2" customHeight="1" x14ac:dyDescent="0.25">
      <c r="A169" s="83">
        <v>233</v>
      </c>
      <c r="B169" s="118" t="str">
        <f t="shared" si="12"/>
        <v>244</v>
      </c>
      <c r="C169" s="84" t="s">
        <v>906</v>
      </c>
      <c r="D169" s="84" t="s">
        <v>404</v>
      </c>
      <c r="E169" s="84" t="s">
        <v>405</v>
      </c>
      <c r="F169" s="97" t="str">
        <f t="shared" si="10"/>
        <v xml:space="preserve">Lý Chí Kiện </v>
      </c>
      <c r="G169" s="100" t="str">
        <f t="shared" si="11"/>
        <v>22161145</v>
      </c>
      <c r="H169" s="100" t="str">
        <f>VLOOKUP(C169,'[1]DM Đề tài SV ký HĐ (thay đổi)'!$B$1:$Q$475,15,0)</f>
        <v>22161145@student.hcmute.edu.vn</v>
      </c>
      <c r="I169" s="107" t="str">
        <f>VLOOKUP(C169,'[1]DM Đề tài SV ký HĐ (thay đổi)'!$B$1:$Q$475,16,0)</f>
        <v>0944215709</v>
      </c>
      <c r="J169" s="97" t="str">
        <f>VLOOKUP(C169,'[2]DM Đề tài SV ký HĐ (thay đổi)'!$B$1:$I$475,8,0)</f>
        <v>Điện - Điện tử</v>
      </c>
      <c r="K169" s="84" t="s">
        <v>406</v>
      </c>
      <c r="L169" s="84" t="s">
        <v>394</v>
      </c>
      <c r="M169" s="97" t="str">
        <f>VLOOKUP(C169,'[2]DM Đề tài SV ký HĐ (thay đổi)'!$B$1:$O$475,13,0)</f>
        <v>phucnv@hcmute.edu.vn</v>
      </c>
      <c r="N169" s="97" t="str">
        <f>VLOOKUP(C169,'[2]DM Đề tài SV ký HĐ (thay đổi)'!$B$1:$M$475,12,0)</f>
        <v>Khoa Điện - Điện tử</v>
      </c>
      <c r="O169" s="88" t="s">
        <v>407</v>
      </c>
      <c r="P169" s="92">
        <v>10000000</v>
      </c>
      <c r="Q169" s="84" t="s">
        <v>1648</v>
      </c>
      <c r="R169" s="84"/>
      <c r="S169" s="84"/>
      <c r="T169" s="101">
        <v>2</v>
      </c>
      <c r="U169" s="103" t="s">
        <v>1787</v>
      </c>
      <c r="V169" s="83"/>
      <c r="W169" s="84"/>
      <c r="X169" s="84"/>
      <c r="Y169" s="84"/>
      <c r="Z169" s="84"/>
      <c r="AA169" s="84"/>
      <c r="AB169" s="84"/>
      <c r="AC169" s="84"/>
      <c r="AD169" s="84"/>
      <c r="AE169" s="84"/>
      <c r="AF169" s="84"/>
      <c r="AG169" s="113" t="s">
        <v>1814</v>
      </c>
      <c r="AH169" s="84"/>
    </row>
    <row r="170" spans="1:34" s="87" customFormat="1" ht="109.2" customHeight="1" x14ac:dyDescent="0.25">
      <c r="A170" s="83">
        <v>234</v>
      </c>
      <c r="B170" s="118" t="str">
        <f t="shared" si="12"/>
        <v>245</v>
      </c>
      <c r="C170" s="84" t="s">
        <v>907</v>
      </c>
      <c r="D170" s="84" t="s">
        <v>408</v>
      </c>
      <c r="E170" s="84" t="s">
        <v>409</v>
      </c>
      <c r="F170" s="97" t="str">
        <f t="shared" si="10"/>
        <v xml:space="preserve">Mai Nhật Nam </v>
      </c>
      <c r="G170" s="100" t="str">
        <f t="shared" si="11"/>
        <v>22151118</v>
      </c>
      <c r="H170" s="100" t="str">
        <f>VLOOKUP(C170,'[1]DM Đề tài SV ký HĐ (thay đổi)'!$B$1:$Q$475,15,0)</f>
        <v xml:space="preserve">22151118@student.hcmute.edu.vn  </v>
      </c>
      <c r="I170" s="107" t="str">
        <f>VLOOKUP(C170,'[1]DM Đề tài SV ký HĐ (thay đổi)'!$B$1:$Q$475,16,0)</f>
        <v>0772800148</v>
      </c>
      <c r="J170" s="97" t="str">
        <f>VLOOKUP(C170,'[2]DM Đề tài SV ký HĐ (thay đổi)'!$B$1:$I$475,8,0)</f>
        <v>Điện - Điện tử</v>
      </c>
      <c r="K170" s="84" t="s">
        <v>410</v>
      </c>
      <c r="L170" s="84" t="s">
        <v>411</v>
      </c>
      <c r="M170" s="97" t="str">
        <f>VLOOKUP(C170,'[2]DM Đề tài SV ký HĐ (thay đổi)'!$B$1:$O$475,13,0)</f>
        <v>minhthien@hcmute.edu.vn</v>
      </c>
      <c r="N170" s="97" t="str">
        <f>VLOOKUP(C170,'[2]DM Đề tài SV ký HĐ (thay đổi)'!$B$1:$M$475,12,0)</f>
        <v>Khoa Điện - Điện tử</v>
      </c>
      <c r="O170" s="88" t="s">
        <v>382</v>
      </c>
      <c r="P170" s="92">
        <v>10000000</v>
      </c>
      <c r="Q170" s="84" t="s">
        <v>1648</v>
      </c>
      <c r="R170" s="84"/>
      <c r="S170" s="84"/>
      <c r="T170" s="101">
        <v>2</v>
      </c>
      <c r="U170" s="103" t="s">
        <v>1787</v>
      </c>
      <c r="V170" s="83"/>
      <c r="W170" s="84"/>
      <c r="X170" s="84"/>
      <c r="Y170" s="84"/>
      <c r="Z170" s="84"/>
      <c r="AA170" s="84"/>
      <c r="AB170" s="84"/>
      <c r="AC170" s="84"/>
      <c r="AD170" s="84"/>
      <c r="AE170" s="84"/>
      <c r="AF170" s="84"/>
      <c r="AG170" s="114" t="s">
        <v>1813</v>
      </c>
      <c r="AH170" s="84"/>
    </row>
    <row r="171" spans="1:34" s="87" customFormat="1" ht="109.2" customHeight="1" x14ac:dyDescent="0.25">
      <c r="A171" s="83">
        <v>235</v>
      </c>
      <c r="B171" s="118" t="str">
        <f t="shared" si="12"/>
        <v>246</v>
      </c>
      <c r="C171" s="84" t="s">
        <v>908</v>
      </c>
      <c r="D171" s="84" t="s">
        <v>412</v>
      </c>
      <c r="E171" s="84" t="s">
        <v>413</v>
      </c>
      <c r="F171" s="97" t="str">
        <f t="shared" si="10"/>
        <v xml:space="preserve">Mai Văn Hưng </v>
      </c>
      <c r="G171" s="100" t="str">
        <f t="shared" si="11"/>
        <v>23151116</v>
      </c>
      <c r="H171" s="100" t="str">
        <f>VLOOKUP(C171,'[1]DM Đề tài SV ký HĐ (thay đổi)'!$B$1:$Q$475,15,0)</f>
        <v>23151116@student.hcmute.edu.vn</v>
      </c>
      <c r="I171" s="107" t="str">
        <f>VLOOKUP(C171,'[1]DM Đề tài SV ký HĐ (thay đổi)'!$B$1:$Q$475,16,0)</f>
        <v>0913942604</v>
      </c>
      <c r="J171" s="97" t="str">
        <f>VLOOKUP(C171,'[2]DM Đề tài SV ký HĐ (thay đổi)'!$B$1:$I$475,8,0)</f>
        <v>Điện - Điện tử</v>
      </c>
      <c r="K171" s="84" t="s">
        <v>414</v>
      </c>
      <c r="L171" s="84" t="s">
        <v>403</v>
      </c>
      <c r="M171" s="97" t="str">
        <f>VLOOKUP(C171,'[2]DM Đề tài SV ký HĐ (thay đổi)'!$B$1:$O$475,13,0)</f>
        <v>anth@hcmute.edu.vn</v>
      </c>
      <c r="N171" s="97" t="str">
        <f>VLOOKUP(C171,'[2]DM Đề tài SV ký HĐ (thay đổi)'!$B$1:$M$475,12,0)</f>
        <v>Khoa Điện - Điện tử</v>
      </c>
      <c r="O171" s="88" t="s">
        <v>1475</v>
      </c>
      <c r="P171" s="92">
        <v>15000000</v>
      </c>
      <c r="Q171" s="85" t="s">
        <v>1649</v>
      </c>
      <c r="R171" s="85"/>
      <c r="S171" s="85"/>
      <c r="T171" s="101">
        <v>2</v>
      </c>
      <c r="U171" s="103" t="s">
        <v>1787</v>
      </c>
      <c r="V171" s="83"/>
      <c r="W171" s="84"/>
      <c r="X171" s="84"/>
      <c r="Y171" s="84"/>
      <c r="Z171" s="84"/>
      <c r="AA171" s="84"/>
      <c r="AB171" s="84"/>
      <c r="AC171" s="84"/>
      <c r="AD171" s="84"/>
      <c r="AE171" s="84"/>
      <c r="AF171" s="84"/>
      <c r="AG171" s="114" t="s">
        <v>1813</v>
      </c>
      <c r="AH171" s="84"/>
    </row>
    <row r="172" spans="1:34" s="87" customFormat="1" ht="109.2" customHeight="1" x14ac:dyDescent="0.25">
      <c r="A172" s="83">
        <v>238</v>
      </c>
      <c r="B172" s="118" t="str">
        <f t="shared" si="12"/>
        <v>249</v>
      </c>
      <c r="C172" s="84" t="s">
        <v>909</v>
      </c>
      <c r="D172" s="84" t="s">
        <v>416</v>
      </c>
      <c r="E172" s="84" t="s">
        <v>417</v>
      </c>
      <c r="F172" s="97" t="str">
        <f t="shared" si="10"/>
        <v xml:space="preserve">Ngô Phạm Quốc Anh </v>
      </c>
      <c r="G172" s="100" t="str">
        <f t="shared" si="11"/>
        <v>23161003</v>
      </c>
      <c r="H172" s="100" t="str">
        <f>VLOOKUP(C172,'[1]DM Đề tài SV ký HĐ (thay đổi)'!$B$1:$Q$475,15,0)</f>
        <v>ngophamquocanh720@gmail.com</v>
      </c>
      <c r="I172" s="107" t="str">
        <f>VLOOKUP(C172,'[1]DM Đề tài SV ký HĐ (thay đổi)'!$B$1:$Q$475,16,0)</f>
        <v>0932763348</v>
      </c>
      <c r="J172" s="97" t="str">
        <f>VLOOKUP(C172,'[2]DM Đề tài SV ký HĐ (thay đổi)'!$B$1:$I$475,8,0)</f>
        <v>Điện - Điện tử</v>
      </c>
      <c r="K172" s="84"/>
      <c r="L172" s="84" t="s">
        <v>399</v>
      </c>
      <c r="M172" s="97" t="str">
        <f>VLOOKUP(C172,'[2]DM Đề tài SV ký HĐ (thay đổi)'!$B$1:$O$475,13,0)</f>
        <v>thanhlm@hcmute.edu.vn</v>
      </c>
      <c r="N172" s="97" t="str">
        <f>VLOOKUP(C172,'[2]DM Đề tài SV ký HĐ (thay đổi)'!$B$1:$M$475,12,0)</f>
        <v>Khoa Điện - Điện tử</v>
      </c>
      <c r="O172" s="88" t="s">
        <v>1770</v>
      </c>
      <c r="P172" s="92">
        <v>5000000</v>
      </c>
      <c r="Q172" s="84" t="s">
        <v>1647</v>
      </c>
      <c r="R172" s="84"/>
      <c r="S172" s="84"/>
      <c r="T172" s="103">
        <v>2</v>
      </c>
      <c r="U172" s="103" t="s">
        <v>1787</v>
      </c>
      <c r="V172" s="83"/>
      <c r="W172" s="84"/>
      <c r="X172" s="84"/>
      <c r="Y172" s="84"/>
      <c r="Z172" s="84"/>
      <c r="AA172" s="84"/>
      <c r="AB172" s="84"/>
      <c r="AC172" s="84"/>
      <c r="AD172" s="84"/>
      <c r="AE172" s="84"/>
      <c r="AF172" s="84"/>
      <c r="AG172" s="113" t="s">
        <v>1814</v>
      </c>
      <c r="AH172" s="84"/>
    </row>
    <row r="173" spans="1:34" s="87" customFormat="1" ht="109.2" customHeight="1" x14ac:dyDescent="0.25">
      <c r="A173" s="83">
        <v>239</v>
      </c>
      <c r="B173" s="118" t="str">
        <f t="shared" si="12"/>
        <v>250</v>
      </c>
      <c r="C173" s="84" t="s">
        <v>910</v>
      </c>
      <c r="D173" s="84" t="s">
        <v>1566</v>
      </c>
      <c r="E173" s="84" t="s">
        <v>418</v>
      </c>
      <c r="F173" s="97" t="str">
        <f t="shared" si="10"/>
        <v xml:space="preserve">Ngô Quang Hải </v>
      </c>
      <c r="G173" s="100" t="str">
        <f t="shared" si="11"/>
        <v>23151242</v>
      </c>
      <c r="H173" s="100" t="str">
        <f>VLOOKUP(C173,'[1]DM Đề tài SV ký HĐ (thay đổi)'!$B$1:$Q$475,15,0)</f>
        <v>23151242@student.hcmute.edu.vn</v>
      </c>
      <c r="I173" s="107" t="str">
        <f>VLOOKUP(C173,'[1]DM Đề tài SV ký HĐ (thay đổi)'!$B$1:$Q$475,16,0)</f>
        <v>0963640253</v>
      </c>
      <c r="J173" s="97" t="str">
        <f>VLOOKUP(C173,'[2]DM Đề tài SV ký HĐ (thay đổi)'!$B$1:$I$475,8,0)</f>
        <v>Điện - Điện tử</v>
      </c>
      <c r="K173" s="84" t="s">
        <v>1565</v>
      </c>
      <c r="L173" s="84" t="s">
        <v>415</v>
      </c>
      <c r="M173" s="97" t="str">
        <f>VLOOKUP(C173,'[2]DM Đề tài SV ký HĐ (thay đổi)'!$B$1:$O$475,13,0)</f>
        <v>ducnt@hcmute.edu.vn</v>
      </c>
      <c r="N173" s="97" t="str">
        <f>VLOOKUP(C173,'[2]DM Đề tài SV ký HĐ (thay đổi)'!$B$1:$M$475,12,0)</f>
        <v>Khoa Điện - Điện tử</v>
      </c>
      <c r="O173" s="88" t="s">
        <v>1567</v>
      </c>
      <c r="P173" s="92">
        <v>10000000</v>
      </c>
      <c r="Q173" s="84" t="s">
        <v>1648</v>
      </c>
      <c r="R173" s="84"/>
      <c r="S173" s="84"/>
      <c r="T173" s="103">
        <v>2</v>
      </c>
      <c r="U173" s="103" t="s">
        <v>1787</v>
      </c>
      <c r="V173" s="83"/>
      <c r="W173" s="84"/>
      <c r="X173" s="84"/>
      <c r="Y173" s="84"/>
      <c r="Z173" s="84"/>
      <c r="AA173" s="84"/>
      <c r="AB173" s="84"/>
      <c r="AC173" s="84"/>
      <c r="AD173" s="84"/>
      <c r="AE173" s="84"/>
      <c r="AF173" s="84"/>
      <c r="AG173" s="114" t="s">
        <v>1813</v>
      </c>
      <c r="AH173" s="84"/>
    </row>
    <row r="174" spans="1:34" s="87" customFormat="1" ht="109.2" customHeight="1" x14ac:dyDescent="0.25">
      <c r="A174" s="83">
        <v>242</v>
      </c>
      <c r="B174" s="83" t="str">
        <f t="shared" si="12"/>
        <v>254</v>
      </c>
      <c r="C174" s="84" t="s">
        <v>911</v>
      </c>
      <c r="D174" s="84" t="s">
        <v>420</v>
      </c>
      <c r="E174" s="84" t="s">
        <v>421</v>
      </c>
      <c r="F174" s="97" t="str">
        <f t="shared" si="10"/>
        <v xml:space="preserve">Nguyễn Gia Huy </v>
      </c>
      <c r="G174" s="100" t="str">
        <f t="shared" si="11"/>
        <v>24119137</v>
      </c>
      <c r="H174" s="100" t="str">
        <f>VLOOKUP(C174,'[1]DM Đề tài SV ký HĐ (thay đổi)'!$B$1:$Q$475,15,0)</f>
        <v>24119137@student.hcmute.edu.vn</v>
      </c>
      <c r="I174" s="107" t="str">
        <f>VLOOKUP(C174,'[1]DM Đề tài SV ký HĐ (thay đổi)'!$B$1:$Q$475,16,0)</f>
        <v>0348798707</v>
      </c>
      <c r="J174" s="97" t="str">
        <f>VLOOKUP(C174,'[2]DM Đề tài SV ký HĐ (thay đổi)'!$B$1:$I$475,8,0)</f>
        <v>Điện - Điện tử</v>
      </c>
      <c r="K174" s="84" t="s">
        <v>422</v>
      </c>
      <c r="L174" s="84" t="s">
        <v>411</v>
      </c>
      <c r="M174" s="97" t="str">
        <f>VLOOKUP(C174,'[2]DM Đề tài SV ký HĐ (thay đổi)'!$B$1:$O$475,13,0)</f>
        <v>minhthien@hcmute.edu.vn</v>
      </c>
      <c r="N174" s="97" t="str">
        <f>VLOOKUP(C174,'[2]DM Đề tài SV ký HĐ (thay đổi)'!$B$1:$M$475,12,0)</f>
        <v>Khoa Điện - Điện tử</v>
      </c>
      <c r="O174" s="88" t="s">
        <v>1771</v>
      </c>
      <c r="P174" s="92">
        <v>10000000</v>
      </c>
      <c r="Q174" s="84" t="s">
        <v>1648</v>
      </c>
      <c r="R174" s="84"/>
      <c r="S174" s="84"/>
      <c r="T174" s="101">
        <v>2</v>
      </c>
      <c r="U174" s="101"/>
      <c r="V174" s="83"/>
      <c r="W174" s="84"/>
      <c r="X174" s="84"/>
      <c r="Y174" s="84"/>
      <c r="Z174" s="84"/>
      <c r="AA174" s="84"/>
      <c r="AB174" s="84"/>
      <c r="AC174" s="84"/>
      <c r="AD174" s="84"/>
      <c r="AE174" s="84"/>
      <c r="AF174" s="84"/>
      <c r="AG174" s="85"/>
      <c r="AH174" s="96" t="s">
        <v>1818</v>
      </c>
    </row>
    <row r="175" spans="1:34" s="87" customFormat="1" ht="109.2" customHeight="1" x14ac:dyDescent="0.25">
      <c r="A175" s="83">
        <v>243</v>
      </c>
      <c r="B175" s="118" t="str">
        <f t="shared" si="12"/>
        <v>255</v>
      </c>
      <c r="C175" s="84" t="s">
        <v>912</v>
      </c>
      <c r="D175" s="84" t="s">
        <v>423</v>
      </c>
      <c r="E175" s="84" t="s">
        <v>424</v>
      </c>
      <c r="F175" s="97" t="str">
        <f t="shared" si="10"/>
        <v xml:space="preserve">Nguyễn Gia Khánh </v>
      </c>
      <c r="G175" s="100" t="str">
        <f t="shared" si="11"/>
        <v>23161280</v>
      </c>
      <c r="H175" s="100" t="str">
        <f>VLOOKUP(C175,'[1]DM Đề tài SV ký HĐ (thay đổi)'!$B$1:$Q$475,15,0)</f>
        <v>23161280@student.hcmute.edu.vn</v>
      </c>
      <c r="I175" s="107" t="str">
        <f>VLOOKUP(C175,'[1]DM Đề tài SV ký HĐ (thay đổi)'!$B$1:$Q$475,16,0)</f>
        <v>0868098358</v>
      </c>
      <c r="J175" s="97" t="str">
        <f>VLOOKUP(C175,'[2]DM Đề tài SV ký HĐ (thay đổi)'!$B$1:$I$475,8,0)</f>
        <v>Điện - Điện tử</v>
      </c>
      <c r="K175" s="84" t="s">
        <v>1668</v>
      </c>
      <c r="L175" s="84" t="s">
        <v>425</v>
      </c>
      <c r="M175" s="97" t="str">
        <f>VLOOKUP(C175,'[2]DM Đề tài SV ký HĐ (thay đổi)'!$B$1:$O$475,13,0)</f>
        <v>huanvm@hcmute.edu.vn</v>
      </c>
      <c r="N175" s="97" t="str">
        <f>VLOOKUP(C175,'[2]DM Đề tài SV ký HĐ (thay đổi)'!$B$1:$M$475,12,0)</f>
        <v>Khoa Điện - Điện tử</v>
      </c>
      <c r="O175" s="84" t="s">
        <v>1667</v>
      </c>
      <c r="P175" s="92">
        <v>10000000</v>
      </c>
      <c r="Q175" s="84" t="s">
        <v>1648</v>
      </c>
      <c r="R175" s="84"/>
      <c r="S175" s="84"/>
      <c r="T175" s="101">
        <v>2</v>
      </c>
      <c r="U175" s="103" t="s">
        <v>1787</v>
      </c>
      <c r="V175" s="83"/>
      <c r="W175" s="84"/>
      <c r="X175" s="84"/>
      <c r="Y175" s="84"/>
      <c r="Z175" s="84"/>
      <c r="AA175" s="84"/>
      <c r="AB175" s="84"/>
      <c r="AC175" s="84"/>
      <c r="AD175" s="84"/>
      <c r="AE175" s="84"/>
      <c r="AF175" s="84"/>
      <c r="AG175" s="114" t="s">
        <v>1813</v>
      </c>
      <c r="AH175" s="84"/>
    </row>
    <row r="176" spans="1:34" s="87" customFormat="1" ht="109.2" customHeight="1" x14ac:dyDescent="0.25">
      <c r="A176" s="83">
        <v>247</v>
      </c>
      <c r="B176" s="118" t="str">
        <f t="shared" si="12"/>
        <v>259</v>
      </c>
      <c r="C176" s="84" t="s">
        <v>913</v>
      </c>
      <c r="D176" s="84" t="s">
        <v>426</v>
      </c>
      <c r="E176" s="84" t="s">
        <v>427</v>
      </c>
      <c r="F176" s="97" t="str">
        <f t="shared" si="10"/>
        <v xml:space="preserve">Nguyễn Khải Đạt </v>
      </c>
      <c r="G176" s="100" t="str">
        <f t="shared" si="11"/>
        <v>23142272</v>
      </c>
      <c r="H176" s="100" t="str">
        <f>VLOOKUP(C176,'[1]DM Đề tài SV ký HĐ (thay đổi)'!$B$1:$Q$475,15,0)</f>
        <v>23142272@student.hcmute.edu.vn</v>
      </c>
      <c r="I176" s="107" t="str">
        <f>VLOOKUP(C176,'[1]DM Đề tài SV ký HĐ (thay đổi)'!$B$1:$Q$475,16,0)</f>
        <v>0916230211</v>
      </c>
      <c r="J176" s="97" t="str">
        <f>VLOOKUP(C176,'[2]DM Đề tài SV ký HĐ (thay đổi)'!$B$1:$I$475,8,0)</f>
        <v>Điện - Điện tử</v>
      </c>
      <c r="K176" s="84" t="s">
        <v>428</v>
      </c>
      <c r="L176" s="84" t="s">
        <v>429</v>
      </c>
      <c r="M176" s="97" t="str">
        <f>VLOOKUP(C176,'[2]DM Đề tài SV ký HĐ (thay đổi)'!$B$1:$O$475,13,0)</f>
        <v>anhtv@hcmute.edu.vn</v>
      </c>
      <c r="N176" s="97" t="str">
        <f>VLOOKUP(C176,'[2]DM Đề tài SV ký HĐ (thay đổi)'!$B$1:$M$475,12,0)</f>
        <v>Khoa Điện - Điện tử</v>
      </c>
      <c r="O176" s="84" t="s">
        <v>430</v>
      </c>
      <c r="P176" s="92">
        <v>15000000</v>
      </c>
      <c r="Q176" s="85" t="s">
        <v>1649</v>
      </c>
      <c r="R176" s="85"/>
      <c r="S176" s="85"/>
      <c r="T176" s="101">
        <v>2</v>
      </c>
      <c r="U176" s="101" t="s">
        <v>1787</v>
      </c>
      <c r="V176" s="83"/>
      <c r="W176" s="84"/>
      <c r="X176" s="84"/>
      <c r="Y176" s="84"/>
      <c r="Z176" s="84"/>
      <c r="AA176" s="84"/>
      <c r="AB176" s="84"/>
      <c r="AC176" s="84"/>
      <c r="AD176" s="84"/>
      <c r="AE176" s="84"/>
      <c r="AF176" s="84"/>
      <c r="AG176" s="114" t="s">
        <v>1813</v>
      </c>
      <c r="AH176" s="84"/>
    </row>
    <row r="177" spans="1:34" s="87" customFormat="1" ht="109.2" customHeight="1" x14ac:dyDescent="0.25">
      <c r="A177" s="83">
        <v>249</v>
      </c>
      <c r="B177" s="118" t="str">
        <f t="shared" si="12"/>
        <v>261</v>
      </c>
      <c r="C177" s="84" t="s">
        <v>914</v>
      </c>
      <c r="D177" s="84" t="s">
        <v>431</v>
      </c>
      <c r="E177" s="84" t="s">
        <v>432</v>
      </c>
      <c r="F177" s="97" t="str">
        <f t="shared" si="10"/>
        <v xml:space="preserve">Nguyễn Linh Tâm </v>
      </c>
      <c r="G177" s="100" t="str">
        <f t="shared" si="11"/>
        <v>23161185</v>
      </c>
      <c r="H177" s="100" t="str">
        <f>VLOOKUP(C177,'[1]DM Đề tài SV ký HĐ (thay đổi)'!$B$1:$Q$475,15,0)</f>
        <v>23161185@student.hcmute.edu.vn</v>
      </c>
      <c r="I177" s="107" t="str">
        <f>VLOOKUP(C177,'[1]DM Đề tài SV ký HĐ (thay đổi)'!$B$1:$Q$475,16,0)</f>
        <v>0346215631</v>
      </c>
      <c r="J177" s="97" t="str">
        <f>VLOOKUP(C177,'[2]DM Đề tài SV ký HĐ (thay đổi)'!$B$1:$I$475,8,0)</f>
        <v>Điện - Điện tử</v>
      </c>
      <c r="K177" s="84" t="s">
        <v>433</v>
      </c>
      <c r="L177" s="84" t="s">
        <v>358</v>
      </c>
      <c r="M177" s="97" t="str">
        <f>VLOOKUP(C177,'[2]DM Đề tài SV ký HĐ (thay đổi)'!$B$1:$O$475,13,0)</f>
        <v>thaiph@hcmute.edu.vn</v>
      </c>
      <c r="N177" s="97" t="str">
        <f>VLOOKUP(C177,'[2]DM Đề tài SV ký HĐ (thay đổi)'!$B$1:$M$475,12,0)</f>
        <v>Khoa Điện - Điện tử</v>
      </c>
      <c r="O177" s="84" t="s">
        <v>359</v>
      </c>
      <c r="P177" s="92">
        <v>10000000</v>
      </c>
      <c r="Q177" s="84" t="s">
        <v>1648</v>
      </c>
      <c r="R177" s="84"/>
      <c r="S177" s="84"/>
      <c r="T177" s="101">
        <v>2</v>
      </c>
      <c r="U177" s="103" t="s">
        <v>1787</v>
      </c>
      <c r="V177" s="83"/>
      <c r="W177" s="84"/>
      <c r="X177" s="84"/>
      <c r="Y177" s="84"/>
      <c r="Z177" s="84"/>
      <c r="AA177" s="84"/>
      <c r="AB177" s="84"/>
      <c r="AC177" s="84"/>
      <c r="AD177" s="84"/>
      <c r="AE177" s="84"/>
      <c r="AF177" s="84"/>
      <c r="AG177" s="114" t="s">
        <v>1813</v>
      </c>
      <c r="AH177" s="84"/>
    </row>
    <row r="178" spans="1:34" s="87" customFormat="1" ht="109.2" customHeight="1" x14ac:dyDescent="0.25">
      <c r="A178" s="83">
        <v>251</v>
      </c>
      <c r="B178" s="118" t="str">
        <f t="shared" si="12"/>
        <v>263</v>
      </c>
      <c r="C178" s="84" t="s">
        <v>915</v>
      </c>
      <c r="D178" s="84" t="s">
        <v>434</v>
      </c>
      <c r="E178" s="84" t="s">
        <v>435</v>
      </c>
      <c r="F178" s="97" t="str">
        <f t="shared" si="10"/>
        <v xml:space="preserve">Nguyễn Phan Thái Sơn </v>
      </c>
      <c r="G178" s="100" t="str">
        <f t="shared" si="11"/>
        <v>23161177</v>
      </c>
      <c r="H178" s="100" t="str">
        <f>VLOOKUP(C178,'[1]DM Đề tài SV ký HĐ (thay đổi)'!$B$1:$Q$475,15,0)</f>
        <v xml:space="preserve"> 23161177@student.hcmute.edu.vn</v>
      </c>
      <c r="I178" s="107" t="str">
        <f>VLOOKUP(C178,'[1]DM Đề tài SV ký HĐ (thay đổi)'!$B$1:$Q$475,16,0)</f>
        <v>0346710269</v>
      </c>
      <c r="J178" s="97" t="str">
        <f>VLOOKUP(C178,'[2]DM Đề tài SV ký HĐ (thay đổi)'!$B$1:$I$475,8,0)</f>
        <v>Điện - Điện tử</v>
      </c>
      <c r="K178" s="84" t="s">
        <v>436</v>
      </c>
      <c r="L178" s="84" t="s">
        <v>419</v>
      </c>
      <c r="M178" s="97" t="str">
        <f>VLOOKUP(C178,'[2]DM Đề tài SV ký HĐ (thay đổi)'!$B$1:$O$475,13,0)</f>
        <v>phuctq@hcmute.edu.vn</v>
      </c>
      <c r="N178" s="97" t="str">
        <f>VLOOKUP(C178,'[2]DM Đề tài SV ký HĐ (thay đổi)'!$B$1:$M$475,12,0)</f>
        <v>Khoa Điện - Điện tử</v>
      </c>
      <c r="O178" s="84" t="s">
        <v>437</v>
      </c>
      <c r="P178" s="92">
        <v>5000000</v>
      </c>
      <c r="Q178" s="84" t="s">
        <v>1647</v>
      </c>
      <c r="R178" s="84"/>
      <c r="S178" s="84"/>
      <c r="T178" s="103">
        <v>2</v>
      </c>
      <c r="U178" s="103" t="s">
        <v>1787</v>
      </c>
      <c r="V178" s="83"/>
      <c r="W178" s="84"/>
      <c r="X178" s="84"/>
      <c r="Y178" s="84"/>
      <c r="Z178" s="84"/>
      <c r="AA178" s="84"/>
      <c r="AB178" s="84"/>
      <c r="AC178" s="84"/>
      <c r="AD178" s="84"/>
      <c r="AE178" s="84"/>
      <c r="AF178" s="84"/>
      <c r="AG178" s="113" t="s">
        <v>1814</v>
      </c>
      <c r="AH178" s="84"/>
    </row>
    <row r="179" spans="1:34" s="87" customFormat="1" ht="109.2" customHeight="1" x14ac:dyDescent="0.25">
      <c r="A179" s="83">
        <v>255</v>
      </c>
      <c r="B179" s="118" t="str">
        <f t="shared" si="12"/>
        <v>268</v>
      </c>
      <c r="C179" s="84" t="s">
        <v>916</v>
      </c>
      <c r="D179" s="84" t="s">
        <v>439</v>
      </c>
      <c r="E179" s="84" t="s">
        <v>440</v>
      </c>
      <c r="F179" s="97" t="str">
        <f t="shared" si="10"/>
        <v xml:space="preserve">Nguyễn Quốc Sang </v>
      </c>
      <c r="G179" s="100" t="str">
        <f t="shared" si="11"/>
        <v>23151166</v>
      </c>
      <c r="H179" s="100" t="str">
        <f>VLOOKUP(C179,'[1]DM Đề tài SV ký HĐ (thay đổi)'!$B$1:$Q$475,15,0)</f>
        <v>23151166@student.hcmute.edu.vn</v>
      </c>
      <c r="I179" s="107" t="str">
        <f>VLOOKUP(C179,'[1]DM Đề tài SV ký HĐ (thay đổi)'!$B$1:$Q$475,16,0)</f>
        <v>0932679827</v>
      </c>
      <c r="J179" s="97" t="str">
        <f>VLOOKUP(C179,'[2]DM Đề tài SV ký HĐ (thay đổi)'!$B$1:$I$475,8,0)</f>
        <v>Điện - Điện tử</v>
      </c>
      <c r="K179" s="84" t="s">
        <v>441</v>
      </c>
      <c r="L179" s="84" t="s">
        <v>442</v>
      </c>
      <c r="M179" s="97" t="str">
        <f>VLOOKUP(C179,'[2]DM Đề tài SV ký HĐ (thay đổi)'!$B$1:$O$475,13,0)</f>
        <v>tronghieu@hcmute.edu.vn</v>
      </c>
      <c r="N179" s="97" t="str">
        <f>VLOOKUP(C179,'[2]DM Đề tài SV ký HĐ (thay đổi)'!$B$1:$M$475,12,0)</f>
        <v>Khoa Giao thông và Năng lượng</v>
      </c>
      <c r="O179" s="84" t="s">
        <v>1765</v>
      </c>
      <c r="P179" s="92">
        <v>10000000</v>
      </c>
      <c r="Q179" s="84" t="s">
        <v>1648</v>
      </c>
      <c r="R179" s="84"/>
      <c r="S179" s="84"/>
      <c r="T179" s="103">
        <v>2</v>
      </c>
      <c r="U179" s="103" t="s">
        <v>1787</v>
      </c>
      <c r="V179" s="83"/>
      <c r="W179" s="84"/>
      <c r="X179" s="84"/>
      <c r="Y179" s="84"/>
      <c r="Z179" s="84"/>
      <c r="AA179" s="84"/>
      <c r="AB179" s="84"/>
      <c r="AC179" s="84"/>
      <c r="AD179" s="84"/>
      <c r="AE179" s="84"/>
      <c r="AF179" s="84"/>
      <c r="AG179" s="113" t="s">
        <v>1814</v>
      </c>
      <c r="AH179" s="84"/>
    </row>
    <row r="180" spans="1:34" s="87" customFormat="1" ht="109.2" customHeight="1" x14ac:dyDescent="0.25">
      <c r="A180" s="83">
        <v>257</v>
      </c>
      <c r="B180" s="118" t="str">
        <f t="shared" si="12"/>
        <v>270</v>
      </c>
      <c r="C180" s="84" t="s">
        <v>917</v>
      </c>
      <c r="D180" s="84" t="s">
        <v>443</v>
      </c>
      <c r="E180" s="84" t="s">
        <v>444</v>
      </c>
      <c r="F180" s="97" t="str">
        <f t="shared" si="10"/>
        <v xml:space="preserve">Nguyễn Thái An </v>
      </c>
      <c r="G180" s="100" t="str">
        <f t="shared" si="11"/>
        <v>23119045</v>
      </c>
      <c r="H180" s="100" t="str">
        <f>VLOOKUP(C180,'[1]DM Đề tài SV ký HĐ (thay đổi)'!$B$1:$Q$475,15,0)</f>
        <v>23119045@student.hcmute.edu.vn</v>
      </c>
      <c r="I180" s="107" t="str">
        <f>VLOOKUP(C180,'[1]DM Đề tài SV ký HĐ (thay đổi)'!$B$1:$Q$475,16,0)</f>
        <v>0937904967</v>
      </c>
      <c r="J180" s="97" t="str">
        <f>VLOOKUP(C180,'[2]DM Đề tài SV ký HĐ (thay đổi)'!$B$1:$I$475,8,0)</f>
        <v>Điện - Điện tử</v>
      </c>
      <c r="K180" s="84" t="s">
        <v>445</v>
      </c>
      <c r="L180" s="84" t="s">
        <v>446</v>
      </c>
      <c r="M180" s="97" t="str">
        <f>VLOOKUP(C180,'[2]DM Đề tài SV ký HĐ (thay đổi)'!$B$1:$O$475,13,0)</f>
        <v>tandd@hcmute.edu.vn</v>
      </c>
      <c r="N180" s="97" t="str">
        <f>VLOOKUP(C180,'[2]DM Đề tài SV ký HĐ (thay đổi)'!$B$1:$M$475,12,0)</f>
        <v>Khoa Điện - Điện tử</v>
      </c>
      <c r="O180" s="84" t="s">
        <v>373</v>
      </c>
      <c r="P180" s="92">
        <v>5000000</v>
      </c>
      <c r="Q180" s="84" t="s">
        <v>1647</v>
      </c>
      <c r="R180" s="84"/>
      <c r="S180" s="84"/>
      <c r="T180" s="101">
        <v>2</v>
      </c>
      <c r="U180" s="103" t="s">
        <v>1787</v>
      </c>
      <c r="V180" s="83"/>
      <c r="W180" s="84"/>
      <c r="X180" s="84"/>
      <c r="Y180" s="84"/>
      <c r="Z180" s="84"/>
      <c r="AA180" s="84"/>
      <c r="AB180" s="84"/>
      <c r="AC180" s="84"/>
      <c r="AD180" s="84"/>
      <c r="AE180" s="84"/>
      <c r="AF180" s="84"/>
      <c r="AG180" s="114" t="s">
        <v>1813</v>
      </c>
      <c r="AH180" s="84"/>
    </row>
    <row r="181" spans="1:34" s="87" customFormat="1" ht="109.2" customHeight="1" x14ac:dyDescent="0.25">
      <c r="A181" s="83">
        <v>258</v>
      </c>
      <c r="B181" s="118" t="str">
        <f t="shared" si="12"/>
        <v>271</v>
      </c>
      <c r="C181" s="84" t="s">
        <v>918</v>
      </c>
      <c r="D181" s="84" t="s">
        <v>447</v>
      </c>
      <c r="E181" s="84" t="s">
        <v>1753</v>
      </c>
      <c r="F181" s="97" t="str">
        <f t="shared" ref="F181:F219" si="13">LEFT(E181,LEN(E181)-LEN(G181))</f>
        <v xml:space="preserve">Nguyễn Thanh Tân </v>
      </c>
      <c r="G181" s="100" t="str">
        <f t="shared" ref="G181:G219" si="14">RIGHT(E181,8)</f>
        <v>23161188</v>
      </c>
      <c r="H181" s="100" t="str">
        <f>VLOOKUP(C181,'[1]DM Đề tài SV ký HĐ (thay đổi)'!$B$1:$Q$475,15,0)</f>
        <v>23161188@student.hcmute.edu.vn</v>
      </c>
      <c r="I181" s="107" t="str">
        <f>VLOOKUP(C181,'[1]DM Đề tài SV ký HĐ (thay đổi)'!$B$1:$Q$475,16,0)</f>
        <v>0349570649</v>
      </c>
      <c r="J181" s="97" t="str">
        <f>VLOOKUP(C181,'[2]DM Đề tài SV ký HĐ (thay đổi)'!$B$1:$I$475,8,0)</f>
        <v>Điện - Điện tử</v>
      </c>
      <c r="K181" s="84" t="s">
        <v>448</v>
      </c>
      <c r="L181" s="84" t="s">
        <v>394</v>
      </c>
      <c r="M181" s="97" t="str">
        <f>VLOOKUP(C181,'[2]DM Đề tài SV ký HĐ (thay đổi)'!$B$1:$O$475,13,0)</f>
        <v>phucnv@hcmute.edu.vn</v>
      </c>
      <c r="N181" s="97" t="str">
        <f>VLOOKUP(C181,'[2]DM Đề tài SV ký HĐ (thay đổi)'!$B$1:$M$475,12,0)</f>
        <v>Khoa Điện - Điện tử</v>
      </c>
      <c r="O181" s="84" t="s">
        <v>449</v>
      </c>
      <c r="P181" s="92">
        <v>10000000</v>
      </c>
      <c r="Q181" s="84" t="s">
        <v>1648</v>
      </c>
      <c r="R181" s="84"/>
      <c r="S181" s="84"/>
      <c r="T181" s="101">
        <v>2</v>
      </c>
      <c r="U181" s="103" t="s">
        <v>1787</v>
      </c>
      <c r="V181" s="83"/>
      <c r="W181" s="84"/>
      <c r="X181" s="84"/>
      <c r="Y181" s="84"/>
      <c r="Z181" s="84"/>
      <c r="AA181" s="84"/>
      <c r="AB181" s="84"/>
      <c r="AC181" s="84"/>
      <c r="AD181" s="84"/>
      <c r="AE181" s="84"/>
      <c r="AF181" s="84"/>
      <c r="AG181" s="114" t="s">
        <v>1813</v>
      </c>
      <c r="AH181" s="84"/>
    </row>
    <row r="182" spans="1:34" s="87" customFormat="1" ht="109.2" customHeight="1" x14ac:dyDescent="0.25">
      <c r="A182" s="83">
        <v>259</v>
      </c>
      <c r="B182" s="118" t="str">
        <f t="shared" si="12"/>
        <v>272</v>
      </c>
      <c r="C182" s="84" t="s">
        <v>919</v>
      </c>
      <c r="D182" s="84" t="s">
        <v>450</v>
      </c>
      <c r="E182" s="84" t="s">
        <v>451</v>
      </c>
      <c r="F182" s="97" t="str">
        <f t="shared" si="13"/>
        <v xml:space="preserve">Nguyễn Thị Mỹ Thường </v>
      </c>
      <c r="G182" s="100" t="str">
        <f t="shared" si="14"/>
        <v>23129052</v>
      </c>
      <c r="H182" s="100" t="str">
        <f>VLOOKUP(C182,'[1]DM Đề tài SV ký HĐ (thay đổi)'!$B$1:$Q$475,15,0)</f>
        <v>23129052@student.hcmute.edu.vn</v>
      </c>
      <c r="I182" s="107" t="str">
        <f>VLOOKUP(C182,'[1]DM Đề tài SV ký HĐ (thay đổi)'!$B$1:$Q$475,16,0)</f>
        <v>0847015933</v>
      </c>
      <c r="J182" s="97" t="str">
        <f>VLOOKUP(C182,'[2]DM Đề tài SV ký HĐ (thay đổi)'!$B$1:$I$475,8,0)</f>
        <v>Điện - Điện tử</v>
      </c>
      <c r="K182" s="84" t="s">
        <v>452</v>
      </c>
      <c r="L182" s="84" t="s">
        <v>453</v>
      </c>
      <c r="M182" s="97" t="str">
        <f>VLOOKUP(C182,'[2]DM Đề tài SV ký HĐ (thay đổi)'!$B$1:$O$475,13,0)</f>
        <v>vietnb@hcmute.edu.vn</v>
      </c>
      <c r="N182" s="97" t="str">
        <f>VLOOKUP(C182,'[2]DM Đề tài SV ký HĐ (thay đổi)'!$B$1:$M$475,12,0)</f>
        <v>Khoa Điện - Điện tử</v>
      </c>
      <c r="O182" s="84" t="s">
        <v>1751</v>
      </c>
      <c r="P182" s="92">
        <v>10000000</v>
      </c>
      <c r="Q182" s="84" t="s">
        <v>1648</v>
      </c>
      <c r="R182" s="84"/>
      <c r="S182" s="84"/>
      <c r="T182" s="101">
        <v>2</v>
      </c>
      <c r="U182" s="103" t="s">
        <v>1787</v>
      </c>
      <c r="V182" s="83"/>
      <c r="W182" s="84"/>
      <c r="X182" s="84"/>
      <c r="Y182" s="84"/>
      <c r="Z182" s="84"/>
      <c r="AA182" s="84"/>
      <c r="AB182" s="84"/>
      <c r="AC182" s="84"/>
      <c r="AD182" s="84"/>
      <c r="AE182" s="84"/>
      <c r="AF182" s="84"/>
      <c r="AG182" s="114" t="s">
        <v>1813</v>
      </c>
      <c r="AH182" s="84"/>
    </row>
    <row r="183" spans="1:34" s="87" customFormat="1" ht="109.2" customHeight="1" x14ac:dyDescent="0.25">
      <c r="A183" s="83">
        <v>261</v>
      </c>
      <c r="B183" s="118" t="str">
        <f t="shared" si="12"/>
        <v>274</v>
      </c>
      <c r="C183" s="84" t="s">
        <v>920</v>
      </c>
      <c r="D183" s="84" t="s">
        <v>454</v>
      </c>
      <c r="E183" s="84" t="s">
        <v>455</v>
      </c>
      <c r="F183" s="97" t="str">
        <f t="shared" si="13"/>
        <v xml:space="preserve">Nguyễn Thiên Phú </v>
      </c>
      <c r="G183" s="100" t="str">
        <f t="shared" si="14"/>
        <v>22161169</v>
      </c>
      <c r="H183" s="100" t="str">
        <f>VLOOKUP(C183,'[1]DM Đề tài SV ký HĐ (thay đổi)'!$B$1:$Q$475,15,0)</f>
        <v>22161169@student.hcmute.edu.vn</v>
      </c>
      <c r="I183" s="107" t="str">
        <f>VLOOKUP(C183,'[1]DM Đề tài SV ký HĐ (thay đổi)'!$B$1:$Q$475,16,0)</f>
        <v>0977606418</v>
      </c>
      <c r="J183" s="97" t="str">
        <f>VLOOKUP(C183,'[2]DM Đề tài SV ký HĐ (thay đổi)'!$B$1:$I$475,8,0)</f>
        <v>Điện - Điện tử</v>
      </c>
      <c r="K183" s="84" t="s">
        <v>456</v>
      </c>
      <c r="L183" s="84" t="s">
        <v>403</v>
      </c>
      <c r="M183" s="97" t="str">
        <f>VLOOKUP(C183,'[2]DM Đề tài SV ký HĐ (thay đổi)'!$B$1:$O$475,13,0)</f>
        <v>anth@hcmute.edu.vn</v>
      </c>
      <c r="N183" s="97" t="str">
        <f>VLOOKUP(C183,'[2]DM Đề tài SV ký HĐ (thay đổi)'!$B$1:$M$475,12,0)</f>
        <v>Khoa Điện - Điện tử</v>
      </c>
      <c r="O183" s="84" t="s">
        <v>457</v>
      </c>
      <c r="P183" s="92">
        <v>15000000</v>
      </c>
      <c r="Q183" s="85" t="s">
        <v>1649</v>
      </c>
      <c r="R183" s="85"/>
      <c r="S183" s="85"/>
      <c r="T183" s="101">
        <v>2</v>
      </c>
      <c r="U183" s="103" t="s">
        <v>1787</v>
      </c>
      <c r="V183" s="83"/>
      <c r="W183" s="84"/>
      <c r="X183" s="84"/>
      <c r="Y183" s="84"/>
      <c r="Z183" s="84"/>
      <c r="AA183" s="84"/>
      <c r="AB183" s="84"/>
      <c r="AC183" s="84"/>
      <c r="AD183" s="84"/>
      <c r="AE183" s="84"/>
      <c r="AF183" s="84"/>
      <c r="AG183" s="114" t="s">
        <v>1813</v>
      </c>
      <c r="AH183" s="84"/>
    </row>
    <row r="184" spans="1:34" s="87" customFormat="1" ht="109.2" customHeight="1" x14ac:dyDescent="0.25">
      <c r="A184" s="83">
        <v>262</v>
      </c>
      <c r="B184" s="118" t="str">
        <f t="shared" si="12"/>
        <v>275</v>
      </c>
      <c r="C184" s="84" t="s">
        <v>921</v>
      </c>
      <c r="D184" s="84" t="s">
        <v>458</v>
      </c>
      <c r="E184" s="84" t="s">
        <v>459</v>
      </c>
      <c r="F184" s="97" t="str">
        <f t="shared" si="13"/>
        <v xml:space="preserve">Nguyễn Văn Ngọc Trình </v>
      </c>
      <c r="G184" s="100" t="str">
        <f t="shared" si="14"/>
        <v>23129055</v>
      </c>
      <c r="H184" s="100" t="str">
        <f>VLOOKUP(C184,'[1]DM Đề tài SV ký HĐ (thay đổi)'!$B$1:$Q$475,15,0)</f>
        <v>23129055@student.hcmute.edu.vn</v>
      </c>
      <c r="I184" s="107" t="str">
        <f>VLOOKUP(C184,'[1]DM Đề tài SV ký HĐ (thay đổi)'!$B$1:$Q$475,16,0)</f>
        <v>0387943825</v>
      </c>
      <c r="J184" s="97" t="str">
        <f>VLOOKUP(C184,'[2]DM Đề tài SV ký HĐ (thay đổi)'!$B$1:$I$475,8,0)</f>
        <v>Điện - Điện tử</v>
      </c>
      <c r="K184" s="84" t="s">
        <v>460</v>
      </c>
      <c r="L184" s="84" t="s">
        <v>438</v>
      </c>
      <c r="M184" s="97" t="str">
        <f>VLOOKUP(C184,'[2]DM Đề tài SV ký HĐ (thay đổi)'!$B$1:$O$475,13,0)</f>
        <v>nghiant@hcmute.edu.vn</v>
      </c>
      <c r="N184" s="97" t="str">
        <f>VLOOKUP(C184,'[2]DM Đề tài SV ký HĐ (thay đổi)'!$B$1:$M$475,12,0)</f>
        <v>Khoa Điện - Điện tử</v>
      </c>
      <c r="O184" s="84" t="s">
        <v>461</v>
      </c>
      <c r="P184" s="92">
        <v>10000000</v>
      </c>
      <c r="Q184" s="84" t="s">
        <v>1648</v>
      </c>
      <c r="R184" s="84"/>
      <c r="S184" s="84"/>
      <c r="T184" s="101">
        <v>2</v>
      </c>
      <c r="U184" s="103" t="s">
        <v>1787</v>
      </c>
      <c r="V184" s="83"/>
      <c r="W184" s="84"/>
      <c r="X184" s="84"/>
      <c r="Y184" s="84"/>
      <c r="Z184" s="84"/>
      <c r="AA184" s="84"/>
      <c r="AB184" s="84"/>
      <c r="AC184" s="84"/>
      <c r="AD184" s="84"/>
      <c r="AE184" s="84"/>
      <c r="AF184" s="84"/>
      <c r="AG184" s="114" t="s">
        <v>1813</v>
      </c>
      <c r="AH184" s="84"/>
    </row>
    <row r="185" spans="1:34" s="87" customFormat="1" ht="109.2" customHeight="1" x14ac:dyDescent="0.25">
      <c r="A185" s="83">
        <v>264</v>
      </c>
      <c r="B185" s="118" t="str">
        <f t="shared" si="12"/>
        <v>277</v>
      </c>
      <c r="C185" s="84" t="s">
        <v>922</v>
      </c>
      <c r="D185" s="84" t="s">
        <v>462</v>
      </c>
      <c r="E185" s="84" t="s">
        <v>463</v>
      </c>
      <c r="F185" s="97" t="str">
        <f t="shared" si="13"/>
        <v xml:space="preserve">Nguyễn Văn Tấn Đạt </v>
      </c>
      <c r="G185" s="100" t="str">
        <f t="shared" si="14"/>
        <v>23151234</v>
      </c>
      <c r="H185" s="100" t="str">
        <f>VLOOKUP(C185,'[1]DM Đề tài SV ký HĐ (thay đổi)'!$B$1:$Q$475,15,0)</f>
        <v>23151234@student.hcmute.edu.vn</v>
      </c>
      <c r="I185" s="107" t="str">
        <f>VLOOKUP(C185,'[1]DM Đề tài SV ký HĐ (thay đổi)'!$B$1:$Q$475,16,0)</f>
        <v>0778159356</v>
      </c>
      <c r="J185" s="97" t="str">
        <f>VLOOKUP(C185,'[2]DM Đề tài SV ký HĐ (thay đổi)'!$B$1:$I$475,8,0)</f>
        <v>Điện - Điện tử</v>
      </c>
      <c r="K185" s="84" t="s">
        <v>464</v>
      </c>
      <c r="L185" s="84" t="s">
        <v>353</v>
      </c>
      <c r="M185" s="97" t="str">
        <f>VLOOKUP(C185,'[2]DM Đề tài SV ký HĐ (thay đổi)'!$B$1:$O$475,13,0)</f>
        <v>dotv@hcmute.edu.vn</v>
      </c>
      <c r="N185" s="97" t="str">
        <f>VLOOKUP(C185,'[2]DM Đề tài SV ký HĐ (thay đổi)'!$B$1:$M$475,12,0)</f>
        <v>Khoa Điện - Điện tử</v>
      </c>
      <c r="O185" s="84" t="s">
        <v>465</v>
      </c>
      <c r="P185" s="92">
        <v>10000000</v>
      </c>
      <c r="Q185" s="84" t="s">
        <v>1648</v>
      </c>
      <c r="R185" s="84"/>
      <c r="S185" s="84"/>
      <c r="T185" s="101">
        <v>2</v>
      </c>
      <c r="U185" s="103" t="s">
        <v>1787</v>
      </c>
      <c r="V185" s="83"/>
      <c r="W185" s="84"/>
      <c r="X185" s="84"/>
      <c r="Y185" s="84"/>
      <c r="Z185" s="84"/>
      <c r="AA185" s="84"/>
      <c r="AB185" s="84"/>
      <c r="AC185" s="84"/>
      <c r="AD185" s="84"/>
      <c r="AE185" s="84"/>
      <c r="AF185" s="84"/>
      <c r="AG185" s="114" t="s">
        <v>1813</v>
      </c>
      <c r="AH185" s="84"/>
    </row>
    <row r="186" spans="1:34" s="87" customFormat="1" ht="109.2" customHeight="1" x14ac:dyDescent="0.25">
      <c r="A186" s="83">
        <v>267</v>
      </c>
      <c r="B186" s="118" t="str">
        <f t="shared" si="12"/>
        <v>280</v>
      </c>
      <c r="C186" s="84" t="s">
        <v>923</v>
      </c>
      <c r="D186" s="84" t="s">
        <v>466</v>
      </c>
      <c r="E186" s="84" t="s">
        <v>467</v>
      </c>
      <c r="F186" s="97" t="str">
        <f t="shared" si="13"/>
        <v xml:space="preserve">Phạm Quốc Thắng </v>
      </c>
      <c r="G186" s="100" t="str">
        <f t="shared" si="14"/>
        <v>23161193</v>
      </c>
      <c r="H186" s="100" t="str">
        <f>VLOOKUP(C186,'[1]DM Đề tài SV ký HĐ (thay đổi)'!$B$1:$Q$475,15,0)</f>
        <v>23161193@student.hcmute.edu.vn</v>
      </c>
      <c r="I186" s="107" t="str">
        <f>VLOOKUP(C186,'[1]DM Đề tài SV ký HĐ (thay đổi)'!$B$1:$Q$475,16,0)</f>
        <v>0964453537</v>
      </c>
      <c r="J186" s="97" t="str">
        <f>VLOOKUP(C186,'[2]DM Đề tài SV ký HĐ (thay đổi)'!$B$1:$I$475,8,0)</f>
        <v>Điện - Điện tử</v>
      </c>
      <c r="K186" s="84" t="s">
        <v>468</v>
      </c>
      <c r="L186" s="84" t="s">
        <v>399</v>
      </c>
      <c r="M186" s="97" t="str">
        <f>VLOOKUP(C186,'[2]DM Đề tài SV ký HĐ (thay đổi)'!$B$1:$O$475,13,0)</f>
        <v>thanhlm@hcmute.edu.vn</v>
      </c>
      <c r="N186" s="97" t="str">
        <f>VLOOKUP(C186,'[2]DM Đề tài SV ký HĐ (thay đổi)'!$B$1:$M$475,12,0)</f>
        <v>Khoa Điện - Điện tử</v>
      </c>
      <c r="O186" s="84" t="s">
        <v>1772</v>
      </c>
      <c r="P186" s="92">
        <v>10000000</v>
      </c>
      <c r="Q186" s="84" t="s">
        <v>1648</v>
      </c>
      <c r="R186" s="84"/>
      <c r="S186" s="84"/>
      <c r="T186" s="106">
        <v>2</v>
      </c>
      <c r="U186" s="103" t="s">
        <v>1787</v>
      </c>
      <c r="V186" s="83"/>
      <c r="W186" s="84"/>
      <c r="X186" s="84"/>
      <c r="Y186" s="84"/>
      <c r="Z186" s="84"/>
      <c r="AA186" s="84"/>
      <c r="AB186" s="84"/>
      <c r="AC186" s="84"/>
      <c r="AD186" s="84"/>
      <c r="AE186" s="84"/>
      <c r="AF186" s="84"/>
      <c r="AG186" s="114" t="s">
        <v>1813</v>
      </c>
      <c r="AH186" s="84"/>
    </row>
    <row r="187" spans="1:34" s="87" customFormat="1" ht="109.2" customHeight="1" x14ac:dyDescent="0.25">
      <c r="A187" s="83">
        <v>270</v>
      </c>
      <c r="B187" s="83" t="str">
        <f t="shared" si="12"/>
        <v>283</v>
      </c>
      <c r="C187" s="84" t="s">
        <v>924</v>
      </c>
      <c r="D187" s="84" t="s">
        <v>469</v>
      </c>
      <c r="E187" s="84" t="s">
        <v>470</v>
      </c>
      <c r="F187" s="97" t="str">
        <f t="shared" si="13"/>
        <v xml:space="preserve">Phạm Võ Thiện Bảo </v>
      </c>
      <c r="G187" s="100" t="str">
        <f t="shared" si="14"/>
        <v>23161101</v>
      </c>
      <c r="H187" s="100" t="str">
        <f>VLOOKUP(C187,'[1]DM Đề tài SV ký HĐ (thay đổi)'!$B$1:$Q$475,15,0)</f>
        <v>23161101@student.hcmute.edu.vn</v>
      </c>
      <c r="I187" s="107" t="str">
        <f>VLOOKUP(C187,'[1]DM Đề tài SV ký HĐ (thay đổi)'!$B$1:$Q$475,16,0)</f>
        <v>0763719473</v>
      </c>
      <c r="J187" s="97" t="str">
        <f>VLOOKUP(C187,'[2]DM Đề tài SV ký HĐ (thay đổi)'!$B$1:$I$475,8,0)</f>
        <v>Điện - Điện tử</v>
      </c>
      <c r="K187" s="84" t="s">
        <v>471</v>
      </c>
      <c r="L187" s="84" t="s">
        <v>374</v>
      </c>
      <c r="M187" s="97" t="str">
        <f>VLOOKUP(C187,'[2]DM Đề tài SV ký HĐ (thay đổi)'!$B$1:$O$475,13,0)</f>
        <v>trangdph@hcmute.edu.vn</v>
      </c>
      <c r="N187" s="97" t="str">
        <f>VLOOKUP(C187,'[2]DM Đề tài SV ký HĐ (thay đổi)'!$B$1:$M$475,12,0)</f>
        <v>Khoa Điện - Điện tử</v>
      </c>
      <c r="O187" s="84" t="s">
        <v>1773</v>
      </c>
      <c r="P187" s="92">
        <v>10000000</v>
      </c>
      <c r="Q187" s="84" t="s">
        <v>1648</v>
      </c>
      <c r="R187" s="84"/>
      <c r="S187" s="84"/>
      <c r="T187" s="105" t="s">
        <v>1827</v>
      </c>
      <c r="U187" s="103"/>
      <c r="V187" s="83"/>
      <c r="W187" s="84"/>
      <c r="X187" s="84"/>
      <c r="Y187" s="84"/>
      <c r="Z187" s="84"/>
      <c r="AA187" s="84"/>
      <c r="AB187" s="84"/>
      <c r="AC187" s="84"/>
      <c r="AD187" s="84"/>
      <c r="AE187" s="84"/>
      <c r="AF187" s="84"/>
      <c r="AG187" s="85"/>
      <c r="AH187" s="96" t="s">
        <v>1818</v>
      </c>
    </row>
    <row r="188" spans="1:34" s="87" customFormat="1" ht="109.2" customHeight="1" x14ac:dyDescent="0.25">
      <c r="A188" s="83">
        <v>272</v>
      </c>
      <c r="B188" s="118" t="str">
        <f t="shared" si="12"/>
        <v>285</v>
      </c>
      <c r="C188" s="84" t="s">
        <v>925</v>
      </c>
      <c r="D188" s="84" t="s">
        <v>472</v>
      </c>
      <c r="E188" s="84" t="s">
        <v>473</v>
      </c>
      <c r="F188" s="97" t="str">
        <f t="shared" si="13"/>
        <v xml:space="preserve">Phan Thị Liệu </v>
      </c>
      <c r="G188" s="100" t="str">
        <f t="shared" si="14"/>
        <v>23151136</v>
      </c>
      <c r="H188" s="100" t="str">
        <f>VLOOKUP(C188,'[1]DM Đề tài SV ký HĐ (thay đổi)'!$B$1:$Q$475,15,0)</f>
        <v>23151136@student.hcmute.edu.vn</v>
      </c>
      <c r="I188" s="107" t="str">
        <f>VLOOKUP(C188,'[1]DM Đề tài SV ký HĐ (thay đổi)'!$B$1:$Q$475,16,0)</f>
        <v>0378702632</v>
      </c>
      <c r="J188" s="97" t="str">
        <f>VLOOKUP(C188,'[2]DM Đề tài SV ký HĐ (thay đổi)'!$B$1:$I$475,8,0)</f>
        <v>Điện - Điện tử</v>
      </c>
      <c r="K188" s="84" t="s">
        <v>1665</v>
      </c>
      <c r="L188" s="84" t="s">
        <v>381</v>
      </c>
      <c r="M188" s="97" t="str">
        <f>VLOOKUP(C188,'[2]DM Đề tài SV ký HĐ (thay đổi)'!$B$1:$O$475,13,0)</f>
        <v>thanhps@hcmute.edu.vn</v>
      </c>
      <c r="N188" s="97" t="str">
        <f>VLOOKUP(C188,'[2]DM Đề tài SV ký HĐ (thay đổi)'!$B$1:$M$475,12,0)</f>
        <v>Khoa Điện - Điện tử</v>
      </c>
      <c r="O188" s="84" t="s">
        <v>1774</v>
      </c>
      <c r="P188" s="92">
        <v>10000000</v>
      </c>
      <c r="Q188" s="84" t="s">
        <v>1648</v>
      </c>
      <c r="R188" s="84"/>
      <c r="S188" s="84"/>
      <c r="T188" s="103">
        <v>2</v>
      </c>
      <c r="U188" s="103" t="s">
        <v>1787</v>
      </c>
      <c r="V188" s="83"/>
      <c r="W188" s="84"/>
      <c r="X188" s="84"/>
      <c r="Y188" s="84"/>
      <c r="Z188" s="84"/>
      <c r="AA188" s="84"/>
      <c r="AB188" s="84"/>
      <c r="AC188" s="84"/>
      <c r="AD188" s="84"/>
      <c r="AE188" s="84"/>
      <c r="AF188" s="84"/>
      <c r="AG188" s="114" t="s">
        <v>1813</v>
      </c>
      <c r="AH188" s="84"/>
    </row>
    <row r="189" spans="1:34" s="87" customFormat="1" ht="109.2" customHeight="1" x14ac:dyDescent="0.25">
      <c r="A189" s="83">
        <v>273</v>
      </c>
      <c r="B189" s="118" t="str">
        <f t="shared" si="12"/>
        <v>286</v>
      </c>
      <c r="C189" s="84" t="s">
        <v>926</v>
      </c>
      <c r="D189" s="84" t="s">
        <v>474</v>
      </c>
      <c r="E189" s="84" t="s">
        <v>475</v>
      </c>
      <c r="F189" s="97" t="str">
        <f t="shared" si="13"/>
        <v xml:space="preserve">Phùng Anh Tuấn </v>
      </c>
      <c r="G189" s="100" t="str">
        <f t="shared" si="14"/>
        <v>23151201</v>
      </c>
      <c r="H189" s="100" t="str">
        <f>VLOOKUP(C189,'[1]DM Đề tài SV ký HĐ (thay đổi)'!$B$1:$Q$475,15,0)</f>
        <v>23151201@student.hcmute.edu.vn</v>
      </c>
      <c r="I189" s="107" t="str">
        <f>VLOOKUP(C189,'[1]DM Đề tài SV ký HĐ (thay đổi)'!$B$1:$Q$475,16,0)</f>
        <v>0937794365</v>
      </c>
      <c r="J189" s="97" t="str">
        <f>VLOOKUP(C189,'[2]DM Đề tài SV ký HĐ (thay đổi)'!$B$1:$I$475,8,0)</f>
        <v>Điện - Điện tử</v>
      </c>
      <c r="K189" s="84" t="s">
        <v>476</v>
      </c>
      <c r="L189" s="84" t="s">
        <v>349</v>
      </c>
      <c r="M189" s="97" t="str">
        <f>VLOOKUP(C189,'[2]DM Đề tài SV ký HĐ (thay đổi)'!$B$1:$O$475,13,0)</f>
        <v>tamnm@hcmute.edu.vn</v>
      </c>
      <c r="N189" s="97" t="str">
        <f>VLOOKUP(C189,'[2]DM Đề tài SV ký HĐ (thay đổi)'!$B$1:$M$475,12,0)</f>
        <v>Khoa Điện - Điện tử</v>
      </c>
      <c r="O189" s="84" t="s">
        <v>348</v>
      </c>
      <c r="P189" s="92">
        <v>5000000</v>
      </c>
      <c r="Q189" s="84" t="s">
        <v>1647</v>
      </c>
      <c r="R189" s="84"/>
      <c r="S189" s="84"/>
      <c r="T189" s="101">
        <v>2</v>
      </c>
      <c r="U189" s="103" t="s">
        <v>1787</v>
      </c>
      <c r="V189" s="83"/>
      <c r="W189" s="84"/>
      <c r="X189" s="84"/>
      <c r="Y189" s="84"/>
      <c r="Z189" s="84"/>
      <c r="AA189" s="84"/>
      <c r="AB189" s="84"/>
      <c r="AC189" s="84"/>
      <c r="AD189" s="84"/>
      <c r="AE189" s="84"/>
      <c r="AF189" s="84"/>
      <c r="AG189" s="113" t="s">
        <v>1814</v>
      </c>
      <c r="AH189" s="84"/>
    </row>
    <row r="190" spans="1:34" s="87" customFormat="1" ht="109.2" customHeight="1" x14ac:dyDescent="0.25">
      <c r="A190" s="83">
        <v>274</v>
      </c>
      <c r="B190" s="118" t="str">
        <f t="shared" si="12"/>
        <v>287</v>
      </c>
      <c r="C190" s="84" t="s">
        <v>927</v>
      </c>
      <c r="D190" s="84" t="s">
        <v>477</v>
      </c>
      <c r="E190" s="84" t="s">
        <v>478</v>
      </c>
      <c r="F190" s="97" t="str">
        <f t="shared" si="13"/>
        <v xml:space="preserve">Tạ Phú Thành </v>
      </c>
      <c r="G190" s="100" t="str">
        <f t="shared" si="14"/>
        <v>22144188</v>
      </c>
      <c r="H190" s="100" t="str">
        <f>VLOOKUP(C190,'[1]DM Đề tài SV ký HĐ (thay đổi)'!$B$1:$Q$475,15,0)</f>
        <v>22144188@student.hcmute.edu.vn</v>
      </c>
      <c r="I190" s="107" t="str">
        <f>VLOOKUP(C190,'[1]DM Đề tài SV ký HĐ (thay đổi)'!$B$1:$Q$475,16,0)</f>
        <v>0983073419</v>
      </c>
      <c r="J190" s="97" t="str">
        <f>VLOOKUP(C190,'[2]DM Đề tài SV ký HĐ (thay đổi)'!$B$1:$I$475,8,0)</f>
        <v>Điện - Điện tử</v>
      </c>
      <c r="K190" s="84" t="s">
        <v>479</v>
      </c>
      <c r="L190" s="84" t="s">
        <v>388</v>
      </c>
      <c r="M190" s="97" t="str">
        <f>VLOOKUP(C190,'[2]DM Đề tài SV ký HĐ (thay đổi)'!$B$1:$O$475,13,0)</f>
        <v>lamnn@hcmute.edu.vn</v>
      </c>
      <c r="N190" s="97" t="str">
        <f>VLOOKUP(C190,'[2]DM Đề tài SV ký HĐ (thay đổi)'!$B$1:$M$475,12,0)</f>
        <v>Khoa Điện - Điện tử</v>
      </c>
      <c r="O190" s="84" t="s">
        <v>1721</v>
      </c>
      <c r="P190" s="92">
        <v>10000000</v>
      </c>
      <c r="Q190" s="84" t="s">
        <v>1648</v>
      </c>
      <c r="R190" s="84"/>
      <c r="S190" s="84"/>
      <c r="T190" s="101">
        <v>2</v>
      </c>
      <c r="U190" s="103" t="s">
        <v>1787</v>
      </c>
      <c r="V190" s="83"/>
      <c r="W190" s="84"/>
      <c r="X190" s="84"/>
      <c r="Y190" s="84"/>
      <c r="Z190" s="84"/>
      <c r="AA190" s="84"/>
      <c r="AB190" s="84"/>
      <c r="AC190" s="84"/>
      <c r="AD190" s="84"/>
      <c r="AE190" s="84"/>
      <c r="AF190" s="84"/>
      <c r="AG190" s="114" t="s">
        <v>1813</v>
      </c>
      <c r="AH190" s="84"/>
    </row>
    <row r="191" spans="1:34" s="87" customFormat="1" ht="109.2" customHeight="1" x14ac:dyDescent="0.25">
      <c r="A191" s="83">
        <v>275</v>
      </c>
      <c r="B191" s="118" t="str">
        <f t="shared" si="12"/>
        <v>288</v>
      </c>
      <c r="C191" s="84" t="s">
        <v>928</v>
      </c>
      <c r="D191" s="84" t="s">
        <v>480</v>
      </c>
      <c r="E191" s="84" t="s">
        <v>481</v>
      </c>
      <c r="F191" s="97" t="str">
        <f t="shared" si="13"/>
        <v xml:space="preserve">Thái Gia Bảo	 </v>
      </c>
      <c r="G191" s="100" t="str">
        <f t="shared" si="14"/>
        <v>24119113</v>
      </c>
      <c r="H191" s="100" t="str">
        <f>VLOOKUP(C191,'[1]DM Đề tài SV ký HĐ (thay đổi)'!$B$1:$Q$475,15,0)</f>
        <v>24119113@student.hcmute.edu.vn</v>
      </c>
      <c r="I191" s="107" t="str">
        <f>VLOOKUP(C191,'[1]DM Đề tài SV ký HĐ (thay đổi)'!$B$1:$Q$475,16,0)</f>
        <v>0978819073</v>
      </c>
      <c r="J191" s="97" t="str">
        <f>VLOOKUP(C191,'[2]DM Đề tài SV ký HĐ (thay đổi)'!$B$1:$I$475,8,0)</f>
        <v>Điện - Điện tử</v>
      </c>
      <c r="K191" s="84" t="s">
        <v>482</v>
      </c>
      <c r="L191" s="84" t="s">
        <v>381</v>
      </c>
      <c r="M191" s="97" t="str">
        <f>VLOOKUP(C191,'[2]DM Đề tài SV ký HĐ (thay đổi)'!$B$1:$O$475,13,0)</f>
        <v>thanhps@hcmute.edu.vn</v>
      </c>
      <c r="N191" s="97" t="str">
        <f>VLOOKUP(C191,'[2]DM Đề tài SV ký HĐ (thay đổi)'!$B$1:$M$475,12,0)</f>
        <v>Khoa Điện - Điện tử</v>
      </c>
      <c r="O191" s="84" t="s">
        <v>373</v>
      </c>
      <c r="P191" s="92">
        <v>5000000</v>
      </c>
      <c r="Q191" s="84" t="s">
        <v>1647</v>
      </c>
      <c r="R191" s="84"/>
      <c r="S191" s="84"/>
      <c r="T191" s="103">
        <v>2</v>
      </c>
      <c r="U191" s="103" t="s">
        <v>1787</v>
      </c>
      <c r="V191" s="83"/>
      <c r="W191" s="84"/>
      <c r="X191" s="84"/>
      <c r="Y191" s="84"/>
      <c r="Z191" s="84"/>
      <c r="AA191" s="84"/>
      <c r="AB191" s="84"/>
      <c r="AC191" s="84"/>
      <c r="AD191" s="84"/>
      <c r="AE191" s="84"/>
      <c r="AF191" s="84"/>
      <c r="AG191" s="114" t="s">
        <v>1813</v>
      </c>
      <c r="AH191" s="84"/>
    </row>
    <row r="192" spans="1:34" s="87" customFormat="1" ht="109.2" customHeight="1" x14ac:dyDescent="0.25">
      <c r="A192" s="83">
        <v>276</v>
      </c>
      <c r="B192" s="118" t="str">
        <f t="shared" si="12"/>
        <v>289</v>
      </c>
      <c r="C192" s="84" t="s">
        <v>929</v>
      </c>
      <c r="D192" s="84" t="s">
        <v>483</v>
      </c>
      <c r="E192" s="84" t="s">
        <v>484</v>
      </c>
      <c r="F192" s="97" t="str">
        <f t="shared" si="13"/>
        <v xml:space="preserve">Thái Hoàng Phi </v>
      </c>
      <c r="G192" s="100" t="str">
        <f t="shared" si="14"/>
        <v>23119091</v>
      </c>
      <c r="H192" s="100" t="str">
        <f>VLOOKUP(C192,'[1]DM Đề tài SV ký HĐ (thay đổi)'!$B$1:$Q$475,15,0)</f>
        <v>23119091@student.hcmute.edu.vn</v>
      </c>
      <c r="I192" s="107" t="str">
        <f>VLOOKUP(C192,'[1]DM Đề tài SV ký HĐ (thay đổi)'!$B$1:$Q$475,16,0)</f>
        <v>0973186277</v>
      </c>
      <c r="J192" s="97" t="str">
        <f>VLOOKUP(C192,'[2]DM Đề tài SV ký HĐ (thay đổi)'!$B$1:$I$475,8,0)</f>
        <v>Điện - Điện tử</v>
      </c>
      <c r="K192" s="84" t="s">
        <v>485</v>
      </c>
      <c r="L192" s="84" t="s">
        <v>486</v>
      </c>
      <c r="M192" s="97" t="str">
        <f>VLOOKUP(C192,'[2]DM Đề tài SV ký HĐ (thay đổi)'!$B$1:$O$475,13,0)</f>
        <v>khoapv@hcmute.edu.vn</v>
      </c>
      <c r="N192" s="97" t="str">
        <f>VLOOKUP(C192,'[2]DM Đề tài SV ký HĐ (thay đổi)'!$B$1:$M$475,12,0)</f>
        <v>Khoa Đào tạo tiên tiến</v>
      </c>
      <c r="O192" s="84" t="s">
        <v>457</v>
      </c>
      <c r="P192" s="92">
        <v>15000000</v>
      </c>
      <c r="Q192" s="85" t="s">
        <v>1649</v>
      </c>
      <c r="R192" s="85"/>
      <c r="S192" s="85"/>
      <c r="T192" s="101">
        <v>2</v>
      </c>
      <c r="U192" s="103" t="s">
        <v>1787</v>
      </c>
      <c r="V192" s="83"/>
      <c r="W192" s="84"/>
      <c r="X192" s="84"/>
      <c r="Y192" s="84"/>
      <c r="Z192" s="84"/>
      <c r="AA192" s="84"/>
      <c r="AB192" s="84"/>
      <c r="AC192" s="84"/>
      <c r="AD192" s="84"/>
      <c r="AE192" s="84"/>
      <c r="AF192" s="84"/>
      <c r="AG192" s="114" t="s">
        <v>1813</v>
      </c>
      <c r="AH192" s="84"/>
    </row>
    <row r="193" spans="1:34" s="87" customFormat="1" ht="109.2" customHeight="1" x14ac:dyDescent="0.25">
      <c r="A193" s="83">
        <v>277</v>
      </c>
      <c r="B193" s="118" t="str">
        <f t="shared" si="12"/>
        <v>290</v>
      </c>
      <c r="C193" s="84" t="s">
        <v>930</v>
      </c>
      <c r="D193" s="84" t="s">
        <v>487</v>
      </c>
      <c r="E193" s="84" t="s">
        <v>488</v>
      </c>
      <c r="F193" s="97" t="str">
        <f t="shared" si="13"/>
        <v xml:space="preserve">Trần Anh Khôi </v>
      </c>
      <c r="G193" s="100" t="str">
        <f t="shared" si="14"/>
        <v>23151267</v>
      </c>
      <c r="H193" s="100" t="str">
        <f>VLOOKUP(C193,'[1]DM Đề tài SV ký HĐ (thay đổi)'!$B$1:$Q$475,15,0)</f>
        <v>23151267@student.hcmute.edu.vn</v>
      </c>
      <c r="I193" s="107" t="str">
        <f>VLOOKUP(C193,'[1]DM Đề tài SV ký HĐ (thay đổi)'!$B$1:$Q$475,16,0)</f>
        <v>0784528121</v>
      </c>
      <c r="J193" s="97" t="str">
        <f>VLOOKUP(C193,'[2]DM Đề tài SV ký HĐ (thay đổi)'!$B$1:$I$475,8,0)</f>
        <v>Điện - Điện tử</v>
      </c>
      <c r="K193" s="84" t="s">
        <v>489</v>
      </c>
      <c r="L193" s="84" t="s">
        <v>353</v>
      </c>
      <c r="M193" s="97" t="str">
        <f>VLOOKUP(C193,'[2]DM Đề tài SV ký HĐ (thay đổi)'!$B$1:$O$475,13,0)</f>
        <v>dotv@hcmute.edu.vn</v>
      </c>
      <c r="N193" s="97" t="str">
        <f>VLOOKUP(C193,'[2]DM Đề tài SV ký HĐ (thay đổi)'!$B$1:$M$475,12,0)</f>
        <v>Khoa Điện - Điện tử</v>
      </c>
      <c r="O193" s="84" t="s">
        <v>490</v>
      </c>
      <c r="P193" s="92">
        <v>10000000</v>
      </c>
      <c r="Q193" s="84" t="s">
        <v>1648</v>
      </c>
      <c r="R193" s="84"/>
      <c r="S193" s="84"/>
      <c r="T193" s="101">
        <v>2</v>
      </c>
      <c r="U193" s="103" t="s">
        <v>1787</v>
      </c>
      <c r="V193" s="83"/>
      <c r="W193" s="84"/>
      <c r="X193" s="84"/>
      <c r="Y193" s="84"/>
      <c r="Z193" s="84"/>
      <c r="AA193" s="84"/>
      <c r="AB193" s="84"/>
      <c r="AC193" s="84"/>
      <c r="AD193" s="84"/>
      <c r="AE193" s="84"/>
      <c r="AF193" s="84"/>
      <c r="AG193" s="114" t="s">
        <v>1813</v>
      </c>
      <c r="AH193" s="84"/>
    </row>
    <row r="194" spans="1:34" s="87" customFormat="1" ht="109.2" customHeight="1" x14ac:dyDescent="0.25">
      <c r="A194" s="83">
        <v>279</v>
      </c>
      <c r="B194" s="118" t="str">
        <f t="shared" si="12"/>
        <v>292</v>
      </c>
      <c r="C194" s="84" t="s">
        <v>931</v>
      </c>
      <c r="D194" s="84" t="s">
        <v>491</v>
      </c>
      <c r="E194" s="84" t="s">
        <v>1629</v>
      </c>
      <c r="F194" s="97" t="str">
        <f t="shared" si="13"/>
        <v xml:space="preserve">Trần Khánh Quân </v>
      </c>
      <c r="G194" s="100" t="str">
        <f t="shared" si="14"/>
        <v>23142193</v>
      </c>
      <c r="H194" s="100" t="str">
        <f>VLOOKUP(C194,'[1]DM Đề tài SV ký HĐ (thay đổi)'!$B$1:$Q$475,15,0)</f>
        <v xml:space="preserve">23142193@student.hcmute.edu.vn  </v>
      </c>
      <c r="I194" s="107" t="str">
        <f>VLOOKUP(C194,'[1]DM Đề tài SV ký HĐ (thay đổi)'!$B$1:$Q$475,16,0)</f>
        <v>0914749005</v>
      </c>
      <c r="J194" s="97" t="str">
        <f>VLOOKUP(C194,'[2]DM Đề tài SV ký HĐ (thay đổi)'!$B$1:$I$475,8,0)</f>
        <v>Điện - Điện tử</v>
      </c>
      <c r="K194" s="84" t="s">
        <v>492</v>
      </c>
      <c r="L194" s="84" t="s">
        <v>429</v>
      </c>
      <c r="M194" s="97" t="str">
        <f>VLOOKUP(C194,'[2]DM Đề tài SV ký HĐ (thay đổi)'!$B$1:$O$475,13,0)</f>
        <v>anhtv@hcmute.edu.vn</v>
      </c>
      <c r="N194" s="97" t="str">
        <f>VLOOKUP(C194,'[2]DM Đề tài SV ký HĐ (thay đổi)'!$B$1:$M$475,12,0)</f>
        <v>Khoa Điện - Điện tử</v>
      </c>
      <c r="O194" s="84" t="s">
        <v>1775</v>
      </c>
      <c r="P194" s="92">
        <v>15000000</v>
      </c>
      <c r="Q194" s="85" t="s">
        <v>1649</v>
      </c>
      <c r="R194" s="85"/>
      <c r="S194" s="85"/>
      <c r="T194" s="103">
        <v>2</v>
      </c>
      <c r="U194" s="103" t="s">
        <v>1787</v>
      </c>
      <c r="V194" s="83"/>
      <c r="W194" s="84"/>
      <c r="X194" s="84"/>
      <c r="Y194" s="84"/>
      <c r="Z194" s="84"/>
      <c r="AA194" s="84"/>
      <c r="AB194" s="84"/>
      <c r="AC194" s="84"/>
      <c r="AD194" s="84"/>
      <c r="AE194" s="84"/>
      <c r="AF194" s="84"/>
      <c r="AG194" s="113" t="s">
        <v>1814</v>
      </c>
      <c r="AH194" s="84"/>
    </row>
    <row r="195" spans="1:34" s="87" customFormat="1" ht="109.2" customHeight="1" x14ac:dyDescent="0.25">
      <c r="A195" s="83">
        <v>280</v>
      </c>
      <c r="B195" s="118" t="str">
        <f t="shared" si="12"/>
        <v>293</v>
      </c>
      <c r="C195" s="102" t="s">
        <v>932</v>
      </c>
      <c r="D195" s="84" t="s">
        <v>493</v>
      </c>
      <c r="E195" s="84" t="s">
        <v>494</v>
      </c>
      <c r="F195" s="97" t="str">
        <f t="shared" si="13"/>
        <v xml:space="preserve">Trần Mỹ Duyên </v>
      </c>
      <c r="G195" s="100" t="str">
        <f t="shared" si="14"/>
        <v>22129009</v>
      </c>
      <c r="H195" s="100" t="str">
        <f>VLOOKUP(C195,'[1]DM Đề tài SV ký HĐ (thay đổi)'!$B$1:$Q$475,15,0)</f>
        <v>22129009@student.hcmute.edu.vn</v>
      </c>
      <c r="I195" s="107" t="str">
        <f>VLOOKUP(C195,'[1]DM Đề tài SV ký HĐ (thay đổi)'!$B$1:$Q$475,16,0)</f>
        <v>0926198199</v>
      </c>
      <c r="J195" s="97" t="str">
        <f>VLOOKUP(C195,'[2]DM Đề tài SV ký HĐ (thay đổi)'!$B$1:$I$475,8,0)</f>
        <v>Điện - Điện tử</v>
      </c>
      <c r="K195" s="84" t="s">
        <v>495</v>
      </c>
      <c r="L195" s="84" t="s">
        <v>438</v>
      </c>
      <c r="M195" s="97" t="str">
        <f>VLOOKUP(C195,'[2]DM Đề tài SV ký HĐ (thay đổi)'!$B$1:$O$475,13,0)</f>
        <v>nghiant@hcmute.edu.vn</v>
      </c>
      <c r="N195" s="97" t="str">
        <f>VLOOKUP(C195,'[2]DM Đề tài SV ký HĐ (thay đổi)'!$B$1:$M$475,12,0)</f>
        <v>Khoa Điện - Điện tử</v>
      </c>
      <c r="O195" s="84" t="s">
        <v>496</v>
      </c>
      <c r="P195" s="92">
        <v>10000000</v>
      </c>
      <c r="Q195" s="84" t="s">
        <v>1648</v>
      </c>
      <c r="R195" s="84"/>
      <c r="S195" s="84"/>
      <c r="T195" s="101">
        <v>2</v>
      </c>
      <c r="U195" s="103" t="s">
        <v>1787</v>
      </c>
      <c r="V195" s="83"/>
      <c r="W195" s="84"/>
      <c r="X195" s="84"/>
      <c r="Y195" s="84"/>
      <c r="Z195" s="84"/>
      <c r="AA195" s="84"/>
      <c r="AB195" s="84"/>
      <c r="AC195" s="84"/>
      <c r="AD195" s="84"/>
      <c r="AE195" s="84"/>
      <c r="AF195" s="84"/>
      <c r="AG195" s="114" t="s">
        <v>1813</v>
      </c>
      <c r="AH195" s="84"/>
    </row>
    <row r="196" spans="1:34" s="87" customFormat="1" ht="109.2" customHeight="1" x14ac:dyDescent="0.25">
      <c r="A196" s="83">
        <v>281</v>
      </c>
      <c r="B196" s="118" t="str">
        <f t="shared" si="12"/>
        <v>295</v>
      </c>
      <c r="C196" s="84" t="s">
        <v>933</v>
      </c>
      <c r="D196" s="84" t="s">
        <v>497</v>
      </c>
      <c r="E196" s="84" t="s">
        <v>498</v>
      </c>
      <c r="F196" s="97" t="str">
        <f t="shared" si="13"/>
        <v xml:space="preserve">Trần Quang Bình </v>
      </c>
      <c r="G196" s="100" t="str">
        <f t="shared" si="14"/>
        <v>22161095</v>
      </c>
      <c r="H196" s="100" t="str">
        <f>VLOOKUP(C196,'[1]DM Đề tài SV ký HĐ (thay đổi)'!$B$1:$Q$475,15,0)</f>
        <v>22161095@student.hcmute.edu.vn</v>
      </c>
      <c r="I196" s="107" t="str">
        <f>VLOOKUP(C196,'[1]DM Đề tài SV ký HĐ (thay đổi)'!$B$1:$Q$475,16,0)</f>
        <v>0362093725</v>
      </c>
      <c r="J196" s="97" t="str">
        <f>VLOOKUP(C196,'[2]DM Đề tài SV ký HĐ (thay đổi)'!$B$1:$I$475,8,0)</f>
        <v>Điện - Điện tử</v>
      </c>
      <c r="K196" s="84" t="s">
        <v>499</v>
      </c>
      <c r="L196" s="84" t="s">
        <v>394</v>
      </c>
      <c r="M196" s="97" t="str">
        <f>VLOOKUP(C196,'[2]DM Đề tài SV ký HĐ (thay đổi)'!$B$1:$O$475,13,0)</f>
        <v>phucnv@hcmute.edu.vn</v>
      </c>
      <c r="N196" s="97" t="str">
        <f>VLOOKUP(C196,'[2]DM Đề tài SV ký HĐ (thay đổi)'!$B$1:$M$475,12,0)</f>
        <v>Khoa Điện - Điện tử</v>
      </c>
      <c r="O196" s="84" t="s">
        <v>500</v>
      </c>
      <c r="P196" s="92">
        <v>10000000</v>
      </c>
      <c r="Q196" s="84" t="s">
        <v>1648</v>
      </c>
      <c r="R196" s="84"/>
      <c r="S196" s="84"/>
      <c r="T196" s="101">
        <v>2</v>
      </c>
      <c r="U196" s="103" t="s">
        <v>1787</v>
      </c>
      <c r="V196" s="83"/>
      <c r="W196" s="84"/>
      <c r="X196" s="84"/>
      <c r="Y196" s="84"/>
      <c r="Z196" s="84"/>
      <c r="AA196" s="84"/>
      <c r="AB196" s="84"/>
      <c r="AC196" s="84"/>
      <c r="AD196" s="84"/>
      <c r="AE196" s="84"/>
      <c r="AF196" s="84"/>
      <c r="AG196" s="114" t="s">
        <v>1813</v>
      </c>
      <c r="AH196" s="84"/>
    </row>
    <row r="197" spans="1:34" s="87" customFormat="1" ht="109.2" customHeight="1" x14ac:dyDescent="0.25">
      <c r="A197" s="83">
        <v>282</v>
      </c>
      <c r="B197" s="118" t="str">
        <f t="shared" si="12"/>
        <v>296</v>
      </c>
      <c r="C197" s="84" t="s">
        <v>934</v>
      </c>
      <c r="D197" s="84" t="s">
        <v>501</v>
      </c>
      <c r="E197" s="84" t="s">
        <v>1630</v>
      </c>
      <c r="F197" s="97" t="str">
        <f t="shared" si="13"/>
        <v xml:space="preserve">Trần Thái Sơn </v>
      </c>
      <c r="G197" s="100" t="str">
        <f t="shared" si="14"/>
        <v>23151172</v>
      </c>
      <c r="H197" s="100" t="str">
        <f>VLOOKUP(C197,'[1]DM Đề tài SV ký HĐ (thay đổi)'!$B$1:$Q$475,15,0)</f>
        <v xml:space="preserve">23151172@student.hcmute.edu.vn </v>
      </c>
      <c r="I197" s="107" t="str">
        <f>VLOOKUP(C197,'[1]DM Đề tài SV ký HĐ (thay đổi)'!$B$1:$Q$475,16,0)</f>
        <v>0703397187</v>
      </c>
      <c r="J197" s="97" t="str">
        <f>VLOOKUP(C197,'[2]DM Đề tài SV ký HĐ (thay đổi)'!$B$1:$I$475,8,0)</f>
        <v>Điện - Điện tử</v>
      </c>
      <c r="K197" s="84" t="s">
        <v>502</v>
      </c>
      <c r="L197" s="84" t="s">
        <v>442</v>
      </c>
      <c r="M197" s="97" t="str">
        <f>VLOOKUP(C197,'[2]DM Đề tài SV ký HĐ (thay đổi)'!$B$1:$O$475,13,0)</f>
        <v>tronghieu@hcmute.edu.vn</v>
      </c>
      <c r="N197" s="97" t="str">
        <f>VLOOKUP(C197,'[2]DM Đề tài SV ký HĐ (thay đổi)'!$B$1:$M$475,12,0)</f>
        <v>Khoa Điện - Điện tử</v>
      </c>
      <c r="O197" s="84" t="s">
        <v>1776</v>
      </c>
      <c r="P197" s="92">
        <v>10000000</v>
      </c>
      <c r="Q197" s="84" t="s">
        <v>1648</v>
      </c>
      <c r="R197" s="84"/>
      <c r="S197" s="84"/>
      <c r="T197" s="101">
        <v>2</v>
      </c>
      <c r="U197" s="103" t="s">
        <v>1787</v>
      </c>
      <c r="V197" s="83"/>
      <c r="W197" s="84"/>
      <c r="X197" s="84"/>
      <c r="Y197" s="84"/>
      <c r="Z197" s="84"/>
      <c r="AA197" s="84"/>
      <c r="AB197" s="84"/>
      <c r="AC197" s="84"/>
      <c r="AD197" s="84"/>
      <c r="AE197" s="84"/>
      <c r="AF197" s="84"/>
      <c r="AG197" s="113" t="s">
        <v>1814</v>
      </c>
      <c r="AH197" s="84"/>
    </row>
    <row r="198" spans="1:34" s="87" customFormat="1" ht="109.2" customHeight="1" x14ac:dyDescent="0.25">
      <c r="A198" s="83">
        <v>284</v>
      </c>
      <c r="B198" s="118" t="str">
        <f t="shared" si="12"/>
        <v>299</v>
      </c>
      <c r="C198" s="84" t="s">
        <v>935</v>
      </c>
      <c r="D198" s="84" t="s">
        <v>503</v>
      </c>
      <c r="E198" s="84" t="s">
        <v>504</v>
      </c>
      <c r="F198" s="97" t="str">
        <f t="shared" si="13"/>
        <v xml:space="preserve">Trương Đông Quân </v>
      </c>
      <c r="G198" s="100" t="str">
        <f t="shared" si="14"/>
        <v>23129040</v>
      </c>
      <c r="H198" s="100" t="str">
        <f>VLOOKUP(C198,'[1]DM Đề tài SV ký HĐ (thay đổi)'!$B$1:$Q$475,15,0)</f>
        <v xml:space="preserve">23129040@student.hcmute.edu.vn </v>
      </c>
      <c r="I198" s="107" t="str">
        <f>VLOOKUP(C198,'[1]DM Đề tài SV ký HĐ (thay đổi)'!$B$1:$Q$475,16,0)</f>
        <v>0703967747</v>
      </c>
      <c r="J198" s="97" t="str">
        <f>VLOOKUP(C198,'[2]DM Đề tài SV ký HĐ (thay đổi)'!$B$1:$I$475,8,0)</f>
        <v>Điện - Điện tử</v>
      </c>
      <c r="K198" s="84" t="s">
        <v>1677</v>
      </c>
      <c r="L198" s="84" t="s">
        <v>453</v>
      </c>
      <c r="M198" s="97" t="str">
        <f>VLOOKUP(C198,'[2]DM Đề tài SV ký HĐ (thay đổi)'!$B$1:$O$475,13,0)</f>
        <v>vietnb@hcmute.edu.vn</v>
      </c>
      <c r="N198" s="97" t="str">
        <f>VLOOKUP(C198,'[2]DM Đề tài SV ký HĐ (thay đổi)'!$B$1:$M$475,12,0)</f>
        <v>Khoa Điện - Điện tử</v>
      </c>
      <c r="O198" s="84" t="s">
        <v>1732</v>
      </c>
      <c r="P198" s="92">
        <v>10000000</v>
      </c>
      <c r="Q198" s="84" t="s">
        <v>1648</v>
      </c>
      <c r="R198" s="84"/>
      <c r="S198" s="84"/>
      <c r="T198" s="101">
        <v>2</v>
      </c>
      <c r="U198" s="103" t="s">
        <v>1787</v>
      </c>
      <c r="V198" s="83"/>
      <c r="W198" s="84"/>
      <c r="X198" s="84"/>
      <c r="Y198" s="84"/>
      <c r="Z198" s="84"/>
      <c r="AA198" s="84"/>
      <c r="AB198" s="84"/>
      <c r="AC198" s="84"/>
      <c r="AD198" s="84"/>
      <c r="AE198" s="84"/>
      <c r="AF198" s="84"/>
      <c r="AG198" s="114" t="s">
        <v>1813</v>
      </c>
      <c r="AH198" s="84"/>
    </row>
    <row r="199" spans="1:34" s="87" customFormat="1" ht="109.2" customHeight="1" x14ac:dyDescent="0.25">
      <c r="A199" s="83">
        <v>285</v>
      </c>
      <c r="B199" s="118" t="str">
        <f t="shared" si="12"/>
        <v>300</v>
      </c>
      <c r="C199" s="84" t="s">
        <v>936</v>
      </c>
      <c r="D199" s="84" t="s">
        <v>505</v>
      </c>
      <c r="E199" s="84" t="s">
        <v>506</v>
      </c>
      <c r="F199" s="97" t="str">
        <f t="shared" si="13"/>
        <v xml:space="preserve">Từ Thái Đạt </v>
      </c>
      <c r="G199" s="100" t="str">
        <f t="shared" si="14"/>
        <v>22161238</v>
      </c>
      <c r="H199" s="100" t="str">
        <f>VLOOKUP(C199,'[1]DM Đề tài SV ký HĐ (thay đổi)'!$B$1:$Q$475,15,0)</f>
        <v>22161238@student.hcmute.edu.vn</v>
      </c>
      <c r="I199" s="107" t="str">
        <f>VLOOKUP(C199,'[1]DM Đề tài SV ký HĐ (thay đổi)'!$B$1:$Q$475,16,0)</f>
        <v>0768649507</v>
      </c>
      <c r="J199" s="97" t="str">
        <f>VLOOKUP(C199,'[2]DM Đề tài SV ký HĐ (thay đổi)'!$B$1:$I$475,8,0)</f>
        <v>Điện - Điện tử</v>
      </c>
      <c r="K199" s="84" t="s">
        <v>507</v>
      </c>
      <c r="L199" s="84" t="s">
        <v>403</v>
      </c>
      <c r="M199" s="97" t="str">
        <f>VLOOKUP(C199,'[2]DM Đề tài SV ký HĐ (thay đổi)'!$B$1:$O$475,13,0)</f>
        <v>anth@hcmute.edu.vn</v>
      </c>
      <c r="N199" s="97" t="str">
        <f>VLOOKUP(C199,'[2]DM Đề tài SV ký HĐ (thay đổi)'!$B$1:$M$475,12,0)</f>
        <v>Khoa Điện - Điện tử</v>
      </c>
      <c r="O199" s="84" t="s">
        <v>457</v>
      </c>
      <c r="P199" s="92">
        <v>15000000</v>
      </c>
      <c r="Q199" s="85" t="s">
        <v>1649</v>
      </c>
      <c r="R199" s="85"/>
      <c r="S199" s="85"/>
      <c r="T199" s="101">
        <v>2</v>
      </c>
      <c r="U199" s="101" t="s">
        <v>1787</v>
      </c>
      <c r="V199" s="83"/>
      <c r="W199" s="84"/>
      <c r="X199" s="84"/>
      <c r="Y199" s="84"/>
      <c r="Z199" s="84"/>
      <c r="AA199" s="84"/>
      <c r="AB199" s="84"/>
      <c r="AC199" s="84"/>
      <c r="AD199" s="84"/>
      <c r="AE199" s="84"/>
      <c r="AF199" s="84"/>
      <c r="AG199" s="114" t="s">
        <v>1813</v>
      </c>
      <c r="AH199" s="84"/>
    </row>
    <row r="200" spans="1:34" s="87" customFormat="1" ht="109.2" customHeight="1" x14ac:dyDescent="0.25">
      <c r="A200" s="83">
        <v>287</v>
      </c>
      <c r="B200" s="118" t="str">
        <f t="shared" si="12"/>
        <v>302</v>
      </c>
      <c r="C200" s="84" t="s">
        <v>937</v>
      </c>
      <c r="D200" s="84" t="s">
        <v>508</v>
      </c>
      <c r="E200" s="84" t="s">
        <v>509</v>
      </c>
      <c r="F200" s="97" t="str">
        <f t="shared" si="13"/>
        <v xml:space="preserve">Văng Công Quỳnh </v>
      </c>
      <c r="G200" s="100" t="str">
        <f t="shared" si="14"/>
        <v>23151305</v>
      </c>
      <c r="H200" s="100" t="str">
        <f>VLOOKUP(C200,'[1]DM Đề tài SV ký HĐ (thay đổi)'!$B$1:$Q$475,15,0)</f>
        <v>23151305@student.hcmute.edu.vn</v>
      </c>
      <c r="I200" s="107" t="str">
        <f>VLOOKUP(C200,'[1]DM Đề tài SV ký HĐ (thay đổi)'!$B$1:$Q$475,16,0)</f>
        <v>0965303305</v>
      </c>
      <c r="J200" s="97" t="str">
        <f>VLOOKUP(C200,'[2]DM Đề tài SV ký HĐ (thay đổi)'!$B$1:$I$475,8,0)</f>
        <v>Điện - Điện tử</v>
      </c>
      <c r="K200" s="84" t="s">
        <v>510</v>
      </c>
      <c r="L200" s="84" t="s">
        <v>343</v>
      </c>
      <c r="M200" s="97" t="str">
        <f>VLOOKUP(C200,'[2]DM Đề tài SV ký HĐ (thay đổi)'!$B$1:$O$475,13,0)</f>
        <v>theph@hcmute.edu.vn</v>
      </c>
      <c r="N200" s="97" t="str">
        <f>VLOOKUP(C200,'[2]DM Đề tài SV ký HĐ (thay đổi)'!$B$1:$M$475,12,0)</f>
        <v>Khoa Điện - Điện tử</v>
      </c>
      <c r="O200" s="84" t="s">
        <v>511</v>
      </c>
      <c r="P200" s="92">
        <v>5000000</v>
      </c>
      <c r="Q200" s="84" t="s">
        <v>1647</v>
      </c>
      <c r="R200" s="84"/>
      <c r="S200" s="84"/>
      <c r="T200" s="101">
        <v>2</v>
      </c>
      <c r="U200" s="101" t="s">
        <v>1787</v>
      </c>
      <c r="V200" s="83"/>
      <c r="W200" s="84"/>
      <c r="X200" s="84"/>
      <c r="Y200" s="84"/>
      <c r="Z200" s="84"/>
      <c r="AA200" s="84"/>
      <c r="AB200" s="84"/>
      <c r="AC200" s="84"/>
      <c r="AD200" s="84"/>
      <c r="AE200" s="84"/>
      <c r="AF200" s="84"/>
      <c r="AG200" s="114" t="s">
        <v>1813</v>
      </c>
      <c r="AH200" s="84"/>
    </row>
    <row r="201" spans="1:34" s="87" customFormat="1" ht="109.2" customHeight="1" x14ac:dyDescent="0.25">
      <c r="A201" s="83">
        <v>290</v>
      </c>
      <c r="B201" s="118" t="str">
        <f t="shared" ref="B201:B240" si="15">RIGHT(C201,3)</f>
        <v>305</v>
      </c>
      <c r="C201" s="84" t="s">
        <v>938</v>
      </c>
      <c r="D201" s="84" t="s">
        <v>512</v>
      </c>
      <c r="E201" s="84" t="s">
        <v>513</v>
      </c>
      <c r="F201" s="97" t="str">
        <f t="shared" si="13"/>
        <v xml:space="preserve">Võ Minh Thành </v>
      </c>
      <c r="G201" s="100" t="str">
        <f t="shared" si="14"/>
        <v>23151177</v>
      </c>
      <c r="H201" s="100" t="str">
        <f>VLOOKUP(C201,'[1]DM Đề tài SV ký HĐ (thay đổi)'!$B$1:$Q$475,15,0)</f>
        <v xml:space="preserve">23151177@student.hcmute.edu.vn </v>
      </c>
      <c r="I201" s="107" t="str">
        <f>VLOOKUP(C201,'[1]DM Đề tài SV ký HĐ (thay đổi)'!$B$1:$Q$475,16,0)</f>
        <v>0354226517</v>
      </c>
      <c r="J201" s="97" t="str">
        <f>VLOOKUP(C201,'[2]DM Đề tài SV ký HĐ (thay đổi)'!$B$1:$I$475,8,0)</f>
        <v>Điện - Điện tử</v>
      </c>
      <c r="K201" s="84" t="s">
        <v>514</v>
      </c>
      <c r="L201" s="84" t="s">
        <v>358</v>
      </c>
      <c r="M201" s="97" t="str">
        <f>VLOOKUP(C201,'[2]DM Đề tài SV ký HĐ (thay đổi)'!$B$1:$O$475,13,0)</f>
        <v>thaiph@hcmute.edu.vn</v>
      </c>
      <c r="N201" s="97" t="str">
        <f>VLOOKUP(C201,'[2]DM Đề tài SV ký HĐ (thay đổi)'!$B$1:$M$475,12,0)</f>
        <v>Khoa Điện - Điện tử</v>
      </c>
      <c r="O201" s="84" t="s">
        <v>1765</v>
      </c>
      <c r="P201" s="92">
        <v>10000000</v>
      </c>
      <c r="Q201" s="84" t="s">
        <v>1648</v>
      </c>
      <c r="R201" s="84"/>
      <c r="S201" s="84"/>
      <c r="T201" s="101">
        <v>2</v>
      </c>
      <c r="U201" s="101" t="s">
        <v>1787</v>
      </c>
      <c r="V201" s="83"/>
      <c r="W201" s="84"/>
      <c r="X201" s="84"/>
      <c r="Y201" s="84"/>
      <c r="Z201" s="84"/>
      <c r="AA201" s="84"/>
      <c r="AB201" s="84"/>
      <c r="AC201" s="84"/>
      <c r="AD201" s="84"/>
      <c r="AE201" s="84"/>
      <c r="AF201" s="84"/>
      <c r="AG201" s="113" t="s">
        <v>1814</v>
      </c>
      <c r="AH201" s="84"/>
    </row>
    <row r="202" spans="1:34" s="87" customFormat="1" ht="109.2" customHeight="1" x14ac:dyDescent="0.25">
      <c r="A202" s="83">
        <v>291</v>
      </c>
      <c r="B202" s="118" t="str">
        <f t="shared" si="15"/>
        <v>306</v>
      </c>
      <c r="C202" s="84" t="s">
        <v>939</v>
      </c>
      <c r="D202" s="84" t="s">
        <v>1661</v>
      </c>
      <c r="E202" s="84" t="s">
        <v>515</v>
      </c>
      <c r="F202" s="97" t="str">
        <f t="shared" si="13"/>
        <v xml:space="preserve">Võ Ngọc Trai </v>
      </c>
      <c r="G202" s="100" t="str">
        <f t="shared" si="14"/>
        <v>24119206</v>
      </c>
      <c r="H202" s="100" t="str">
        <f>VLOOKUP(C202,'[1]DM Đề tài SV ký HĐ (thay đổi)'!$B$1:$Q$475,15,0)</f>
        <v>24119206@student.hcmute.edu.vn</v>
      </c>
      <c r="I202" s="107" t="str">
        <f>VLOOKUP(C202,'[1]DM Đề tài SV ký HĐ (thay đổi)'!$B$1:$Q$475,16,0)</f>
        <v>0937924665</v>
      </c>
      <c r="J202" s="97" t="str">
        <f>VLOOKUP(C202,'[2]DM Đề tài SV ký HĐ (thay đổi)'!$B$1:$I$475,8,0)</f>
        <v>Điện - Điện tử</v>
      </c>
      <c r="K202" s="84" t="s">
        <v>516</v>
      </c>
      <c r="L202" s="84" t="s">
        <v>281</v>
      </c>
      <c r="M202" s="97" t="str">
        <f>VLOOKUP(C202,'[2]DM Đề tài SV ký HĐ (thay đổi)'!$B$1:$O$475,13,0)</f>
        <v>halm@hcmute.edu.vn</v>
      </c>
      <c r="N202" s="97" t="str">
        <f>VLOOKUP(C202,'[2]DM Đề tài SV ký HĐ (thay đổi)'!$B$1:$M$475,12,0)</f>
        <v>Khoa Điện - Điện tử</v>
      </c>
      <c r="O202" s="84" t="s">
        <v>517</v>
      </c>
      <c r="P202" s="92">
        <v>5000000</v>
      </c>
      <c r="Q202" s="84" t="s">
        <v>1647</v>
      </c>
      <c r="R202" s="84"/>
      <c r="S202" s="84"/>
      <c r="T202" s="103">
        <v>2</v>
      </c>
      <c r="U202" s="103" t="s">
        <v>1787</v>
      </c>
      <c r="V202" s="83"/>
      <c r="W202" s="84"/>
      <c r="X202" s="84"/>
      <c r="Y202" s="84"/>
      <c r="Z202" s="84"/>
      <c r="AA202" s="84"/>
      <c r="AB202" s="84"/>
      <c r="AC202" s="84"/>
      <c r="AD202" s="84"/>
      <c r="AE202" s="84"/>
      <c r="AF202" s="84"/>
      <c r="AG202" s="114" t="s">
        <v>1813</v>
      </c>
      <c r="AH202" s="84"/>
    </row>
    <row r="203" spans="1:34" s="87" customFormat="1" ht="109.2" customHeight="1" x14ac:dyDescent="0.25">
      <c r="A203" s="83">
        <v>292</v>
      </c>
      <c r="B203" s="83" t="str">
        <f t="shared" si="15"/>
        <v>307</v>
      </c>
      <c r="C203" s="84" t="s">
        <v>940</v>
      </c>
      <c r="D203" s="84" t="s">
        <v>518</v>
      </c>
      <c r="E203" s="84" t="s">
        <v>519</v>
      </c>
      <c r="F203" s="97" t="str">
        <f t="shared" si="13"/>
        <v xml:space="preserve">Võ Tấn Hưng </v>
      </c>
      <c r="G203" s="100" t="str">
        <f t="shared" si="14"/>
        <v>22161264</v>
      </c>
      <c r="H203" s="100" t="str">
        <f>VLOOKUP(C203,'[1]DM Đề tài SV ký HĐ (thay đổi)'!$B$1:$Q$475,15,0)</f>
        <v xml:space="preserve">22161264@student.hcmute.edu.vn  </v>
      </c>
      <c r="I203" s="107" t="str">
        <f>VLOOKUP(C203,'[1]DM Đề tài SV ký HĐ (thay đổi)'!$B$1:$Q$475,16,0)</f>
        <v>0868475873</v>
      </c>
      <c r="J203" s="97" t="str">
        <f>VLOOKUP(C203,'[2]DM Đề tài SV ký HĐ (thay đổi)'!$B$1:$I$475,8,0)</f>
        <v>Điện - Điện tử</v>
      </c>
      <c r="K203" s="84" t="s">
        <v>520</v>
      </c>
      <c r="L203" s="84" t="s">
        <v>378</v>
      </c>
      <c r="M203" s="97" t="str">
        <f>VLOOKUP(C203,'[2]DM Đề tài SV ký HĐ (thay đổi)'!$B$1:$O$475,13,0)</f>
        <v>hiepspkt@hcmute.edu.vn</v>
      </c>
      <c r="N203" s="97" t="str">
        <f>VLOOKUP(C203,'[2]DM Đề tài SV ký HĐ (thay đổi)'!$B$1:$M$475,12,0)</f>
        <v>Khoa Điện - Điện tử</v>
      </c>
      <c r="O203" s="84" t="s">
        <v>521</v>
      </c>
      <c r="P203" s="92">
        <v>10000000</v>
      </c>
      <c r="Q203" s="84" t="s">
        <v>1648</v>
      </c>
      <c r="R203" s="84"/>
      <c r="S203" s="84"/>
      <c r="T203" s="105" t="s">
        <v>1827</v>
      </c>
      <c r="U203" s="103"/>
      <c r="V203" s="83"/>
      <c r="W203" s="84"/>
      <c r="X203" s="84"/>
      <c r="Y203" s="84"/>
      <c r="Z203" s="84"/>
      <c r="AA203" s="84"/>
      <c r="AB203" s="84"/>
      <c r="AC203" s="84"/>
      <c r="AD203" s="84"/>
      <c r="AE203" s="84"/>
      <c r="AF203" s="84"/>
      <c r="AG203" s="85"/>
      <c r="AH203" s="96" t="s">
        <v>1818</v>
      </c>
    </row>
    <row r="204" spans="1:34" s="87" customFormat="1" ht="109.2" customHeight="1" x14ac:dyDescent="0.25">
      <c r="A204" s="83">
        <v>293</v>
      </c>
      <c r="B204" s="118" t="str">
        <f t="shared" si="15"/>
        <v>308</v>
      </c>
      <c r="C204" s="84" t="s">
        <v>941</v>
      </c>
      <c r="D204" s="84" t="s">
        <v>522</v>
      </c>
      <c r="E204" s="84" t="s">
        <v>1134</v>
      </c>
      <c r="F204" s="97" t="str">
        <f t="shared" si="13"/>
        <v xml:space="preserve">Cao Đăng Huy </v>
      </c>
      <c r="G204" s="100" t="str">
        <f t="shared" si="14"/>
        <v>23116059</v>
      </c>
      <c r="H204" s="100" t="str">
        <f>VLOOKUP(C204,'[1]DM Đề tài SV ký HĐ (thay đổi)'!$B$1:$Q$475,15,0)</f>
        <v xml:space="preserve">23116059@student.hcmute.edu.vn </v>
      </c>
      <c r="I204" s="107" t="str">
        <f>VLOOKUP(C204,'[1]DM Đề tài SV ký HĐ (thay đổi)'!$B$1:$Q$475,16,0)</f>
        <v>0915086728</v>
      </c>
      <c r="J204" s="97" t="str">
        <f>VLOOKUP(C204,'[2]DM Đề tài SV ký HĐ (thay đổi)'!$B$1:$I$475,8,0)</f>
        <v>CN Hóa học &amp; Thực phẩm</v>
      </c>
      <c r="K204" s="84" t="s">
        <v>1156</v>
      </c>
      <c r="L204" s="84" t="s">
        <v>726</v>
      </c>
      <c r="M204" s="97" t="str">
        <f>VLOOKUP(C204,'[2]DM Đề tài SV ký HĐ (thay đổi)'!$B$1:$O$475,13,0)</f>
        <v>hoanpt@hcmute.edu.vn</v>
      </c>
      <c r="N204" s="97" t="str">
        <f>VLOOKUP(C204,'[2]DM Đề tài SV ký HĐ (thay đổi)'!$B$1:$M$475,12,0)</f>
        <v>Khoa CNHH&amp;TP</v>
      </c>
      <c r="O204" s="88" t="s">
        <v>373</v>
      </c>
      <c r="P204" s="92">
        <v>5000000</v>
      </c>
      <c r="Q204" s="84" t="s">
        <v>1647</v>
      </c>
      <c r="R204" s="84"/>
      <c r="S204" s="84"/>
      <c r="T204" s="101">
        <v>2</v>
      </c>
      <c r="U204" s="101" t="s">
        <v>1787</v>
      </c>
      <c r="V204" s="83"/>
      <c r="W204" s="84"/>
      <c r="X204" s="84"/>
      <c r="Y204" s="84"/>
      <c r="Z204" s="84"/>
      <c r="AA204" s="84"/>
      <c r="AB204" s="84"/>
      <c r="AC204" s="84"/>
      <c r="AD204" s="84"/>
      <c r="AE204" s="84"/>
      <c r="AF204" s="84"/>
      <c r="AG204" s="114" t="s">
        <v>1813</v>
      </c>
      <c r="AH204" s="84"/>
    </row>
    <row r="205" spans="1:34" s="87" customFormat="1" ht="109.2" customHeight="1" x14ac:dyDescent="0.25">
      <c r="A205" s="83">
        <v>294</v>
      </c>
      <c r="B205" s="118" t="str">
        <f t="shared" si="15"/>
        <v>309</v>
      </c>
      <c r="C205" s="84" t="s">
        <v>942</v>
      </c>
      <c r="D205" s="84" t="s">
        <v>1546</v>
      </c>
      <c r="E205" s="84" t="s">
        <v>1135</v>
      </c>
      <c r="F205" s="97" t="str">
        <f t="shared" si="13"/>
        <v xml:space="preserve">Diệp Thế Vinh </v>
      </c>
      <c r="G205" s="100" t="str">
        <f t="shared" si="14"/>
        <v>23128080</v>
      </c>
      <c r="H205" s="100" t="str">
        <f>VLOOKUP(C205,'[1]DM Đề tài SV ký HĐ (thay đổi)'!$B$1:$Q$475,15,0)</f>
        <v>23128080@student.hcmute.edu.vn</v>
      </c>
      <c r="I205" s="107" t="str">
        <f>VLOOKUP(C205,'[1]DM Đề tài SV ký HĐ (thay đổi)'!$B$1:$Q$475,16,0)</f>
        <v>0949719340</v>
      </c>
      <c r="J205" s="97" t="str">
        <f>VLOOKUP(C205,'[2]DM Đề tài SV ký HĐ (thay đổi)'!$B$1:$I$475,8,0)</f>
        <v>CN Hóa học &amp; Thực phẩm</v>
      </c>
      <c r="K205" s="84" t="s">
        <v>1155</v>
      </c>
      <c r="L205" s="84" t="s">
        <v>694</v>
      </c>
      <c r="M205" s="97" t="str">
        <f>VLOOKUP(C205,'[2]DM Đề tài SV ký HĐ (thay đổi)'!$B$1:$O$475,13,0)</f>
        <v>daopta@hcmute.edu.vn</v>
      </c>
      <c r="N205" s="97" t="str">
        <f>VLOOKUP(C205,'[2]DM Đề tài SV ký HĐ (thay đổi)'!$B$1:$M$475,12,0)</f>
        <v>Khoa CNHH&amp;TP</v>
      </c>
      <c r="O205" s="88" t="s">
        <v>373</v>
      </c>
      <c r="P205" s="92">
        <v>5000000</v>
      </c>
      <c r="Q205" s="84" t="s">
        <v>1647</v>
      </c>
      <c r="R205" s="84"/>
      <c r="S205" s="84"/>
      <c r="T205" s="101">
        <v>2</v>
      </c>
      <c r="U205" s="101" t="s">
        <v>1787</v>
      </c>
      <c r="V205" s="83"/>
      <c r="W205" s="84"/>
      <c r="X205" s="84"/>
      <c r="Y205" s="84"/>
      <c r="Z205" s="84"/>
      <c r="AA205" s="84"/>
      <c r="AB205" s="84"/>
      <c r="AC205" s="84"/>
      <c r="AD205" s="84"/>
      <c r="AE205" s="84"/>
      <c r="AF205" s="84"/>
      <c r="AG205" s="114" t="s">
        <v>1813</v>
      </c>
      <c r="AH205" s="84"/>
    </row>
    <row r="206" spans="1:34" s="87" customFormat="1" ht="109.2" customHeight="1" x14ac:dyDescent="0.25">
      <c r="A206" s="83">
        <v>296</v>
      </c>
      <c r="B206" s="118" t="str">
        <f t="shared" si="15"/>
        <v>311</v>
      </c>
      <c r="C206" s="84" t="s">
        <v>943</v>
      </c>
      <c r="D206" s="84" t="s">
        <v>523</v>
      </c>
      <c r="E206" s="84" t="s">
        <v>1550</v>
      </c>
      <c r="F206" s="97" t="str">
        <f t="shared" si="13"/>
        <v xml:space="preserve">Lê Minh Hoàng Lân </v>
      </c>
      <c r="G206" s="100" t="str">
        <f t="shared" si="14"/>
        <v>23128125</v>
      </c>
      <c r="H206" s="100" t="str">
        <f>VLOOKUP(C206,'[1]DM Đề tài SV ký HĐ (thay đổi)'!$B$1:$Q$475,15,0)</f>
        <v>23128125@student.hcmute.edu.vn</v>
      </c>
      <c r="I206" s="107" t="str">
        <f>VLOOKUP(C206,'[1]DM Đề tài SV ký HĐ (thay đổi)'!$B$1:$Q$475,16,0)</f>
        <v>0846361464</v>
      </c>
      <c r="J206" s="97" t="str">
        <f>VLOOKUP(C206,'[2]DM Đề tài SV ký HĐ (thay đổi)'!$B$1:$I$475,8,0)</f>
        <v>CN Hóa học &amp; Thực phẩm</v>
      </c>
      <c r="K206" s="84" t="s">
        <v>1136</v>
      </c>
      <c r="L206" s="84" t="s">
        <v>722</v>
      </c>
      <c r="M206" s="97" t="str">
        <f>VLOOKUP(C206,'[2]DM Đề tài SV ký HĐ (thay đổi)'!$B$1:$O$475,13,0)</f>
        <v>quynv@hcmute.edu.vn</v>
      </c>
      <c r="N206" s="97" t="str">
        <f>VLOOKUP(C206,'[2]DM Đề tài SV ký HĐ (thay đổi)'!$B$1:$M$475,12,0)</f>
        <v>Khoa CNHH&amp;TP</v>
      </c>
      <c r="O206" s="88" t="s">
        <v>373</v>
      </c>
      <c r="P206" s="92">
        <v>5000000</v>
      </c>
      <c r="Q206" s="84" t="s">
        <v>1647</v>
      </c>
      <c r="R206" s="84"/>
      <c r="S206" s="84"/>
      <c r="T206" s="101">
        <v>2</v>
      </c>
      <c r="U206" s="101" t="s">
        <v>1787</v>
      </c>
      <c r="V206" s="83" t="s">
        <v>1826</v>
      </c>
      <c r="W206" s="84"/>
      <c r="X206" s="84"/>
      <c r="Y206" s="84"/>
      <c r="Z206" s="84"/>
      <c r="AA206" s="84"/>
      <c r="AB206" s="84"/>
      <c r="AC206" s="84"/>
      <c r="AD206" s="84"/>
      <c r="AE206" s="84"/>
      <c r="AF206" s="84"/>
      <c r="AG206" s="113" t="s">
        <v>1814</v>
      </c>
      <c r="AH206" s="84"/>
    </row>
    <row r="207" spans="1:34" s="87" customFormat="1" ht="109.2" customHeight="1" x14ac:dyDescent="0.25">
      <c r="A207" s="83">
        <v>298</v>
      </c>
      <c r="B207" s="118" t="str">
        <f t="shared" si="15"/>
        <v>313</v>
      </c>
      <c r="C207" s="84" t="s">
        <v>944</v>
      </c>
      <c r="D207" s="84" t="s">
        <v>524</v>
      </c>
      <c r="E207" s="84" t="s">
        <v>1137</v>
      </c>
      <c r="F207" s="97" t="str">
        <f t="shared" si="13"/>
        <v xml:space="preserve">Lê Tấn Tài </v>
      </c>
      <c r="G207" s="100" t="str">
        <f t="shared" si="14"/>
        <v>23128055</v>
      </c>
      <c r="H207" s="100" t="str">
        <f>VLOOKUP(C207,'[1]DM Đề tài SV ký HĐ (thay đổi)'!$B$1:$Q$475,15,0)</f>
        <v>23128055@student.hcmute.edu.vn</v>
      </c>
      <c r="I207" s="107" t="str">
        <f>VLOOKUP(C207,'[1]DM Đề tài SV ký HĐ (thay đổi)'!$B$1:$Q$475,16,0)</f>
        <v>0888409339</v>
      </c>
      <c r="J207" s="97" t="str">
        <f>VLOOKUP(C207,'[2]DM Đề tài SV ký HĐ (thay đổi)'!$B$1:$I$475,8,0)</f>
        <v>CN Hóa học &amp; Thực phẩm</v>
      </c>
      <c r="K207" s="84" t="s">
        <v>1138</v>
      </c>
      <c r="L207" s="84" t="s">
        <v>709</v>
      </c>
      <c r="M207" s="97" t="str">
        <f>VLOOKUP(C207,'[2]DM Đề tài SV ký HĐ (thay đổi)'!$B$1:$O$475,13,0)</f>
        <v>nhiemlt@hcmute.edu.vn</v>
      </c>
      <c r="N207" s="97" t="str">
        <f>VLOOKUP(C207,'[2]DM Đề tài SV ký HĐ (thay đổi)'!$B$1:$M$475,12,0)</f>
        <v>Khoa CNHH&amp;TP</v>
      </c>
      <c r="O207" s="88" t="s">
        <v>373</v>
      </c>
      <c r="P207" s="92">
        <v>5000000</v>
      </c>
      <c r="Q207" s="84" t="s">
        <v>1647</v>
      </c>
      <c r="R207" s="84"/>
      <c r="S207" s="84"/>
      <c r="T207" s="105">
        <v>2</v>
      </c>
      <c r="U207" s="103" t="s">
        <v>1787</v>
      </c>
      <c r="V207" s="83"/>
      <c r="W207" s="84"/>
      <c r="X207" s="84"/>
      <c r="Y207" s="84"/>
      <c r="Z207" s="84"/>
      <c r="AA207" s="84"/>
      <c r="AB207" s="84"/>
      <c r="AC207" s="84"/>
      <c r="AD207" s="84"/>
      <c r="AE207" s="84"/>
      <c r="AF207" s="84"/>
      <c r="AG207" s="114" t="s">
        <v>1813</v>
      </c>
      <c r="AH207" s="84"/>
    </row>
    <row r="208" spans="1:34" s="87" customFormat="1" ht="109.2" customHeight="1" x14ac:dyDescent="0.25">
      <c r="A208" s="83">
        <v>301</v>
      </c>
      <c r="B208" s="118" t="str">
        <f t="shared" si="15"/>
        <v>316</v>
      </c>
      <c r="C208" s="84" t="s">
        <v>945</v>
      </c>
      <c r="D208" s="84" t="s">
        <v>525</v>
      </c>
      <c r="E208" s="84" t="s">
        <v>1139</v>
      </c>
      <c r="F208" s="97" t="str">
        <f t="shared" si="13"/>
        <v xml:space="preserve">Lý Trung Hiếu </v>
      </c>
      <c r="G208" s="100" t="str">
        <f t="shared" si="14"/>
        <v>23128114</v>
      </c>
      <c r="H208" s="100" t="str">
        <f>VLOOKUP(C208,'[1]DM Đề tài SV ký HĐ (thay đổi)'!$B$1:$Q$475,15,0)</f>
        <v>23128114@student.hcmute.edu.vn</v>
      </c>
      <c r="I208" s="107" t="str">
        <f>VLOOKUP(C208,'[1]DM Đề tài SV ký HĐ (thay đổi)'!$B$1:$Q$475,16,0)</f>
        <v>0968655316</v>
      </c>
      <c r="J208" s="97" t="str">
        <f>VLOOKUP(C208,'[2]DM Đề tài SV ký HĐ (thay đổi)'!$B$1:$I$475,8,0)</f>
        <v>CN Hóa học &amp; Thực phẩm</v>
      </c>
      <c r="K208" s="84" t="s">
        <v>1496</v>
      </c>
      <c r="L208" s="84" t="s">
        <v>722</v>
      </c>
      <c r="M208" s="97" t="str">
        <f>VLOOKUP(C208,'[2]DM Đề tài SV ký HĐ (thay đổi)'!$B$1:$O$475,13,0)</f>
        <v>quynv@hcmute.edu.vn</v>
      </c>
      <c r="N208" s="97" t="str">
        <f>VLOOKUP(C208,'[2]DM Đề tài SV ký HĐ (thay đổi)'!$B$1:$M$475,12,0)</f>
        <v>Khoa CNHH&amp;TP</v>
      </c>
      <c r="O208" s="88" t="s">
        <v>373</v>
      </c>
      <c r="P208" s="92">
        <v>5000000</v>
      </c>
      <c r="Q208" s="84" t="s">
        <v>1647</v>
      </c>
      <c r="R208" s="84"/>
      <c r="S208" s="84"/>
      <c r="T208" s="101">
        <v>2</v>
      </c>
      <c r="U208" s="101" t="s">
        <v>1787</v>
      </c>
      <c r="V208" s="83"/>
      <c r="W208" s="84"/>
      <c r="X208" s="84"/>
      <c r="Y208" s="84"/>
      <c r="Z208" s="84"/>
      <c r="AA208" s="84"/>
      <c r="AB208" s="84"/>
      <c r="AC208" s="84"/>
      <c r="AD208" s="84"/>
      <c r="AE208" s="84"/>
      <c r="AF208" s="84"/>
      <c r="AG208" s="114" t="s">
        <v>1813</v>
      </c>
      <c r="AH208" s="84"/>
    </row>
    <row r="209" spans="1:34" s="87" customFormat="1" ht="109.2" customHeight="1" x14ac:dyDescent="0.25">
      <c r="A209" s="83">
        <v>303</v>
      </c>
      <c r="B209" s="118" t="str">
        <f t="shared" si="15"/>
        <v>318</v>
      </c>
      <c r="C209" s="84" t="s">
        <v>946</v>
      </c>
      <c r="D209" s="84" t="s">
        <v>526</v>
      </c>
      <c r="E209" s="84" t="s">
        <v>1140</v>
      </c>
      <c r="F209" s="97" t="str">
        <f t="shared" si="13"/>
        <v xml:space="preserve">Nguyễn Đinh Phước Kỳ </v>
      </c>
      <c r="G209" s="100" t="str">
        <f t="shared" si="14"/>
        <v>23128124</v>
      </c>
      <c r="H209" s="100" t="str">
        <f>VLOOKUP(C209,'[1]DM Đề tài SV ký HĐ (thay đổi)'!$B$1:$Q$475,15,0)</f>
        <v xml:space="preserve">23128124@student.hcmute.edu.vn  </v>
      </c>
      <c r="I209" s="107" t="str">
        <f>VLOOKUP(C209,'[1]DM Đề tài SV ký HĐ (thay đổi)'!$B$1:$Q$475,16,0)</f>
        <v>0399912040</v>
      </c>
      <c r="J209" s="97" t="str">
        <f>VLOOKUP(C209,'[2]DM Đề tài SV ký HĐ (thay đổi)'!$B$1:$I$475,8,0)</f>
        <v>CN Hóa học &amp; Thực phẩm</v>
      </c>
      <c r="K209" s="84" t="s">
        <v>1497</v>
      </c>
      <c r="L209" s="84" t="s">
        <v>707</v>
      </c>
      <c r="M209" s="97" t="str">
        <f>VLOOKUP(C209,'[2]DM Đề tài SV ký HĐ (thay đổi)'!$B$1:$O$475,13,0)</f>
        <v>tuanhna@hcmute.edu.vn</v>
      </c>
      <c r="N209" s="97" t="str">
        <f>VLOOKUP(C209,'[2]DM Đề tài SV ký HĐ (thay đổi)'!$B$1:$M$475,12,0)</f>
        <v>Khoa CNHH&amp;TP</v>
      </c>
      <c r="O209" s="88" t="s">
        <v>373</v>
      </c>
      <c r="P209" s="92">
        <v>5000000</v>
      </c>
      <c r="Q209" s="84" t="s">
        <v>1647</v>
      </c>
      <c r="R209" s="84"/>
      <c r="S209" s="84"/>
      <c r="T209" s="103">
        <v>2</v>
      </c>
      <c r="U209" s="103" t="s">
        <v>1787</v>
      </c>
      <c r="V209" s="83"/>
      <c r="W209" s="84"/>
      <c r="X209" s="84"/>
      <c r="Y209" s="84"/>
      <c r="Z209" s="84"/>
      <c r="AA209" s="84"/>
      <c r="AB209" s="84"/>
      <c r="AC209" s="84"/>
      <c r="AD209" s="84"/>
      <c r="AE209" s="84"/>
      <c r="AF209" s="84"/>
      <c r="AG209" s="113" t="s">
        <v>1814</v>
      </c>
      <c r="AH209" s="84"/>
    </row>
    <row r="210" spans="1:34" s="87" customFormat="1" ht="109.2" customHeight="1" x14ac:dyDescent="0.25">
      <c r="A210" s="83">
        <v>308</v>
      </c>
      <c r="B210" s="118" t="str">
        <f t="shared" si="15"/>
        <v>323</v>
      </c>
      <c r="C210" s="84" t="s">
        <v>947</v>
      </c>
      <c r="D210" s="84" t="s">
        <v>527</v>
      </c>
      <c r="E210" s="84" t="s">
        <v>1141</v>
      </c>
      <c r="F210" s="97" t="str">
        <f t="shared" si="13"/>
        <v xml:space="preserve">Nguyễn Quốc Duy </v>
      </c>
      <c r="G210" s="100" t="str">
        <f t="shared" si="14"/>
        <v>23150026</v>
      </c>
      <c r="H210" s="100" t="str">
        <f>VLOOKUP(C210,'[1]DM Đề tài SV ký HĐ (thay đổi)'!$B$1:$Q$475,15,0)</f>
        <v>23150026@student.hcmute.edu.vn</v>
      </c>
      <c r="I210" s="107" t="str">
        <f>VLOOKUP(C210,'[1]DM Đề tài SV ký HĐ (thay đổi)'!$B$1:$Q$475,16,0)</f>
        <v>0836810902</v>
      </c>
      <c r="J210" s="97" t="str">
        <f>VLOOKUP(C210,'[2]DM Đề tài SV ký HĐ (thay đổi)'!$B$1:$I$475,8,0)</f>
        <v>CN Hóa học &amp; Thực phẩm</v>
      </c>
      <c r="K210" s="84" t="s">
        <v>1158</v>
      </c>
      <c r="L210" s="84" t="s">
        <v>714</v>
      </c>
      <c r="M210" s="97" t="str">
        <f>VLOOKUP(C210,'[2]DM Đề tài SV ký HĐ (thay đổi)'!$B$1:$O$475,13,0)</f>
        <v>datnd@hcmute.edu.vn</v>
      </c>
      <c r="N210" s="97" t="str">
        <f>VLOOKUP(C210,'[2]DM Đề tài SV ký HĐ (thay đổi)'!$B$1:$M$475,12,0)</f>
        <v>Khoa CNHH&amp;TP</v>
      </c>
      <c r="O210" s="88" t="s">
        <v>373</v>
      </c>
      <c r="P210" s="92">
        <v>5000000</v>
      </c>
      <c r="Q210" s="84" t="s">
        <v>1647</v>
      </c>
      <c r="R210" s="84"/>
      <c r="S210" s="84"/>
      <c r="T210" s="101">
        <v>2</v>
      </c>
      <c r="U210" s="101" t="s">
        <v>1787</v>
      </c>
      <c r="V210" s="83"/>
      <c r="W210" s="84"/>
      <c r="X210" s="84"/>
      <c r="Y210" s="84"/>
      <c r="Z210" s="84"/>
      <c r="AA210" s="84"/>
      <c r="AB210" s="84"/>
      <c r="AC210" s="84"/>
      <c r="AD210" s="84"/>
      <c r="AE210" s="84"/>
      <c r="AF210" s="84"/>
      <c r="AG210" s="113" t="s">
        <v>1814</v>
      </c>
      <c r="AH210" s="84"/>
    </row>
    <row r="211" spans="1:34" s="87" customFormat="1" ht="109.2" customHeight="1" x14ac:dyDescent="0.25">
      <c r="A211" s="83">
        <v>309</v>
      </c>
      <c r="B211" s="118" t="str">
        <f t="shared" si="15"/>
        <v>324</v>
      </c>
      <c r="C211" s="84" t="s">
        <v>948</v>
      </c>
      <c r="D211" s="84" t="s">
        <v>528</v>
      </c>
      <c r="E211" s="84" t="s">
        <v>1157</v>
      </c>
      <c r="F211" s="97" t="str">
        <f t="shared" si="13"/>
        <v xml:space="preserve">Nguyễn Thành Thắng </v>
      </c>
      <c r="G211" s="100" t="str">
        <f t="shared" si="14"/>
        <v>23128170</v>
      </c>
      <c r="H211" s="100" t="str">
        <f>VLOOKUP(C211,'[1]DM Đề tài SV ký HĐ (thay đổi)'!$B$1:$Q$475,15,0)</f>
        <v>23128170@student.hcmute.edu.vn</v>
      </c>
      <c r="I211" s="107" t="str">
        <f>VLOOKUP(C211,'[1]DM Đề tài SV ký HĐ (thay đổi)'!$B$1:$Q$475,16,0)</f>
        <v>0911451860</v>
      </c>
      <c r="J211" s="97" t="str">
        <f>VLOOKUP(C211,'[2]DM Đề tài SV ký HĐ (thay đổi)'!$B$1:$I$475,8,0)</f>
        <v>CN Hóa học &amp; Thực phẩm</v>
      </c>
      <c r="K211" s="84" t="s">
        <v>1747</v>
      </c>
      <c r="L211" s="84" t="s">
        <v>717</v>
      </c>
      <c r="M211" s="97" t="str">
        <f>VLOOKUP(C211,'[2]DM Đề tài SV ký HĐ (thay đổi)'!$B$1:$O$475,13,0)</f>
        <v>ntsang@hcmute.edu.vn</v>
      </c>
      <c r="N211" s="97" t="str">
        <f>VLOOKUP(C211,'[2]DM Đề tài SV ký HĐ (thay đổi)'!$B$1:$M$475,12,0)</f>
        <v>Khoa CNHH&amp;TP</v>
      </c>
      <c r="O211" s="88" t="s">
        <v>373</v>
      </c>
      <c r="P211" s="92">
        <v>5000000</v>
      </c>
      <c r="Q211" s="84" t="s">
        <v>1647</v>
      </c>
      <c r="R211" s="84"/>
      <c r="S211" s="84"/>
      <c r="T211" s="101">
        <v>2</v>
      </c>
      <c r="U211" s="101" t="s">
        <v>1787</v>
      </c>
      <c r="V211" s="83"/>
      <c r="W211" s="84"/>
      <c r="X211" s="84"/>
      <c r="Y211" s="84"/>
      <c r="Z211" s="84"/>
      <c r="AA211" s="84"/>
      <c r="AB211" s="84"/>
      <c r="AC211" s="84"/>
      <c r="AD211" s="84"/>
      <c r="AE211" s="84"/>
      <c r="AF211" s="84"/>
      <c r="AG211" s="113" t="s">
        <v>1814</v>
      </c>
      <c r="AH211" s="84"/>
    </row>
    <row r="212" spans="1:34" s="87" customFormat="1" ht="109.2" customHeight="1" x14ac:dyDescent="0.25">
      <c r="A212" s="83">
        <v>311</v>
      </c>
      <c r="B212" s="118" t="str">
        <f t="shared" si="15"/>
        <v>326</v>
      </c>
      <c r="C212" s="84" t="s">
        <v>949</v>
      </c>
      <c r="D212" s="84" t="s">
        <v>529</v>
      </c>
      <c r="E212" s="84" t="s">
        <v>1631</v>
      </c>
      <c r="F212" s="97" t="str">
        <f t="shared" si="13"/>
        <v xml:space="preserve">Nguyễn Thị Bảo Ngọc </v>
      </c>
      <c r="G212" s="100" t="str">
        <f t="shared" si="14"/>
        <v>23150048</v>
      </c>
      <c r="H212" s="100" t="str">
        <f>VLOOKUP(C212,'[1]DM Đề tài SV ký HĐ (thay đổi)'!$B$1:$Q$475,15,0)</f>
        <v>23150048@student.hcmute.edu.vn</v>
      </c>
      <c r="I212" s="107" t="str">
        <f>VLOOKUP(C212,'[1]DM Đề tài SV ký HĐ (thay đổi)'!$B$1:$Q$475,16,0)</f>
        <v>0399846271</v>
      </c>
      <c r="J212" s="97" t="str">
        <f>VLOOKUP(C212,'[2]DM Đề tài SV ký HĐ (thay đổi)'!$B$1:$I$475,8,0)</f>
        <v>CN Hóa học &amp; Thực phẩm</v>
      </c>
      <c r="K212" s="84" t="s">
        <v>1572</v>
      </c>
      <c r="L212" s="84" t="s">
        <v>731</v>
      </c>
      <c r="M212" s="97" t="str">
        <f>VLOOKUP(C212,'[2]DM Đề tài SV ký HĐ (thay đổi)'!$B$1:$O$475,13,0)</f>
        <v>anhttk@hcmute.edu.vn</v>
      </c>
      <c r="N212" s="97" t="str">
        <f>VLOOKUP(C212,'[2]DM Đề tài SV ký HĐ (thay đổi)'!$B$1:$M$475,12,0)</f>
        <v>Khoa CNHH&amp;TP</v>
      </c>
      <c r="O212" s="88" t="s">
        <v>1164</v>
      </c>
      <c r="P212" s="92">
        <v>10000000</v>
      </c>
      <c r="Q212" s="84" t="s">
        <v>1648</v>
      </c>
      <c r="R212" s="84"/>
      <c r="S212" s="84"/>
      <c r="T212" s="101">
        <v>2</v>
      </c>
      <c r="U212" s="101" t="s">
        <v>1787</v>
      </c>
      <c r="V212" s="83"/>
      <c r="W212" s="84"/>
      <c r="X212" s="84"/>
      <c r="Y212" s="84"/>
      <c r="Z212" s="84"/>
      <c r="AA212" s="84"/>
      <c r="AB212" s="84"/>
      <c r="AC212" s="84"/>
      <c r="AD212" s="84"/>
      <c r="AE212" s="84"/>
      <c r="AF212" s="84"/>
      <c r="AG212" s="113" t="s">
        <v>1814</v>
      </c>
      <c r="AH212" s="84"/>
    </row>
    <row r="213" spans="1:34" s="87" customFormat="1" ht="109.2" customHeight="1" x14ac:dyDescent="0.25">
      <c r="A213" s="83">
        <v>312</v>
      </c>
      <c r="B213" s="118" t="str">
        <f t="shared" si="15"/>
        <v>327</v>
      </c>
      <c r="C213" s="84" t="s">
        <v>950</v>
      </c>
      <c r="D213" s="84" t="s">
        <v>530</v>
      </c>
      <c r="E213" s="84" t="s">
        <v>1142</v>
      </c>
      <c r="F213" s="97" t="str">
        <f t="shared" si="13"/>
        <v xml:space="preserve">Nguyễn Thị Phương Linh </v>
      </c>
      <c r="G213" s="100" t="str">
        <f t="shared" si="14"/>
        <v>24150032</v>
      </c>
      <c r="H213" s="100" t="str">
        <f>VLOOKUP(C213,'[1]DM Đề tài SV ký HĐ (thay đổi)'!$B$1:$Q$475,15,0)</f>
        <v>24150032@student.hcmute.edu.vn</v>
      </c>
      <c r="I213" s="107" t="str">
        <f>VLOOKUP(C213,'[1]DM Đề tài SV ký HĐ (thay đổi)'!$B$1:$Q$475,16,0)</f>
        <v>0868338835</v>
      </c>
      <c r="J213" s="97" t="str">
        <f>VLOOKUP(C213,'[2]DM Đề tài SV ký HĐ (thay đổi)'!$B$1:$I$475,8,0)</f>
        <v>CN Hóa học &amp; Thực phẩm</v>
      </c>
      <c r="K213" s="84" t="s">
        <v>1498</v>
      </c>
      <c r="L213" s="84" t="s">
        <v>714</v>
      </c>
      <c r="M213" s="97" t="str">
        <f>VLOOKUP(C213,'[2]DM Đề tài SV ký HĐ (thay đổi)'!$B$1:$O$475,13,0)</f>
        <v>datnd@hcmute.edu.vn</v>
      </c>
      <c r="N213" s="97" t="str">
        <f>VLOOKUP(C213,'[2]DM Đề tài SV ký HĐ (thay đổi)'!$B$1:$M$475,12,0)</f>
        <v>Khoa CNHH&amp;TP</v>
      </c>
      <c r="O213" s="88" t="s">
        <v>1165</v>
      </c>
      <c r="P213" s="92">
        <v>10000000</v>
      </c>
      <c r="Q213" s="84" t="s">
        <v>1648</v>
      </c>
      <c r="R213" s="84"/>
      <c r="S213" s="84"/>
      <c r="T213" s="101">
        <v>2</v>
      </c>
      <c r="U213" s="101" t="s">
        <v>1787</v>
      </c>
      <c r="V213" s="83"/>
      <c r="W213" s="84"/>
      <c r="X213" s="84"/>
      <c r="Y213" s="84"/>
      <c r="Z213" s="84"/>
      <c r="AA213" s="84"/>
      <c r="AB213" s="84"/>
      <c r="AC213" s="84"/>
      <c r="AD213" s="84"/>
      <c r="AE213" s="84"/>
      <c r="AF213" s="84"/>
      <c r="AG213" s="113" t="s">
        <v>1814</v>
      </c>
      <c r="AH213" s="84"/>
    </row>
    <row r="214" spans="1:34" s="87" customFormat="1" ht="109.2" customHeight="1" x14ac:dyDescent="0.25">
      <c r="A214" s="83">
        <v>313</v>
      </c>
      <c r="B214" s="118" t="str">
        <f t="shared" si="15"/>
        <v>328</v>
      </c>
      <c r="C214" s="84" t="s">
        <v>951</v>
      </c>
      <c r="D214" s="84" t="s">
        <v>531</v>
      </c>
      <c r="E214" s="84" t="s">
        <v>1143</v>
      </c>
      <c r="F214" s="97" t="str">
        <f t="shared" si="13"/>
        <v xml:space="preserve">Nguyễn Văn Bách </v>
      </c>
      <c r="G214" s="100" t="str">
        <f t="shared" si="14"/>
        <v>24150005</v>
      </c>
      <c r="H214" s="100" t="str">
        <f>VLOOKUP(C214,'[1]DM Đề tài SV ký HĐ (thay đổi)'!$B$1:$Q$475,15,0)</f>
        <v>24150005@student.hcmute.edu.vn</v>
      </c>
      <c r="I214" s="107" t="str">
        <f>VLOOKUP(C214,'[1]DM Đề tài SV ký HĐ (thay đổi)'!$B$1:$Q$475,16,0)</f>
        <v>0328068215</v>
      </c>
      <c r="J214" s="97" t="str">
        <f>VLOOKUP(C214,'[2]DM Đề tài SV ký HĐ (thay đổi)'!$B$1:$I$475,8,0)</f>
        <v>CN Hóa học &amp; Thực phẩm</v>
      </c>
      <c r="K214" s="84" t="s">
        <v>1159</v>
      </c>
      <c r="L214" s="84" t="s">
        <v>714</v>
      </c>
      <c r="M214" s="97" t="str">
        <f>VLOOKUP(C214,'[2]DM Đề tài SV ký HĐ (thay đổi)'!$B$1:$O$475,13,0)</f>
        <v>datnd@hcmute.edu.vn</v>
      </c>
      <c r="N214" s="97" t="str">
        <f>VLOOKUP(C214,'[2]DM Đề tài SV ký HĐ (thay đổi)'!$B$1:$M$475,12,0)</f>
        <v>Khoa CNHH&amp;TP</v>
      </c>
      <c r="O214" s="88" t="s">
        <v>1166</v>
      </c>
      <c r="P214" s="92">
        <v>10000000</v>
      </c>
      <c r="Q214" s="84" t="s">
        <v>1648</v>
      </c>
      <c r="R214" s="84"/>
      <c r="S214" s="84"/>
      <c r="T214" s="101">
        <v>2</v>
      </c>
      <c r="U214" s="101" t="s">
        <v>1787</v>
      </c>
      <c r="V214" s="83"/>
      <c r="W214" s="84"/>
      <c r="X214" s="84"/>
      <c r="Y214" s="84"/>
      <c r="Z214" s="84"/>
      <c r="AA214" s="84"/>
      <c r="AB214" s="84"/>
      <c r="AC214" s="84"/>
      <c r="AD214" s="84"/>
      <c r="AE214" s="84"/>
      <c r="AF214" s="84"/>
      <c r="AG214" s="113" t="s">
        <v>1814</v>
      </c>
      <c r="AH214" s="84"/>
    </row>
    <row r="215" spans="1:34" s="87" customFormat="1" ht="109.2" customHeight="1" x14ac:dyDescent="0.25">
      <c r="A215" s="83">
        <v>314</v>
      </c>
      <c r="B215" s="118" t="str">
        <f t="shared" si="15"/>
        <v>329</v>
      </c>
      <c r="C215" s="84" t="s">
        <v>952</v>
      </c>
      <c r="D215" s="84" t="s">
        <v>532</v>
      </c>
      <c r="E215" s="84" t="s">
        <v>1144</v>
      </c>
      <c r="F215" s="97" t="str">
        <f t="shared" si="13"/>
        <v xml:space="preserve">Phan Đăng Bảo </v>
      </c>
      <c r="G215" s="100" t="str">
        <f t="shared" si="14"/>
        <v>23128091</v>
      </c>
      <c r="H215" s="100" t="str">
        <f>VLOOKUP(C215,'[1]DM Đề tài SV ký HĐ (thay đổi)'!$B$1:$Q$475,15,0)</f>
        <v>23128091@student.hcmute.edu.vn</v>
      </c>
      <c r="I215" s="107" t="str">
        <f>VLOOKUP(C215,'[1]DM Đề tài SV ký HĐ (thay đổi)'!$B$1:$Q$475,16,0)</f>
        <v>0969757905</v>
      </c>
      <c r="J215" s="97" t="str">
        <f>VLOOKUP(C215,'[2]DM Đề tài SV ký HĐ (thay đổi)'!$B$1:$I$475,8,0)</f>
        <v>CN Hóa học &amp; Thực phẩm</v>
      </c>
      <c r="K215" s="84" t="s">
        <v>1160</v>
      </c>
      <c r="L215" s="84" t="s">
        <v>722</v>
      </c>
      <c r="M215" s="97" t="str">
        <f>VLOOKUP(C215,'[2]DM Đề tài SV ký HĐ (thay đổi)'!$B$1:$O$475,13,0)</f>
        <v>quynv@hcmute.edu.vn</v>
      </c>
      <c r="N215" s="97" t="str">
        <f>VLOOKUP(C215,'[2]DM Đề tài SV ký HĐ (thay đổi)'!$B$1:$M$475,12,0)</f>
        <v>Khoa CNHH&amp;TP</v>
      </c>
      <c r="O215" s="88" t="s">
        <v>373</v>
      </c>
      <c r="P215" s="92">
        <v>5000000</v>
      </c>
      <c r="Q215" s="84" t="s">
        <v>1647</v>
      </c>
      <c r="R215" s="84"/>
      <c r="S215" s="84"/>
      <c r="T215" s="101">
        <v>2</v>
      </c>
      <c r="U215" s="101" t="s">
        <v>1787</v>
      </c>
      <c r="V215" s="83"/>
      <c r="W215" s="84"/>
      <c r="X215" s="84"/>
      <c r="Y215" s="84"/>
      <c r="Z215" s="84"/>
      <c r="AA215" s="84"/>
      <c r="AB215" s="84"/>
      <c r="AC215" s="84"/>
      <c r="AD215" s="84"/>
      <c r="AE215" s="84"/>
      <c r="AF215" s="84"/>
      <c r="AG215" s="113" t="s">
        <v>1814</v>
      </c>
      <c r="AH215" s="84"/>
    </row>
    <row r="216" spans="1:34" s="87" customFormat="1" ht="109.2" customHeight="1" x14ac:dyDescent="0.25">
      <c r="A216" s="83">
        <v>317</v>
      </c>
      <c r="B216" s="118" t="str">
        <f t="shared" si="15"/>
        <v>332</v>
      </c>
      <c r="C216" s="84" t="s">
        <v>953</v>
      </c>
      <c r="D216" s="84" t="s">
        <v>533</v>
      </c>
      <c r="E216" s="84" t="s">
        <v>1145</v>
      </c>
      <c r="F216" s="97" t="str">
        <f t="shared" si="13"/>
        <v xml:space="preserve">Trần Hùng Vương </v>
      </c>
      <c r="G216" s="100" t="str">
        <f t="shared" si="14"/>
        <v>23128193</v>
      </c>
      <c r="H216" s="100" t="str">
        <f>VLOOKUP(C216,'[1]DM Đề tài SV ký HĐ (thay đổi)'!$B$1:$Q$475,15,0)</f>
        <v>23128193@student.hcmute.edu.vn</v>
      </c>
      <c r="I216" s="107" t="str">
        <f>VLOOKUP(C216,'[1]DM Đề tài SV ký HĐ (thay đổi)'!$B$1:$Q$475,16,0)</f>
        <v>0817895654</v>
      </c>
      <c r="J216" s="97" t="str">
        <f>VLOOKUP(C216,'[2]DM Đề tài SV ký HĐ (thay đổi)'!$B$1:$I$475,8,0)</f>
        <v>CN Hóa học &amp; Thực phẩm</v>
      </c>
      <c r="K216" s="84"/>
      <c r="L216" s="84" t="s">
        <v>694</v>
      </c>
      <c r="M216" s="97" t="str">
        <f>VLOOKUP(C216,'[2]DM Đề tài SV ký HĐ (thay đổi)'!$B$1:$O$475,13,0)</f>
        <v>daopta@hcmute.edu.vn</v>
      </c>
      <c r="N216" s="97" t="str">
        <f>VLOOKUP(C216,'[2]DM Đề tài SV ký HĐ (thay đổi)'!$B$1:$M$475,12,0)</f>
        <v>Khoa CNHH&amp;TP</v>
      </c>
      <c r="O216" s="88" t="s">
        <v>373</v>
      </c>
      <c r="P216" s="92">
        <v>5000000</v>
      </c>
      <c r="Q216" s="84" t="s">
        <v>1647</v>
      </c>
      <c r="R216" s="84"/>
      <c r="S216" s="84"/>
      <c r="T216" s="101">
        <v>2</v>
      </c>
      <c r="U216" s="101" t="s">
        <v>1787</v>
      </c>
      <c r="V216" s="83"/>
      <c r="W216" s="84"/>
      <c r="X216" s="84"/>
      <c r="Y216" s="84"/>
      <c r="Z216" s="84"/>
      <c r="AA216" s="84"/>
      <c r="AB216" s="84"/>
      <c r="AC216" s="84"/>
      <c r="AD216" s="84"/>
      <c r="AE216" s="84"/>
      <c r="AF216" s="84"/>
      <c r="AG216" s="114" t="s">
        <v>1813</v>
      </c>
      <c r="AH216" s="84"/>
    </row>
    <row r="217" spans="1:34" s="87" customFormat="1" ht="109.2" customHeight="1" x14ac:dyDescent="0.25">
      <c r="A217" s="83">
        <v>318</v>
      </c>
      <c r="B217" s="118" t="str">
        <f t="shared" si="15"/>
        <v>333</v>
      </c>
      <c r="C217" s="84" t="s">
        <v>954</v>
      </c>
      <c r="D217" s="84" t="s">
        <v>534</v>
      </c>
      <c r="E217" s="84" t="s">
        <v>1146</v>
      </c>
      <c r="F217" s="97" t="str">
        <f t="shared" si="13"/>
        <v xml:space="preserve">Trịnh Phước Hậu </v>
      </c>
      <c r="G217" s="100" t="str">
        <f t="shared" si="14"/>
        <v>23128014</v>
      </c>
      <c r="H217" s="100" t="str">
        <f>VLOOKUP(C217,'[1]DM Đề tài SV ký HĐ (thay đổi)'!$B$1:$Q$475,15,0)</f>
        <v xml:space="preserve">23128014@student.hcmute.edu.vn  </v>
      </c>
      <c r="I217" s="107" t="str">
        <f>VLOOKUP(C217,'[1]DM Đề tài SV ký HĐ (thay đổi)'!$B$1:$Q$475,16,0)</f>
        <v>0798881921</v>
      </c>
      <c r="J217" s="97" t="str">
        <f>VLOOKUP(C217,'[2]DM Đề tài SV ký HĐ (thay đổi)'!$B$1:$I$475,8,0)</f>
        <v>CN Hóa học &amp; Thực phẩm</v>
      </c>
      <c r="K217" s="84" t="s">
        <v>1147</v>
      </c>
      <c r="L217" s="84" t="s">
        <v>694</v>
      </c>
      <c r="M217" s="97" t="str">
        <f>VLOOKUP(C217,'[2]DM Đề tài SV ký HĐ (thay đổi)'!$B$1:$O$475,13,0)</f>
        <v>daopta@hcmute.edu.vn</v>
      </c>
      <c r="N217" s="97" t="str">
        <f>VLOOKUP(C217,'[2]DM Đề tài SV ký HĐ (thay đổi)'!$B$1:$M$475,12,0)</f>
        <v>Khoa CNHH&amp;TP</v>
      </c>
      <c r="O217" s="88" t="s">
        <v>373</v>
      </c>
      <c r="P217" s="92">
        <v>5000000</v>
      </c>
      <c r="Q217" s="84" t="s">
        <v>1647</v>
      </c>
      <c r="R217" s="84"/>
      <c r="S217" s="84"/>
      <c r="T217" s="103">
        <v>2</v>
      </c>
      <c r="U217" s="103" t="s">
        <v>1787</v>
      </c>
      <c r="V217" s="83"/>
      <c r="W217" s="84"/>
      <c r="X217" s="84"/>
      <c r="Y217" s="84"/>
      <c r="Z217" s="84"/>
      <c r="AA217" s="84"/>
      <c r="AB217" s="84"/>
      <c r="AC217" s="84"/>
      <c r="AD217" s="84"/>
      <c r="AE217" s="84"/>
      <c r="AF217" s="84"/>
      <c r="AG217" s="114" t="s">
        <v>1813</v>
      </c>
      <c r="AH217" s="84"/>
    </row>
    <row r="218" spans="1:34" s="87" customFormat="1" ht="109.2" customHeight="1" x14ac:dyDescent="0.25">
      <c r="A218" s="83">
        <v>319</v>
      </c>
      <c r="B218" s="118" t="str">
        <f t="shared" si="15"/>
        <v>334</v>
      </c>
      <c r="C218" s="84" t="s">
        <v>955</v>
      </c>
      <c r="D218" s="84" t="s">
        <v>535</v>
      </c>
      <c r="E218" s="84" t="s">
        <v>1148</v>
      </c>
      <c r="F218" s="97" t="str">
        <f t="shared" si="13"/>
        <v xml:space="preserve">Võ Quang Trường </v>
      </c>
      <c r="G218" s="100" t="str">
        <f t="shared" si="14"/>
        <v>23128073</v>
      </c>
      <c r="H218" s="100" t="str">
        <f>VLOOKUP(C218,'[1]DM Đề tài SV ký HĐ (thay đổi)'!$B$1:$Q$475,15,0)</f>
        <v>23128073@student.hcmute.edu.vn</v>
      </c>
      <c r="I218" s="107" t="str">
        <f>VLOOKUP(C218,'[1]DM Đề tài SV ký HĐ (thay đổi)'!$B$1:$Q$475,16,0)</f>
        <v>0904786185</v>
      </c>
      <c r="J218" s="97" t="str">
        <f>VLOOKUP(C218,'[2]DM Đề tài SV ký HĐ (thay đổi)'!$B$1:$I$475,8,0)</f>
        <v>CN Hóa học &amp; Thực phẩm</v>
      </c>
      <c r="K218" s="84" t="s">
        <v>1149</v>
      </c>
      <c r="L218" s="84" t="s">
        <v>709</v>
      </c>
      <c r="M218" s="97" t="str">
        <f>VLOOKUP(C218,'[2]DM Đề tài SV ký HĐ (thay đổi)'!$B$1:$O$475,13,0)</f>
        <v>nhiemlt@hcmute.edu.vn</v>
      </c>
      <c r="N218" s="97" t="str">
        <f>VLOOKUP(C218,'[2]DM Đề tài SV ký HĐ (thay đổi)'!$B$1:$M$475,12,0)</f>
        <v>Khoa CNHH&amp;TP</v>
      </c>
      <c r="O218" s="88" t="s">
        <v>373</v>
      </c>
      <c r="P218" s="92">
        <v>5000000</v>
      </c>
      <c r="Q218" s="84" t="s">
        <v>1647</v>
      </c>
      <c r="R218" s="84"/>
      <c r="S218" s="84"/>
      <c r="T218" s="103">
        <v>2</v>
      </c>
      <c r="U218" s="103" t="s">
        <v>1787</v>
      </c>
      <c r="V218" s="83"/>
      <c r="W218" s="84"/>
      <c r="X218" s="84"/>
      <c r="Y218" s="84"/>
      <c r="Z218" s="84"/>
      <c r="AA218" s="84"/>
      <c r="AB218" s="84"/>
      <c r="AC218" s="84"/>
      <c r="AD218" s="84"/>
      <c r="AE218" s="84"/>
      <c r="AF218" s="84"/>
      <c r="AG218" s="114" t="s">
        <v>1813</v>
      </c>
      <c r="AH218" s="84"/>
    </row>
    <row r="219" spans="1:34" s="87" customFormat="1" ht="109.2" customHeight="1" x14ac:dyDescent="0.25">
      <c r="A219" s="83">
        <v>321</v>
      </c>
      <c r="B219" s="118" t="str">
        <f t="shared" si="15"/>
        <v>336</v>
      </c>
      <c r="C219" s="84" t="s">
        <v>956</v>
      </c>
      <c r="D219" s="84" t="s">
        <v>536</v>
      </c>
      <c r="E219" s="84" t="s">
        <v>1150</v>
      </c>
      <c r="F219" s="97" t="str">
        <f t="shared" si="13"/>
        <v xml:space="preserve">Võ Thị Anh Thư </v>
      </c>
      <c r="G219" s="100" t="str">
        <f t="shared" si="14"/>
        <v>23116229</v>
      </c>
      <c r="H219" s="100" t="str">
        <f>VLOOKUP(C219,'[1]DM Đề tài SV ký HĐ (thay đổi)'!$B$1:$Q$475,15,0)</f>
        <v>23116229@student.hcmute.edu.vn</v>
      </c>
      <c r="I219" s="107" t="str">
        <f>VLOOKUP(C219,'[1]DM Đề tài SV ký HĐ (thay đổi)'!$B$1:$Q$475,16,0)</f>
        <v>0906680142</v>
      </c>
      <c r="J219" s="97" t="str">
        <f>VLOOKUP(C219,'[2]DM Đề tài SV ký HĐ (thay đổi)'!$B$1:$I$475,8,0)</f>
        <v>CN Hóa học &amp; Thực phẩm</v>
      </c>
      <c r="K219" s="84" t="s">
        <v>1161</v>
      </c>
      <c r="L219" s="84" t="s">
        <v>725</v>
      </c>
      <c r="M219" s="97" t="str">
        <f>VLOOKUP(C219,'[2]DM Đề tài SV ký HĐ (thay đổi)'!$B$1:$O$475,13,0)</f>
        <v>dungpk@hcmute.edu.vn</v>
      </c>
      <c r="N219" s="97" t="str">
        <f>VLOOKUP(C219,'[2]DM Đề tài SV ký HĐ (thay đổi)'!$B$1:$M$475,12,0)</f>
        <v>Khoa CNHH&amp;TP</v>
      </c>
      <c r="O219" s="88" t="s">
        <v>373</v>
      </c>
      <c r="P219" s="92">
        <v>5000000</v>
      </c>
      <c r="Q219" s="84" t="s">
        <v>1647</v>
      </c>
      <c r="R219" s="84"/>
      <c r="S219" s="84"/>
      <c r="T219" s="101">
        <v>2</v>
      </c>
      <c r="U219" s="101" t="s">
        <v>1787</v>
      </c>
      <c r="V219" s="83"/>
      <c r="W219" s="84"/>
      <c r="X219" s="84"/>
      <c r="Y219" s="84"/>
      <c r="Z219" s="84"/>
      <c r="AA219" s="84"/>
      <c r="AB219" s="84"/>
      <c r="AC219" s="84"/>
      <c r="AD219" s="84"/>
      <c r="AE219" s="84"/>
      <c r="AF219" s="84"/>
      <c r="AG219" s="114" t="s">
        <v>1813</v>
      </c>
      <c r="AH219" s="84"/>
    </row>
    <row r="220" spans="1:34" s="87" customFormat="1" ht="109.2" customHeight="1" x14ac:dyDescent="0.25">
      <c r="A220" s="83">
        <v>322</v>
      </c>
      <c r="B220" s="118" t="str">
        <f t="shared" si="15"/>
        <v>337</v>
      </c>
      <c r="C220" s="84" t="s">
        <v>957</v>
      </c>
      <c r="D220" s="84" t="s">
        <v>537</v>
      </c>
      <c r="E220" s="84" t="s">
        <v>1151</v>
      </c>
      <c r="F220" s="97" t="str">
        <f t="shared" ref="F220:F268" si="16">LEFT(E220,LEN(E220)-LEN(G220))</f>
        <v xml:space="preserve">Vũ Thông Phú </v>
      </c>
      <c r="G220" s="100" t="str">
        <f t="shared" ref="G220:G268" si="17">RIGHT(E220,8)</f>
        <v>23128153</v>
      </c>
      <c r="H220" s="100" t="str">
        <f>VLOOKUP(C220,'[1]DM Đề tài SV ký HĐ (thay đổi)'!$B$1:$Q$475,15,0)</f>
        <v xml:space="preserve">23128153@student.hcmute.edu.vn  </v>
      </c>
      <c r="I220" s="107" t="str">
        <f>VLOOKUP(C220,'[1]DM Đề tài SV ký HĐ (thay đổi)'!$B$1:$Q$475,16,0)</f>
        <v>0332884589</v>
      </c>
      <c r="J220" s="97" t="str">
        <f>VLOOKUP(C220,'[2]DM Đề tài SV ký HĐ (thay đổi)'!$B$1:$I$475,8,0)</f>
        <v>CN Hóa học &amp; Thực phẩm</v>
      </c>
      <c r="K220" s="84" t="s">
        <v>1162</v>
      </c>
      <c r="L220" s="84" t="s">
        <v>732</v>
      </c>
      <c r="M220" s="97" t="str">
        <f>VLOOKUP(C220,'[2]DM Đề tài SV ký HĐ (thay đổi)'!$B$1:$O$475,13,0)</f>
        <v>nhungtt@hcmute.edu.vn</v>
      </c>
      <c r="N220" s="97" t="str">
        <f>VLOOKUP(C220,'[2]DM Đề tài SV ký HĐ (thay đổi)'!$B$1:$M$475,12,0)</f>
        <v>Khoa CNHH&amp;TP</v>
      </c>
      <c r="O220" s="88" t="s">
        <v>373</v>
      </c>
      <c r="P220" s="92">
        <v>5000000</v>
      </c>
      <c r="Q220" s="84" t="s">
        <v>1647</v>
      </c>
      <c r="R220" s="84"/>
      <c r="S220" s="84"/>
      <c r="T220" s="103">
        <v>2</v>
      </c>
      <c r="U220" s="103" t="s">
        <v>1787</v>
      </c>
      <c r="V220" s="83"/>
      <c r="W220" s="84"/>
      <c r="X220" s="84"/>
      <c r="Y220" s="84"/>
      <c r="Z220" s="84"/>
      <c r="AA220" s="84"/>
      <c r="AB220" s="84"/>
      <c r="AC220" s="84"/>
      <c r="AD220" s="84"/>
      <c r="AE220" s="84"/>
      <c r="AF220" s="84"/>
      <c r="AG220" s="113" t="s">
        <v>1814</v>
      </c>
      <c r="AH220" s="84"/>
    </row>
    <row r="221" spans="1:34" s="87" customFormat="1" ht="109.2" customHeight="1" x14ac:dyDescent="0.25">
      <c r="A221" s="83">
        <v>324</v>
      </c>
      <c r="B221" s="118" t="str">
        <f t="shared" si="15"/>
        <v>339</v>
      </c>
      <c r="C221" s="84" t="s">
        <v>958</v>
      </c>
      <c r="D221" s="84" t="s">
        <v>538</v>
      </c>
      <c r="E221" s="84" t="s">
        <v>1152</v>
      </c>
      <c r="F221" s="97" t="str">
        <f t="shared" si="16"/>
        <v xml:space="preserve">Vũ Đăng Khoa </v>
      </c>
      <c r="G221" s="100" t="str">
        <f t="shared" si="17"/>
        <v>23128021</v>
      </c>
      <c r="H221" s="100" t="str">
        <f>VLOOKUP(C221,'[1]DM Đề tài SV ký HĐ (thay đổi)'!$B$1:$Q$475,15,0)</f>
        <v>23128021@student.hcmute.edu.vn</v>
      </c>
      <c r="I221" s="107" t="str">
        <f>VLOOKUP(C221,'[1]DM Đề tài SV ký HĐ (thay đổi)'!$B$1:$Q$475,16,0)</f>
        <v>0948446529</v>
      </c>
      <c r="J221" s="97" t="str">
        <f>VLOOKUP(C221,'[2]DM Đề tài SV ký HĐ (thay đổi)'!$B$1:$I$475,8,0)</f>
        <v>CN Hóa học &amp; Thực phẩm</v>
      </c>
      <c r="K221" s="84" t="s">
        <v>1163</v>
      </c>
      <c r="L221" s="84" t="s">
        <v>696</v>
      </c>
      <c r="M221" s="97" t="str">
        <f>VLOOKUP(C221,'[2]DM Đề tài SV ký HĐ (thay đổi)'!$B$1:$O$475,13,0)</f>
        <v>tiennv@hcmute.edu.vn</v>
      </c>
      <c r="N221" s="97" t="str">
        <f>VLOOKUP(C221,'[2]DM Đề tài SV ký HĐ (thay đổi)'!$B$1:$M$475,12,0)</f>
        <v>Khoa CNHH&amp;TP</v>
      </c>
      <c r="O221" s="88" t="s">
        <v>373</v>
      </c>
      <c r="P221" s="92">
        <v>5000000</v>
      </c>
      <c r="Q221" s="84" t="s">
        <v>1647</v>
      </c>
      <c r="R221" s="84"/>
      <c r="S221" s="84"/>
      <c r="T221" s="103">
        <v>2</v>
      </c>
      <c r="U221" s="103" t="s">
        <v>1787</v>
      </c>
      <c r="V221" s="83"/>
      <c r="W221" s="84"/>
      <c r="X221" s="84"/>
      <c r="Y221" s="84"/>
      <c r="Z221" s="84"/>
      <c r="AA221" s="84"/>
      <c r="AB221" s="84"/>
      <c r="AC221" s="84"/>
      <c r="AD221" s="84"/>
      <c r="AE221" s="84"/>
      <c r="AF221" s="84"/>
      <c r="AG221" s="114" t="s">
        <v>1813</v>
      </c>
      <c r="AH221" s="84"/>
    </row>
    <row r="222" spans="1:34" s="87" customFormat="1" ht="109.2" customHeight="1" x14ac:dyDescent="0.25">
      <c r="A222" s="83">
        <v>325</v>
      </c>
      <c r="B222" s="118" t="str">
        <f t="shared" si="15"/>
        <v>340</v>
      </c>
      <c r="C222" s="84" t="s">
        <v>959</v>
      </c>
      <c r="D222" s="84" t="s">
        <v>539</v>
      </c>
      <c r="E222" s="84" t="s">
        <v>1153</v>
      </c>
      <c r="F222" s="97" t="str">
        <f t="shared" si="16"/>
        <v xml:space="preserve">Đinh Thị Huyền Chí </v>
      </c>
      <c r="G222" s="100" t="str">
        <f t="shared" si="17"/>
        <v>23128096</v>
      </c>
      <c r="H222" s="100" t="str">
        <f>VLOOKUP(C222,'[1]DM Đề tài SV ký HĐ (thay đổi)'!$B$1:$Q$475,15,0)</f>
        <v>23128096@student.hcmute.edu.vn</v>
      </c>
      <c r="I222" s="107" t="str">
        <f>VLOOKUP(C222,'[1]DM Đề tài SV ký HĐ (thay đổi)'!$B$1:$Q$475,16,0)</f>
        <v>0372762602</v>
      </c>
      <c r="J222" s="97" t="str">
        <f>VLOOKUP(C222,'[2]DM Đề tài SV ký HĐ (thay đổi)'!$B$1:$I$475,8,0)</f>
        <v>CN Hóa học &amp; Thực phẩm</v>
      </c>
      <c r="K222" s="84" t="s">
        <v>1154</v>
      </c>
      <c r="L222" s="84" t="s">
        <v>696</v>
      </c>
      <c r="M222" s="97" t="str">
        <f>VLOOKUP(C222,'[2]DM Đề tài SV ký HĐ (thay đổi)'!$B$1:$O$475,13,0)</f>
        <v>tiennv@hcmute.edu.vn</v>
      </c>
      <c r="N222" s="97" t="str">
        <f>VLOOKUP(C222,'[2]DM Đề tài SV ký HĐ (thay đổi)'!$B$1:$M$475,12,0)</f>
        <v>Khoa CNHH&amp;TP</v>
      </c>
      <c r="O222" s="88" t="s">
        <v>373</v>
      </c>
      <c r="P222" s="92">
        <v>5000000</v>
      </c>
      <c r="Q222" s="84" t="s">
        <v>1647</v>
      </c>
      <c r="R222" s="84"/>
      <c r="S222" s="84"/>
      <c r="T222" s="101">
        <v>2</v>
      </c>
      <c r="U222" s="101" t="s">
        <v>1787</v>
      </c>
      <c r="V222" s="83"/>
      <c r="W222" s="84"/>
      <c r="X222" s="84"/>
      <c r="Y222" s="84"/>
      <c r="Z222" s="84"/>
      <c r="AA222" s="84"/>
      <c r="AB222" s="84"/>
      <c r="AC222" s="84"/>
      <c r="AD222" s="84"/>
      <c r="AE222" s="84"/>
      <c r="AF222" s="84"/>
      <c r="AG222" s="113" t="s">
        <v>1814</v>
      </c>
      <c r="AH222" s="84"/>
    </row>
    <row r="223" spans="1:34" s="87" customFormat="1" ht="109.2" customHeight="1" x14ac:dyDescent="0.25">
      <c r="A223" s="83">
        <v>327</v>
      </c>
      <c r="B223" s="118" t="str">
        <f t="shared" si="15"/>
        <v>342</v>
      </c>
      <c r="C223" s="84" t="s">
        <v>960</v>
      </c>
      <c r="D223" s="84" t="s">
        <v>541</v>
      </c>
      <c r="E223" s="84" t="s">
        <v>1273</v>
      </c>
      <c r="F223" s="97" t="str">
        <f t="shared" si="16"/>
        <v xml:space="preserve">Hà Ngọc Minh Thư </v>
      </c>
      <c r="G223" s="100" t="str">
        <f t="shared" si="17"/>
        <v>23155065</v>
      </c>
      <c r="H223" s="100" t="str">
        <f>VLOOKUP(C223,'[1]DM Đề tài SV ký HĐ (thay đổi)'!$B$1:$Q$475,15,0)</f>
        <v>23155065@student.hcmute.edu.vn</v>
      </c>
      <c r="I223" s="107">
        <f>VLOOKUP(C223,'[1]DM Đề tài SV ký HĐ (thay đổi)'!$B$1:$Q$475,16,0)</f>
        <v>0</v>
      </c>
      <c r="J223" s="97" t="str">
        <f>VLOOKUP(C223,'[2]DM Đề tài SV ký HĐ (thay đổi)'!$B$1:$I$475,8,0)</f>
        <v>Xây dựng</v>
      </c>
      <c r="K223" s="84" t="s">
        <v>1274</v>
      </c>
      <c r="L223" s="84" t="s">
        <v>540</v>
      </c>
      <c r="M223" s="97" t="str">
        <f>VLOOKUP(C223,'[2]DM Đề tài SV ký HĐ (thay đổi)'!$B$1:$O$475,13,0)</f>
        <v xml:space="preserve">tuongbpd@hcmute.edu.vn </v>
      </c>
      <c r="N223" s="97" t="str">
        <f>VLOOKUP(C223,'[2]DM Đề tài SV ký HĐ (thay đổi)'!$B$1:$M$475,12,0)</f>
        <v>Khoa Xây Dựng</v>
      </c>
      <c r="O223" s="88" t="s">
        <v>542</v>
      </c>
      <c r="P223" s="92">
        <v>5000000</v>
      </c>
      <c r="Q223" s="84" t="s">
        <v>1647</v>
      </c>
      <c r="R223" s="84"/>
      <c r="S223" s="84"/>
      <c r="T223" s="103">
        <v>2</v>
      </c>
      <c r="U223" s="103" t="s">
        <v>1787</v>
      </c>
      <c r="V223" s="83"/>
      <c r="W223" s="84"/>
      <c r="X223" s="84"/>
      <c r="Y223" s="84"/>
      <c r="Z223" s="84"/>
      <c r="AA223" s="84"/>
      <c r="AB223" s="84"/>
      <c r="AC223" s="84"/>
      <c r="AD223" s="84"/>
      <c r="AE223" s="84"/>
      <c r="AF223" s="84"/>
      <c r="AG223" s="113" t="s">
        <v>1814</v>
      </c>
      <c r="AH223" s="84"/>
    </row>
    <row r="224" spans="1:34" s="87" customFormat="1" ht="109.2" customHeight="1" x14ac:dyDescent="0.25">
      <c r="A224" s="83">
        <v>328</v>
      </c>
      <c r="B224" s="118" t="str">
        <f t="shared" si="15"/>
        <v>344</v>
      </c>
      <c r="C224" s="84" t="s">
        <v>961</v>
      </c>
      <c r="D224" s="84" t="s">
        <v>543</v>
      </c>
      <c r="E224" s="84" t="s">
        <v>1275</v>
      </c>
      <c r="F224" s="97" t="str">
        <f t="shared" si="16"/>
        <v xml:space="preserve">Trần Đặng Ngọc Khuê </v>
      </c>
      <c r="G224" s="100" t="str">
        <f t="shared" si="17"/>
        <v>23155028</v>
      </c>
      <c r="H224" s="100" t="str">
        <f>VLOOKUP(C224,'[1]DM Đề tài SV ký HĐ (thay đổi)'!$B$1:$Q$475,15,0)</f>
        <v>23155028@student.hcmute.edu.vn</v>
      </c>
      <c r="I224" s="107">
        <f>VLOOKUP(C224,'[1]DM Đề tài SV ký HĐ (thay đổi)'!$B$1:$Q$475,16,0)</f>
        <v>786479494</v>
      </c>
      <c r="J224" s="97" t="str">
        <f>VLOOKUP(C224,'[2]DM Đề tài SV ký HĐ (thay đổi)'!$B$1:$I$475,8,0)</f>
        <v>Xây dựng</v>
      </c>
      <c r="K224" s="84" t="s">
        <v>1276</v>
      </c>
      <c r="L224" s="84" t="s">
        <v>544</v>
      </c>
      <c r="M224" s="97" t="str">
        <f>VLOOKUP(C224,'[2]DM Đề tài SV ký HĐ (thay đổi)'!$B$1:$O$475,13,0)</f>
        <v xml:space="preserve">tiepnv@hcmute.edu.vn </v>
      </c>
      <c r="N224" s="97" t="str">
        <f>VLOOKUP(C224,'[2]DM Đề tài SV ký HĐ (thay đổi)'!$B$1:$M$475,12,0)</f>
        <v>Khoa Xây Dựng</v>
      </c>
      <c r="O224" s="88" t="s">
        <v>1728</v>
      </c>
      <c r="P224" s="92">
        <v>15000000</v>
      </c>
      <c r="Q224" s="85" t="s">
        <v>1649</v>
      </c>
      <c r="R224" s="85"/>
      <c r="S224" s="85"/>
      <c r="T224" s="103">
        <v>2</v>
      </c>
      <c r="U224" s="103" t="s">
        <v>1787</v>
      </c>
      <c r="V224" s="83"/>
      <c r="W224" s="84"/>
      <c r="X224" s="84"/>
      <c r="Y224" s="84"/>
      <c r="Z224" s="84"/>
      <c r="AA224" s="84"/>
      <c r="AB224" s="84"/>
      <c r="AC224" s="84"/>
      <c r="AD224" s="84"/>
      <c r="AE224" s="84"/>
      <c r="AF224" s="84"/>
      <c r="AG224" s="114" t="s">
        <v>1813</v>
      </c>
      <c r="AH224" s="84"/>
    </row>
    <row r="225" spans="1:34" s="87" customFormat="1" ht="109.2" customHeight="1" x14ac:dyDescent="0.25">
      <c r="A225" s="83">
        <v>329</v>
      </c>
      <c r="B225" s="118" t="str">
        <f t="shared" si="15"/>
        <v>345</v>
      </c>
      <c r="C225" s="84" t="s">
        <v>962</v>
      </c>
      <c r="D225" s="84" t="s">
        <v>1724</v>
      </c>
      <c r="E225" s="84" t="s">
        <v>1277</v>
      </c>
      <c r="F225" s="97" t="str">
        <f t="shared" si="16"/>
        <v xml:space="preserve">Nguyễn Trọng Phúc </v>
      </c>
      <c r="G225" s="100" t="str">
        <f t="shared" si="17"/>
        <v>23155047</v>
      </c>
      <c r="H225" s="100" t="str">
        <f>VLOOKUP(C225,'[1]DM Đề tài SV ký HĐ (thay đổi)'!$B$1:$Q$475,15,0)</f>
        <v>23155047@student.hcmute.edu.vn</v>
      </c>
      <c r="I225" s="107">
        <f>VLOOKUP(C225,'[1]DM Đề tài SV ký HĐ (thay đổi)'!$B$1:$Q$475,16,0)</f>
        <v>986446947</v>
      </c>
      <c r="J225" s="97" t="str">
        <f>VLOOKUP(C225,'[2]DM Đề tài SV ký HĐ (thay đổi)'!$B$1:$I$475,8,0)</f>
        <v>Xây dựng</v>
      </c>
      <c r="K225" s="84" t="s">
        <v>1278</v>
      </c>
      <c r="L225" s="84" t="s">
        <v>545</v>
      </c>
      <c r="M225" s="97" t="str">
        <f>VLOOKUP(C225,'[2]DM Đề tài SV ký HĐ (thay đổi)'!$B$1:$O$475,13,0)</f>
        <v xml:space="preserve">khanhhd@hcmute.edu.vn </v>
      </c>
      <c r="N225" s="97" t="str">
        <f>VLOOKUP(C225,'[2]DM Đề tài SV ký HĐ (thay đổi)'!$B$1:$M$475,12,0)</f>
        <v>Khoa Xây Dựng</v>
      </c>
      <c r="O225" s="88" t="s">
        <v>546</v>
      </c>
      <c r="P225" s="92">
        <v>15000000</v>
      </c>
      <c r="Q225" s="85" t="s">
        <v>1649</v>
      </c>
      <c r="R225" s="85"/>
      <c r="S225" s="85"/>
      <c r="T225" s="103">
        <v>2</v>
      </c>
      <c r="U225" s="103" t="s">
        <v>1787</v>
      </c>
      <c r="V225" s="83"/>
      <c r="W225" s="84"/>
      <c r="X225" s="84"/>
      <c r="Y225" s="84"/>
      <c r="Z225" s="84"/>
      <c r="AA225" s="84"/>
      <c r="AB225" s="84"/>
      <c r="AC225" s="84"/>
      <c r="AD225" s="84"/>
      <c r="AE225" s="84"/>
      <c r="AF225" s="84"/>
      <c r="AG225" s="113" t="s">
        <v>1814</v>
      </c>
      <c r="AH225" s="84"/>
    </row>
    <row r="226" spans="1:34" s="87" customFormat="1" ht="109.2" customHeight="1" x14ac:dyDescent="0.25">
      <c r="A226" s="83">
        <v>330</v>
      </c>
      <c r="B226" s="118" t="str">
        <f t="shared" si="15"/>
        <v>347</v>
      </c>
      <c r="C226" s="84" t="s">
        <v>963</v>
      </c>
      <c r="D226" s="84" t="s">
        <v>547</v>
      </c>
      <c r="E226" s="84" t="s">
        <v>1279</v>
      </c>
      <c r="F226" s="97" t="str">
        <f t="shared" si="16"/>
        <v xml:space="preserve">Lê Thùy Trang </v>
      </c>
      <c r="G226" s="100" t="str">
        <f t="shared" si="17"/>
        <v>24157067</v>
      </c>
      <c r="H226" s="100" t="str">
        <f>VLOOKUP(C226,'[1]DM Đề tài SV ký HĐ (thay đổi)'!$B$1:$Q$475,15,0)</f>
        <v>24157067@student.hcmute.edu.vn</v>
      </c>
      <c r="I226" s="107">
        <f>VLOOKUP(C226,'[1]DM Đề tài SV ký HĐ (thay đổi)'!$B$1:$Q$475,16,0)</f>
        <v>559147604</v>
      </c>
      <c r="J226" s="97" t="str">
        <f>VLOOKUP(C226,'[2]DM Đề tài SV ký HĐ (thay đổi)'!$B$1:$I$475,8,0)</f>
        <v>Xây dựng</v>
      </c>
      <c r="K226" s="84" t="s">
        <v>1280</v>
      </c>
      <c r="L226" s="84" t="s">
        <v>548</v>
      </c>
      <c r="M226" s="97" t="str">
        <f>VLOOKUP(C226,'[2]DM Đề tài SV ký HĐ (thay đổi)'!$B$1:$O$475,13,0)</f>
        <v xml:space="preserve">thinhdd@hcmute.edu.vn </v>
      </c>
      <c r="N226" s="97" t="str">
        <f>VLOOKUP(C226,'[2]DM Đề tài SV ký HĐ (thay đổi)'!$B$1:$M$475,12,0)</f>
        <v>Khoa Xây Dựng</v>
      </c>
      <c r="O226" s="88" t="s">
        <v>549</v>
      </c>
      <c r="P226" s="92">
        <v>15000000</v>
      </c>
      <c r="Q226" s="85" t="s">
        <v>1649</v>
      </c>
      <c r="R226" s="85"/>
      <c r="S226" s="85"/>
      <c r="T226" s="101">
        <v>2</v>
      </c>
      <c r="U226" s="101" t="s">
        <v>1787</v>
      </c>
      <c r="V226" s="83"/>
      <c r="W226" s="84"/>
      <c r="X226" s="84"/>
      <c r="Y226" s="84"/>
      <c r="Z226" s="84"/>
      <c r="AA226" s="84"/>
      <c r="AB226" s="84"/>
      <c r="AC226" s="84"/>
      <c r="AD226" s="84"/>
      <c r="AE226" s="84"/>
      <c r="AF226" s="84"/>
      <c r="AG226" s="114" t="s">
        <v>1813</v>
      </c>
      <c r="AH226" s="84"/>
    </row>
    <row r="227" spans="1:34" s="87" customFormat="1" ht="109.2" customHeight="1" x14ac:dyDescent="0.25">
      <c r="A227" s="83">
        <v>331</v>
      </c>
      <c r="B227" s="118" t="str">
        <f t="shared" si="15"/>
        <v>348</v>
      </c>
      <c r="C227" s="84" t="s">
        <v>964</v>
      </c>
      <c r="D227" s="84" t="s">
        <v>550</v>
      </c>
      <c r="E227" s="84" t="s">
        <v>1281</v>
      </c>
      <c r="F227" s="97" t="str">
        <f t="shared" si="16"/>
        <v xml:space="preserve">Dương Hoàng Hồng Anh </v>
      </c>
      <c r="G227" s="100" t="str">
        <f t="shared" si="17"/>
        <v>23157005</v>
      </c>
      <c r="H227" s="100" t="str">
        <f>VLOOKUP(C227,'[1]DM Đề tài SV ký HĐ (thay đổi)'!$B$1:$Q$475,15,0)</f>
        <v>23157005@student.hcmute.edu.vn</v>
      </c>
      <c r="I227" s="107">
        <f>VLOOKUP(C227,'[1]DM Đề tài SV ký HĐ (thay đổi)'!$B$1:$Q$475,16,0)</f>
        <v>904713210</v>
      </c>
      <c r="J227" s="97" t="str">
        <f>VLOOKUP(C227,'[2]DM Đề tài SV ký HĐ (thay đổi)'!$B$1:$I$475,8,0)</f>
        <v>Xây dựng</v>
      </c>
      <c r="K227" s="84" t="s">
        <v>1282</v>
      </c>
      <c r="L227" s="84" t="s">
        <v>548</v>
      </c>
      <c r="M227" s="97" t="str">
        <f>VLOOKUP(C227,'[2]DM Đề tài SV ký HĐ (thay đổi)'!$B$1:$O$475,13,0)</f>
        <v xml:space="preserve">thinhdd@hcmute.edu.vn </v>
      </c>
      <c r="N227" s="97" t="str">
        <f>VLOOKUP(C227,'[2]DM Đề tài SV ký HĐ (thay đổi)'!$B$1:$M$475,12,0)</f>
        <v>Khoa Xây Dựng</v>
      </c>
      <c r="O227" s="88" t="s">
        <v>1577</v>
      </c>
      <c r="P227" s="92">
        <v>25000000</v>
      </c>
      <c r="Q227" s="88" t="s">
        <v>1650</v>
      </c>
      <c r="R227" s="88"/>
      <c r="S227" s="88"/>
      <c r="T227" s="101">
        <v>2</v>
      </c>
      <c r="U227" s="101" t="s">
        <v>1787</v>
      </c>
      <c r="V227" s="83"/>
      <c r="W227" s="84"/>
      <c r="X227" s="84"/>
      <c r="Y227" s="84"/>
      <c r="Z227" s="84"/>
      <c r="AA227" s="84"/>
      <c r="AB227" s="84"/>
      <c r="AC227" s="84"/>
      <c r="AD227" s="84"/>
      <c r="AE227" s="84"/>
      <c r="AF227" s="84"/>
      <c r="AG227" s="114" t="s">
        <v>1813</v>
      </c>
      <c r="AH227" s="84"/>
    </row>
    <row r="228" spans="1:34" s="87" customFormat="1" ht="109.2" customHeight="1" x14ac:dyDescent="0.25">
      <c r="A228" s="83">
        <v>332</v>
      </c>
      <c r="B228" s="83" t="str">
        <f t="shared" si="15"/>
        <v>349</v>
      </c>
      <c r="C228" s="84" t="s">
        <v>965</v>
      </c>
      <c r="D228" s="84" t="s">
        <v>551</v>
      </c>
      <c r="E228" s="84" t="s">
        <v>1283</v>
      </c>
      <c r="F228" s="97" t="str">
        <f t="shared" si="16"/>
        <v xml:space="preserve">Trần Ngân Dương </v>
      </c>
      <c r="G228" s="100" t="str">
        <f t="shared" si="17"/>
        <v>25160007</v>
      </c>
      <c r="H228" s="100" t="str">
        <f>VLOOKUP(C228,'[1]DM Đề tài SV ký HĐ (thay đổi)'!$B$1:$Q$475,15,0)</f>
        <v>25160007@student.hcmute.edu.vn</v>
      </c>
      <c r="I228" s="107">
        <f>VLOOKUP(C228,'[1]DM Đề tài SV ký HĐ (thay đổi)'!$B$1:$Q$475,16,0)</f>
        <v>868429425</v>
      </c>
      <c r="J228" s="97" t="str">
        <f>VLOOKUP(C228,'[2]DM Đề tài SV ký HĐ (thay đổi)'!$B$1:$I$475,8,0)</f>
        <v>Xây dựng</v>
      </c>
      <c r="K228" s="84"/>
      <c r="L228" s="84" t="s">
        <v>552</v>
      </c>
      <c r="M228" s="97" t="str">
        <f>VLOOKUP(C228,'[2]DM Đề tài SV ký HĐ (thay đổi)'!$B$1:$O$475,13,0)</f>
        <v xml:space="preserve">thuanlp@hcmute.edu.vn </v>
      </c>
      <c r="N228" s="97" t="str">
        <f>VLOOKUP(C228,'[2]DM Đề tài SV ký HĐ (thay đổi)'!$B$1:$M$475,12,0)</f>
        <v>Khoa Xây Dựng</v>
      </c>
      <c r="O228" s="88" t="s">
        <v>553</v>
      </c>
      <c r="P228" s="92">
        <v>15000000</v>
      </c>
      <c r="Q228" s="85" t="s">
        <v>1649</v>
      </c>
      <c r="R228" s="85"/>
      <c r="S228" s="85"/>
      <c r="T228" s="105" t="s">
        <v>1827</v>
      </c>
      <c r="U228" s="103"/>
      <c r="V228" s="83"/>
      <c r="W228" s="84"/>
      <c r="X228" s="84"/>
      <c r="Y228" s="84"/>
      <c r="Z228" s="84"/>
      <c r="AA228" s="84"/>
      <c r="AB228" s="84"/>
      <c r="AC228" s="84"/>
      <c r="AD228" s="84"/>
      <c r="AE228" s="84"/>
      <c r="AF228" s="84"/>
      <c r="AG228" s="85"/>
      <c r="AH228" s="96" t="s">
        <v>1818</v>
      </c>
    </row>
    <row r="229" spans="1:34" s="87" customFormat="1" ht="109.2" customHeight="1" x14ac:dyDescent="0.25">
      <c r="A229" s="83">
        <v>333</v>
      </c>
      <c r="B229" s="83" t="str">
        <f t="shared" si="15"/>
        <v>350</v>
      </c>
      <c r="C229" s="84" t="s">
        <v>966</v>
      </c>
      <c r="D229" s="84" t="s">
        <v>554</v>
      </c>
      <c r="E229" s="84" t="s">
        <v>1284</v>
      </c>
      <c r="F229" s="97" t="str">
        <f t="shared" si="16"/>
        <v xml:space="preserve">Lê Nguyễn Tấn Phát </v>
      </c>
      <c r="G229" s="100" t="str">
        <f t="shared" si="17"/>
        <v>25160027</v>
      </c>
      <c r="H229" s="100" t="str">
        <f>VLOOKUP(C229,'[1]DM Đề tài SV ký HĐ (thay đổi)'!$B$1:$Q$475,15,0)</f>
        <v>25160027@student.hcmute.edu.vn</v>
      </c>
      <c r="I229" s="107">
        <f>VLOOKUP(C229,'[1]DM Đề tài SV ký HĐ (thay đổi)'!$B$1:$Q$475,16,0)</f>
        <v>797350927</v>
      </c>
      <c r="J229" s="97" t="str">
        <f>VLOOKUP(C229,'[2]DM Đề tài SV ký HĐ (thay đổi)'!$B$1:$I$475,8,0)</f>
        <v>Xây dựng</v>
      </c>
      <c r="K229" s="84"/>
      <c r="L229" s="84" t="s">
        <v>552</v>
      </c>
      <c r="M229" s="97" t="str">
        <f>VLOOKUP(C229,'[2]DM Đề tài SV ký HĐ (thay đổi)'!$B$1:$O$475,13,0)</f>
        <v xml:space="preserve">thuanlp@hcmute.edu.vn </v>
      </c>
      <c r="N229" s="97" t="str">
        <f>VLOOKUP(C229,'[2]DM Đề tài SV ký HĐ (thay đổi)'!$B$1:$M$475,12,0)</f>
        <v>Khoa Xây Dựng</v>
      </c>
      <c r="O229" s="88" t="s">
        <v>555</v>
      </c>
      <c r="P229" s="92">
        <v>15000000</v>
      </c>
      <c r="Q229" s="85" t="s">
        <v>1649</v>
      </c>
      <c r="R229" s="85"/>
      <c r="S229" s="85"/>
      <c r="T229" s="105" t="s">
        <v>1827</v>
      </c>
      <c r="U229" s="103"/>
      <c r="V229" s="83"/>
      <c r="W229" s="84"/>
      <c r="X229" s="84"/>
      <c r="Y229" s="84"/>
      <c r="Z229" s="84"/>
      <c r="AA229" s="84"/>
      <c r="AB229" s="84"/>
      <c r="AC229" s="84"/>
      <c r="AD229" s="84"/>
      <c r="AE229" s="84"/>
      <c r="AF229" s="84"/>
      <c r="AG229" s="85"/>
      <c r="AH229" s="96" t="s">
        <v>1818</v>
      </c>
    </row>
    <row r="230" spans="1:34" s="87" customFormat="1" ht="109.2" customHeight="1" x14ac:dyDescent="0.25">
      <c r="A230" s="83">
        <v>336</v>
      </c>
      <c r="B230" s="118" t="str">
        <f t="shared" si="15"/>
        <v>355</v>
      </c>
      <c r="C230" s="84" t="s">
        <v>967</v>
      </c>
      <c r="D230" s="84" t="s">
        <v>556</v>
      </c>
      <c r="E230" s="84" t="s">
        <v>1285</v>
      </c>
      <c r="F230" s="97" t="str">
        <f t="shared" si="16"/>
        <v xml:space="preserve">Huỳnh Bá Học </v>
      </c>
      <c r="G230" s="100" t="str">
        <f t="shared" si="17"/>
        <v>23149069</v>
      </c>
      <c r="H230" s="100" t="str">
        <f>VLOOKUP(C230,'[1]DM Đề tài SV ký HĐ (thay đổi)'!$B$1:$Q$475,15,0)</f>
        <v>23149069@student.hcmute.edu.vn</v>
      </c>
      <c r="I230" s="107">
        <f>VLOOKUP(C230,'[1]DM Đề tài SV ký HĐ (thay đổi)'!$B$1:$Q$475,16,0)</f>
        <v>384553738</v>
      </c>
      <c r="J230" s="97" t="str">
        <f>VLOOKUP(C230,'[2]DM Đề tài SV ký HĐ (thay đổi)'!$B$1:$I$475,8,0)</f>
        <v>Xây dựng</v>
      </c>
      <c r="K230" s="84" t="s">
        <v>1180</v>
      </c>
      <c r="L230" s="84" t="s">
        <v>557</v>
      </c>
      <c r="M230" s="97" t="str">
        <f>VLOOKUP(C230,'[2]DM Đề tài SV ký HĐ (thay đổi)'!$B$1:$O$475,13,0)</f>
        <v xml:space="preserve">lieuntb@hcmute.edu.vn </v>
      </c>
      <c r="N230" s="97" t="str">
        <f>VLOOKUP(C230,'[2]DM Đề tài SV ký HĐ (thay đổi)'!$B$1:$M$475,12,0)</f>
        <v>Khoa Xây Dựng</v>
      </c>
      <c r="O230" s="88" t="s">
        <v>558</v>
      </c>
      <c r="P230" s="92">
        <v>15000000</v>
      </c>
      <c r="Q230" s="85" t="s">
        <v>1649</v>
      </c>
      <c r="R230" s="85"/>
      <c r="S230" s="85"/>
      <c r="T230" s="101">
        <v>2</v>
      </c>
      <c r="U230" s="101" t="s">
        <v>1787</v>
      </c>
      <c r="V230" s="83"/>
      <c r="W230" s="84"/>
      <c r="X230" s="84"/>
      <c r="Y230" s="84"/>
      <c r="Z230" s="84"/>
      <c r="AA230" s="84"/>
      <c r="AB230" s="84"/>
      <c r="AC230" s="84"/>
      <c r="AD230" s="84"/>
      <c r="AE230" s="84"/>
      <c r="AF230" s="84"/>
      <c r="AG230" s="113" t="s">
        <v>1814</v>
      </c>
      <c r="AH230" s="84"/>
    </row>
    <row r="231" spans="1:34" s="87" customFormat="1" ht="109.2" customHeight="1" x14ac:dyDescent="0.25">
      <c r="A231" s="83">
        <v>337</v>
      </c>
      <c r="B231" s="118" t="str">
        <f t="shared" si="15"/>
        <v>356</v>
      </c>
      <c r="C231" s="84" t="s">
        <v>968</v>
      </c>
      <c r="D231" s="84" t="s">
        <v>559</v>
      </c>
      <c r="E231" s="84" t="s">
        <v>1286</v>
      </c>
      <c r="F231" s="97" t="str">
        <f t="shared" si="16"/>
        <v xml:space="preserve">Bùi Thị Mỹ Trà </v>
      </c>
      <c r="G231" s="100" t="str">
        <f t="shared" si="17"/>
        <v>22157073</v>
      </c>
      <c r="H231" s="100" t="str">
        <f>VLOOKUP(C231,'[1]DM Đề tài SV ký HĐ (thay đổi)'!$B$1:$Q$475,15,0)</f>
        <v>22157073@student.hcmute.edu.vn</v>
      </c>
      <c r="I231" s="107">
        <f>VLOOKUP(C231,'[1]DM Đề tài SV ký HĐ (thay đổi)'!$B$1:$Q$475,16,0)</f>
        <v>978571304</v>
      </c>
      <c r="J231" s="97" t="str">
        <f>VLOOKUP(C231,'[2]DM Đề tài SV ký HĐ (thay đổi)'!$B$1:$I$475,8,0)</f>
        <v>Xây dựng</v>
      </c>
      <c r="K231" s="84" t="s">
        <v>1287</v>
      </c>
      <c r="L231" s="84" t="s">
        <v>560</v>
      </c>
      <c r="M231" s="97" t="str">
        <f>VLOOKUP(C231,'[2]DM Đề tài SV ký HĐ (thay đổi)'!$B$1:$O$475,13,0)</f>
        <v xml:space="preserve">sondx@hcmute.edu.vn </v>
      </c>
      <c r="N231" s="97" t="str">
        <f>VLOOKUP(C231,'[2]DM Đề tài SV ký HĐ (thay đổi)'!$B$1:$M$475,12,0)</f>
        <v>Khoa Xây Dựng</v>
      </c>
      <c r="O231" s="88" t="s">
        <v>1577</v>
      </c>
      <c r="P231" s="92">
        <v>25000000</v>
      </c>
      <c r="Q231" s="88" t="s">
        <v>1650</v>
      </c>
      <c r="R231" s="88"/>
      <c r="S231" s="88"/>
      <c r="T231" s="101">
        <v>2</v>
      </c>
      <c r="U231" s="101" t="s">
        <v>1787</v>
      </c>
      <c r="V231" s="83"/>
      <c r="W231" s="84"/>
      <c r="X231" s="84"/>
      <c r="Y231" s="84"/>
      <c r="Z231" s="84"/>
      <c r="AA231" s="84"/>
      <c r="AB231" s="84"/>
      <c r="AC231" s="84"/>
      <c r="AD231" s="84"/>
      <c r="AE231" s="84"/>
      <c r="AF231" s="84"/>
      <c r="AG231" s="114" t="s">
        <v>1813</v>
      </c>
      <c r="AH231" s="84"/>
    </row>
    <row r="232" spans="1:34" s="87" customFormat="1" ht="109.2" customHeight="1" x14ac:dyDescent="0.25">
      <c r="A232" s="83">
        <v>339</v>
      </c>
      <c r="B232" s="118" t="str">
        <f t="shared" si="15"/>
        <v>359</v>
      </c>
      <c r="C232" s="84" t="s">
        <v>969</v>
      </c>
      <c r="D232" s="84" t="s">
        <v>562</v>
      </c>
      <c r="E232" s="84" t="s">
        <v>1288</v>
      </c>
      <c r="F232" s="97" t="str">
        <f t="shared" si="16"/>
        <v xml:space="preserve">Tạ Thiên Phú </v>
      </c>
      <c r="G232" s="100" t="str">
        <f t="shared" si="17"/>
        <v>24149214</v>
      </c>
      <c r="H232" s="100" t="str">
        <f>VLOOKUP(C232,'[1]DM Đề tài SV ký HĐ (thay đổi)'!$B$1:$Q$475,15,0)</f>
        <v>24149214@student.hcmute.edu.vn</v>
      </c>
      <c r="I232" s="107">
        <f>VLOOKUP(C232,'[1]DM Đề tài SV ký HĐ (thay đổi)'!$B$1:$Q$475,16,0)</f>
        <v>589309787</v>
      </c>
      <c r="J232" s="97" t="str">
        <f>VLOOKUP(C232,'[2]DM Đề tài SV ký HĐ (thay đổi)'!$B$1:$I$475,8,0)</f>
        <v>Xây dựng</v>
      </c>
      <c r="K232" s="84" t="s">
        <v>1562</v>
      </c>
      <c r="L232" s="84" t="s">
        <v>563</v>
      </c>
      <c r="M232" s="97" t="str">
        <f>VLOOKUP(C232,'[2]DM Đề tài SV ký HĐ (thay đổi)'!$B$1:$O$475,13,0)</f>
        <v xml:space="preserve">hungpht@hcmute.edu.vn </v>
      </c>
      <c r="N232" s="97" t="str">
        <f>VLOOKUP(C232,'[2]DM Đề tài SV ký HĐ (thay đổi)'!$B$1:$M$475,12,0)</f>
        <v>Khoa Xây Dựng</v>
      </c>
      <c r="O232" s="88" t="s">
        <v>561</v>
      </c>
      <c r="P232" s="92">
        <v>15000000</v>
      </c>
      <c r="Q232" s="85" t="s">
        <v>1649</v>
      </c>
      <c r="R232" s="85"/>
      <c r="S232" s="85"/>
      <c r="T232" s="103">
        <v>2</v>
      </c>
      <c r="U232" s="103" t="s">
        <v>1787</v>
      </c>
      <c r="V232" s="83"/>
      <c r="W232" s="84"/>
      <c r="X232" s="84"/>
      <c r="Y232" s="84"/>
      <c r="Z232" s="84"/>
      <c r="AA232" s="84"/>
      <c r="AB232" s="84"/>
      <c r="AC232" s="84"/>
      <c r="AD232" s="84"/>
      <c r="AE232" s="84"/>
      <c r="AF232" s="84"/>
      <c r="AG232" s="114" t="s">
        <v>1813</v>
      </c>
      <c r="AH232" s="84"/>
    </row>
    <row r="233" spans="1:34" s="87" customFormat="1" ht="109.2" customHeight="1" x14ac:dyDescent="0.25">
      <c r="A233" s="83">
        <v>340</v>
      </c>
      <c r="B233" s="118" t="str">
        <f t="shared" si="15"/>
        <v>360</v>
      </c>
      <c r="C233" s="84" t="s">
        <v>970</v>
      </c>
      <c r="D233" s="84" t="s">
        <v>564</v>
      </c>
      <c r="E233" s="84" t="s">
        <v>1632</v>
      </c>
      <c r="F233" s="97" t="str">
        <f t="shared" si="16"/>
        <v xml:space="preserve">Nguyễn Đặng Trúc Phương </v>
      </c>
      <c r="G233" s="100" t="str">
        <f t="shared" si="17"/>
        <v>25140055</v>
      </c>
      <c r="H233" s="100" t="str">
        <f>VLOOKUP(C233,'[1]DM Đề tài SV ký HĐ (thay đổi)'!$B$1:$Q$475,15,0)</f>
        <v>25140055@student.hcmute.edu.vn</v>
      </c>
      <c r="I233" s="107">
        <f>VLOOKUP(C233,'[1]DM Đề tài SV ký HĐ (thay đổi)'!$B$1:$Q$475,16,0)</f>
        <v>909600128</v>
      </c>
      <c r="J233" s="97" t="str">
        <f>VLOOKUP(C233,'[2]DM Đề tài SV ký HĐ (thay đổi)'!$B$1:$I$475,8,0)</f>
        <v>Xây dựng</v>
      </c>
      <c r="K233" s="84" t="s">
        <v>1499</v>
      </c>
      <c r="L233" s="84" t="s">
        <v>565</v>
      </c>
      <c r="M233" s="97" t="str">
        <f>VLOOKUP(C233,'[2]DM Đề tài SV ký HĐ (thay đổi)'!$B$1:$O$475,13,0)</f>
        <v xml:space="preserve">hoannv@hcmute.edu.vn </v>
      </c>
      <c r="N233" s="97" t="str">
        <f>VLOOKUP(C233,'[2]DM Đề tài SV ký HĐ (thay đổi)'!$B$1:$M$475,12,0)</f>
        <v>Khoa Xây Dựng</v>
      </c>
      <c r="O233" s="88" t="s">
        <v>561</v>
      </c>
      <c r="P233" s="92">
        <v>15000000</v>
      </c>
      <c r="Q233" s="85" t="s">
        <v>1649</v>
      </c>
      <c r="R233" s="85"/>
      <c r="S233" s="85"/>
      <c r="T233" s="101">
        <v>2</v>
      </c>
      <c r="U233" s="101" t="s">
        <v>1787</v>
      </c>
      <c r="V233" s="83"/>
      <c r="W233" s="84"/>
      <c r="X233" s="84"/>
      <c r="Y233" s="84"/>
      <c r="Z233" s="84"/>
      <c r="AA233" s="84"/>
      <c r="AB233" s="84"/>
      <c r="AC233" s="84"/>
      <c r="AD233" s="84"/>
      <c r="AE233" s="84"/>
      <c r="AF233" s="84"/>
      <c r="AG233" s="114" t="s">
        <v>1813</v>
      </c>
      <c r="AH233" s="84"/>
    </row>
    <row r="234" spans="1:34" s="87" customFormat="1" ht="109.2" customHeight="1" x14ac:dyDescent="0.25">
      <c r="A234" s="83">
        <v>343</v>
      </c>
      <c r="B234" s="118" t="str">
        <f t="shared" si="15"/>
        <v>364</v>
      </c>
      <c r="C234" s="84" t="s">
        <v>971</v>
      </c>
      <c r="D234" s="84" t="s">
        <v>566</v>
      </c>
      <c r="E234" s="84" t="s">
        <v>1633</v>
      </c>
      <c r="F234" s="97" t="str">
        <f t="shared" si="16"/>
        <v xml:space="preserve">Huỳnh Thanh Huy </v>
      </c>
      <c r="G234" s="100" t="str">
        <f t="shared" si="17"/>
        <v>24149138</v>
      </c>
      <c r="H234" s="100" t="str">
        <f>VLOOKUP(C234,'[1]DM Đề tài SV ký HĐ (thay đổi)'!$B$1:$Q$475,15,0)</f>
        <v>24149138@student.hcmute.edu.vn</v>
      </c>
      <c r="I234" s="107">
        <f>VLOOKUP(C234,'[1]DM Đề tài SV ký HĐ (thay đổi)'!$B$1:$Q$475,16,0)</f>
        <v>348234631</v>
      </c>
      <c r="J234" s="97" t="str">
        <f>VLOOKUP(C234,'[2]DM Đề tài SV ký HĐ (thay đổi)'!$B$1:$I$475,8,0)</f>
        <v>Xây dựng</v>
      </c>
      <c r="K234" s="84" t="s">
        <v>1705</v>
      </c>
      <c r="L234" s="84" t="s">
        <v>567</v>
      </c>
      <c r="M234" s="97" t="str">
        <f>VLOOKUP(C234,'[2]DM Đề tài SV ký HĐ (thay đổi)'!$B$1:$O$475,13,0)</f>
        <v xml:space="preserve">tutv@hcmute.edu.vn </v>
      </c>
      <c r="N234" s="97" t="str">
        <f>VLOOKUP(C234,'[2]DM Đề tài SV ký HĐ (thay đổi)'!$B$1:$M$475,12,0)</f>
        <v>Khoa Xây Dựng</v>
      </c>
      <c r="O234" s="88" t="s">
        <v>561</v>
      </c>
      <c r="P234" s="92">
        <v>15000000</v>
      </c>
      <c r="Q234" s="85" t="s">
        <v>1649</v>
      </c>
      <c r="R234" s="85"/>
      <c r="S234" s="85"/>
      <c r="T234" s="101">
        <v>2</v>
      </c>
      <c r="U234" s="101" t="s">
        <v>1787</v>
      </c>
      <c r="V234" s="83"/>
      <c r="W234" s="84"/>
      <c r="X234" s="84"/>
      <c r="Y234" s="84"/>
      <c r="Z234" s="84"/>
      <c r="AA234" s="84"/>
      <c r="AB234" s="84"/>
      <c r="AC234" s="84"/>
      <c r="AD234" s="84"/>
      <c r="AE234" s="84"/>
      <c r="AF234" s="84"/>
      <c r="AG234" s="113" t="s">
        <v>1814</v>
      </c>
      <c r="AH234" s="84"/>
    </row>
    <row r="235" spans="1:34" s="87" customFormat="1" ht="109.2" customHeight="1" x14ac:dyDescent="0.25">
      <c r="A235" s="83">
        <v>344</v>
      </c>
      <c r="B235" s="118" t="str">
        <f t="shared" si="15"/>
        <v>365</v>
      </c>
      <c r="C235" s="84" t="s">
        <v>972</v>
      </c>
      <c r="D235" s="84" t="s">
        <v>568</v>
      </c>
      <c r="E235" s="84" t="s">
        <v>1290</v>
      </c>
      <c r="F235" s="97" t="str">
        <f t="shared" si="16"/>
        <v xml:space="preserve">Trần Đức Phú </v>
      </c>
      <c r="G235" s="100" t="str">
        <f t="shared" si="17"/>
        <v>23160043</v>
      </c>
      <c r="H235" s="100" t="str">
        <f>VLOOKUP(C235,'[1]DM Đề tài SV ký HĐ (thay đổi)'!$B$1:$Q$475,15,0)</f>
        <v>23160043@student.hcmute.edu.vn</v>
      </c>
      <c r="I235" s="107">
        <f>VLOOKUP(C235,'[1]DM Đề tài SV ký HĐ (thay đổi)'!$B$1:$Q$475,16,0)</f>
        <v>395493622</v>
      </c>
      <c r="J235" s="97" t="str">
        <f>VLOOKUP(C235,'[2]DM Đề tài SV ký HĐ (thay đổi)'!$B$1:$I$475,8,0)</f>
        <v>Xây dựng</v>
      </c>
      <c r="K235" s="84" t="s">
        <v>1585</v>
      </c>
      <c r="L235" s="84" t="s">
        <v>567</v>
      </c>
      <c r="M235" s="97" t="str">
        <f>VLOOKUP(C235,'[2]DM Đề tài SV ký HĐ (thay đổi)'!$B$1:$O$475,13,0)</f>
        <v xml:space="preserve">tutv@hcmute.edu.vn </v>
      </c>
      <c r="N235" s="97" t="str">
        <f>VLOOKUP(C235,'[2]DM Đề tài SV ký HĐ (thay đổi)'!$B$1:$M$475,12,0)</f>
        <v>Khoa Xây Dựng</v>
      </c>
      <c r="O235" s="88" t="s">
        <v>561</v>
      </c>
      <c r="P235" s="92">
        <v>15000000</v>
      </c>
      <c r="Q235" s="85" t="s">
        <v>1649</v>
      </c>
      <c r="R235" s="85"/>
      <c r="S235" s="85"/>
      <c r="T235" s="103">
        <v>2</v>
      </c>
      <c r="U235" s="103" t="s">
        <v>1787</v>
      </c>
      <c r="V235" s="83"/>
      <c r="W235" s="84"/>
      <c r="X235" s="84"/>
      <c r="Y235" s="84"/>
      <c r="Z235" s="84"/>
      <c r="AA235" s="84"/>
      <c r="AB235" s="84"/>
      <c r="AC235" s="84"/>
      <c r="AD235" s="84"/>
      <c r="AE235" s="84"/>
      <c r="AF235" s="84"/>
      <c r="AG235" s="114" t="s">
        <v>1813</v>
      </c>
      <c r="AH235" s="84"/>
    </row>
    <row r="236" spans="1:34" s="87" customFormat="1" ht="109.2" customHeight="1" x14ac:dyDescent="0.25">
      <c r="A236" s="83">
        <v>345</v>
      </c>
      <c r="B236" s="118" t="str">
        <f t="shared" si="15"/>
        <v>366</v>
      </c>
      <c r="C236" s="84" t="s">
        <v>973</v>
      </c>
      <c r="D236" s="84" t="s">
        <v>569</v>
      </c>
      <c r="E236" s="84" t="s">
        <v>1289</v>
      </c>
      <c r="F236" s="97" t="str">
        <f t="shared" si="16"/>
        <v xml:space="preserve">Trương Minh Nhựt </v>
      </c>
      <c r="G236" s="100" t="str">
        <f t="shared" si="17"/>
        <v>24127049</v>
      </c>
      <c r="H236" s="100" t="str">
        <f>VLOOKUP(C236,'[1]DM Đề tài SV ký HĐ (thay đổi)'!$B$1:$Q$475,15,0)</f>
        <v>24127049@student.hcmute.edu.vn</v>
      </c>
      <c r="I236" s="107">
        <f>VLOOKUP(C236,'[1]DM Đề tài SV ký HĐ (thay đổi)'!$B$1:$Q$475,16,0)</f>
        <v>908812757</v>
      </c>
      <c r="J236" s="97" t="str">
        <f>VLOOKUP(C236,'[2]DM Đề tài SV ký HĐ (thay đổi)'!$B$1:$I$475,8,0)</f>
        <v>Xây dựng</v>
      </c>
      <c r="K236" s="84" t="s">
        <v>1715</v>
      </c>
      <c r="L236" s="84" t="s">
        <v>567</v>
      </c>
      <c r="M236" s="97" t="str">
        <f>VLOOKUP(C236,'[2]DM Đề tài SV ký HĐ (thay đổi)'!$B$1:$O$475,13,0)</f>
        <v xml:space="preserve">tutv@hcmute.edu.vn </v>
      </c>
      <c r="N236" s="97" t="str">
        <f>VLOOKUP(C236,'[2]DM Đề tài SV ký HĐ (thay đổi)'!$B$1:$M$475,12,0)</f>
        <v>Khoa Xây Dựng</v>
      </c>
      <c r="O236" s="88" t="s">
        <v>561</v>
      </c>
      <c r="P236" s="92">
        <v>15000000</v>
      </c>
      <c r="Q236" s="85" t="s">
        <v>1649</v>
      </c>
      <c r="R236" s="85"/>
      <c r="S236" s="85"/>
      <c r="T236" s="101">
        <v>2</v>
      </c>
      <c r="U236" s="101" t="s">
        <v>1787</v>
      </c>
      <c r="V236" s="83"/>
      <c r="W236" s="84"/>
      <c r="X236" s="84"/>
      <c r="Y236" s="84"/>
      <c r="Z236" s="84"/>
      <c r="AA236" s="84"/>
      <c r="AB236" s="84"/>
      <c r="AC236" s="84"/>
      <c r="AD236" s="84"/>
      <c r="AE236" s="84"/>
      <c r="AF236" s="84"/>
      <c r="AG236" s="114" t="s">
        <v>1813</v>
      </c>
      <c r="AH236" s="84"/>
    </row>
    <row r="237" spans="1:34" s="87" customFormat="1" ht="109.2" customHeight="1" x14ac:dyDescent="0.25">
      <c r="A237" s="83">
        <v>346</v>
      </c>
      <c r="B237" s="118" t="str">
        <f t="shared" si="15"/>
        <v>367</v>
      </c>
      <c r="C237" s="84" t="s">
        <v>974</v>
      </c>
      <c r="D237" s="84" t="s">
        <v>1584</v>
      </c>
      <c r="E237" s="84" t="s">
        <v>1634</v>
      </c>
      <c r="F237" s="97" t="str">
        <f t="shared" si="16"/>
        <v xml:space="preserve">Nguyễn Trọng Đạt </v>
      </c>
      <c r="G237" s="100" t="str">
        <f t="shared" si="17"/>
        <v>23149062</v>
      </c>
      <c r="H237" s="100" t="str">
        <f>VLOOKUP(C237,'[1]DM Đề tài SV ký HĐ (thay đổi)'!$B$1:$Q$475,15,0)</f>
        <v>23149062@student.hcmute.edu.vn</v>
      </c>
      <c r="I237" s="107">
        <f>VLOOKUP(C237,'[1]DM Đề tài SV ký HĐ (thay đổi)'!$B$1:$Q$475,16,0)</f>
        <v>383735107</v>
      </c>
      <c r="J237" s="97" t="str">
        <f>VLOOKUP(C237,'[2]DM Đề tài SV ký HĐ (thay đổi)'!$B$1:$I$475,8,0)</f>
        <v>Xây dựng</v>
      </c>
      <c r="K237" s="84" t="s">
        <v>1291</v>
      </c>
      <c r="L237" s="84" t="s">
        <v>570</v>
      </c>
      <c r="M237" s="97" t="str">
        <f>VLOOKUP(C237,'[2]DM Đề tài SV ký HĐ (thay đổi)'!$B$1:$O$475,13,0)</f>
        <v xml:space="preserve">chungnv@hcmute.edu.vn </v>
      </c>
      <c r="N237" s="97" t="str">
        <f>VLOOKUP(C237,'[2]DM Đề tài SV ký HĐ (thay đổi)'!$B$1:$M$475,12,0)</f>
        <v>Khoa Xây Dựng</v>
      </c>
      <c r="O237" s="88" t="s">
        <v>373</v>
      </c>
      <c r="P237" s="92">
        <v>5000000</v>
      </c>
      <c r="Q237" s="84" t="s">
        <v>1647</v>
      </c>
      <c r="R237" s="84"/>
      <c r="S237" s="84"/>
      <c r="T237" s="101">
        <v>2</v>
      </c>
      <c r="U237" s="101" t="s">
        <v>1787</v>
      </c>
      <c r="V237" s="83"/>
      <c r="W237" s="84"/>
      <c r="X237" s="84"/>
      <c r="Y237" s="84"/>
      <c r="Z237" s="84"/>
      <c r="AA237" s="84"/>
      <c r="AB237" s="84"/>
      <c r="AC237" s="84"/>
      <c r="AD237" s="84"/>
      <c r="AE237" s="84"/>
      <c r="AF237" s="84"/>
      <c r="AG237" s="114" t="s">
        <v>1813</v>
      </c>
      <c r="AH237" s="84"/>
    </row>
    <row r="238" spans="1:34" s="87" customFormat="1" ht="109.2" customHeight="1" x14ac:dyDescent="0.25">
      <c r="A238" s="83">
        <v>347</v>
      </c>
      <c r="B238" s="118" t="str">
        <f t="shared" si="15"/>
        <v>368</v>
      </c>
      <c r="C238" s="84" t="s">
        <v>975</v>
      </c>
      <c r="D238" s="84" t="s">
        <v>571</v>
      </c>
      <c r="E238" s="84" t="s">
        <v>1635</v>
      </c>
      <c r="F238" s="97" t="str">
        <f t="shared" si="16"/>
        <v xml:space="preserve">Trần Vũ Nhật Cương </v>
      </c>
      <c r="G238" s="100" t="str">
        <f t="shared" si="17"/>
        <v>23149054</v>
      </c>
      <c r="H238" s="100" t="str">
        <f>VLOOKUP(C238,'[1]DM Đề tài SV ký HĐ (thay đổi)'!$B$1:$Q$475,15,0)</f>
        <v>23149054@student.hcmute.edu.vn</v>
      </c>
      <c r="I238" s="107">
        <f>VLOOKUP(C238,'[1]DM Đề tài SV ký HĐ (thay đổi)'!$B$1:$Q$475,16,0)</f>
        <v>937159771</v>
      </c>
      <c r="J238" s="97" t="str">
        <f>VLOOKUP(C238,'[2]DM Đề tài SV ký HĐ (thay đổi)'!$B$1:$I$475,8,0)</f>
        <v>Xây dựng</v>
      </c>
      <c r="K238" s="84" t="s">
        <v>1292</v>
      </c>
      <c r="L238" s="84" t="s">
        <v>570</v>
      </c>
      <c r="M238" s="97" t="str">
        <f>VLOOKUP(C238,'[2]DM Đề tài SV ký HĐ (thay đổi)'!$B$1:$O$475,13,0)</f>
        <v xml:space="preserve">chungnv@hcmute.edu.vn </v>
      </c>
      <c r="N238" s="97" t="str">
        <f>VLOOKUP(C238,'[2]DM Đề tài SV ký HĐ (thay đổi)'!$B$1:$M$475,12,0)</f>
        <v>Khoa Xây Dựng</v>
      </c>
      <c r="O238" s="88" t="s">
        <v>373</v>
      </c>
      <c r="P238" s="92">
        <v>5000000</v>
      </c>
      <c r="Q238" s="84" t="s">
        <v>1647</v>
      </c>
      <c r="R238" s="84"/>
      <c r="S238" s="84"/>
      <c r="T238" s="101">
        <v>2</v>
      </c>
      <c r="U238" s="101" t="s">
        <v>1787</v>
      </c>
      <c r="V238" s="83"/>
      <c r="W238" s="84"/>
      <c r="X238" s="84"/>
      <c r="Y238" s="84"/>
      <c r="Z238" s="84"/>
      <c r="AA238" s="84"/>
      <c r="AB238" s="84"/>
      <c r="AC238" s="84"/>
      <c r="AD238" s="84"/>
      <c r="AE238" s="84"/>
      <c r="AF238" s="84"/>
      <c r="AG238" s="114" t="s">
        <v>1813</v>
      </c>
      <c r="AH238" s="84"/>
    </row>
    <row r="239" spans="1:34" s="87" customFormat="1" ht="109.2" customHeight="1" x14ac:dyDescent="0.25">
      <c r="A239" s="83">
        <v>348</v>
      </c>
      <c r="B239" s="118" t="str">
        <f t="shared" si="15"/>
        <v>369</v>
      </c>
      <c r="C239" s="84" t="s">
        <v>976</v>
      </c>
      <c r="D239" s="84" t="s">
        <v>572</v>
      </c>
      <c r="E239" s="84" t="s">
        <v>1636</v>
      </c>
      <c r="F239" s="97" t="str">
        <f t="shared" si="16"/>
        <v xml:space="preserve">Lê Quốc Huy </v>
      </c>
      <c r="G239" s="100" t="str">
        <f t="shared" si="17"/>
        <v>22135014</v>
      </c>
      <c r="H239" s="100" t="str">
        <f>VLOOKUP(C239,'[1]DM Đề tài SV ký HĐ (thay đổi)'!$B$1:$Q$475,15,0)</f>
        <v>22135014@student.hcmute.edu.vn</v>
      </c>
      <c r="I239" s="107">
        <f>VLOOKUP(C239,'[1]DM Đề tài SV ký HĐ (thay đổi)'!$B$1:$Q$475,16,0)</f>
        <v>901193304</v>
      </c>
      <c r="J239" s="97" t="str">
        <f>VLOOKUP(C239,'[2]DM Đề tài SV ký HĐ (thay đổi)'!$B$1:$I$475,8,0)</f>
        <v>Xây dựng</v>
      </c>
      <c r="K239" s="84" t="s">
        <v>1293</v>
      </c>
      <c r="L239" s="84" t="s">
        <v>573</v>
      </c>
      <c r="M239" s="97" t="str">
        <f>VLOOKUP(C239,'[2]DM Đề tài SV ký HĐ (thay đổi)'!$B$1:$O$475,13,0)</f>
        <v>chienpt@hcmute.edu.vn</v>
      </c>
      <c r="N239" s="97" t="str">
        <f>VLOOKUP(C239,'[2]DM Đề tài SV ký HĐ (thay đổi)'!$B$1:$M$475,12,0)</f>
        <v>Khoa Xây Dựng</v>
      </c>
      <c r="O239" s="88" t="s">
        <v>574</v>
      </c>
      <c r="P239" s="92">
        <v>15000000</v>
      </c>
      <c r="Q239" s="85" t="s">
        <v>1649</v>
      </c>
      <c r="R239" s="85"/>
      <c r="S239" s="85"/>
      <c r="T239" s="105">
        <v>2</v>
      </c>
      <c r="U239" s="103" t="s">
        <v>1787</v>
      </c>
      <c r="V239" s="83"/>
      <c r="W239" s="84"/>
      <c r="X239" s="84"/>
      <c r="Y239" s="84"/>
      <c r="Z239" s="84"/>
      <c r="AA239" s="84"/>
      <c r="AB239" s="84"/>
      <c r="AC239" s="84"/>
      <c r="AD239" s="84"/>
      <c r="AE239" s="84"/>
      <c r="AF239" s="84"/>
      <c r="AG239" s="113" t="s">
        <v>1814</v>
      </c>
      <c r="AH239" s="84"/>
    </row>
    <row r="240" spans="1:34" s="87" customFormat="1" ht="109.2" customHeight="1" x14ac:dyDescent="0.25">
      <c r="A240" s="83">
        <v>349</v>
      </c>
      <c r="B240" s="118" t="str">
        <f t="shared" si="15"/>
        <v>370</v>
      </c>
      <c r="C240" s="84" t="s">
        <v>977</v>
      </c>
      <c r="D240" s="84" t="s">
        <v>1207</v>
      </c>
      <c r="E240" s="84" t="s">
        <v>1243</v>
      </c>
      <c r="F240" s="97" t="str">
        <f t="shared" si="16"/>
        <v xml:space="preserve">Lê Quang Sang </v>
      </c>
      <c r="G240" s="100" t="str">
        <f t="shared" si="17"/>
        <v>23950011</v>
      </c>
      <c r="H240" s="100" t="str">
        <f>VLOOKUP(C240,'[1]DM Đề tài SV ký HĐ (thay đổi)'!$B$1:$Q$475,15,0)</f>
        <v>sangsang.qn.qn.vn@gmail.com</v>
      </c>
      <c r="I240" s="107" t="str">
        <f>VLOOKUP(C240,'[1]DM Đề tài SV ký HĐ (thay đổi)'!$B$1:$Q$475,16,0)</f>
        <v>0857333759</v>
      </c>
      <c r="J240" s="97" t="str">
        <f>VLOOKUP(C240,'[2]DM Đề tài SV ký HĐ (thay đổi)'!$B$1:$I$475,8,0)</f>
        <v>Ngoại ngữ</v>
      </c>
      <c r="K240" s="84" t="s">
        <v>1244</v>
      </c>
      <c r="L240" s="84" t="s">
        <v>575</v>
      </c>
      <c r="M240" s="97" t="str">
        <f>VLOOKUP(C240,'[2]DM Đề tài SV ký HĐ (thay đổi)'!$B$1:$O$475,13,0)</f>
        <v>thanhtn@hcmute.edu.vn</v>
      </c>
      <c r="N240" s="97" t="str">
        <f>VLOOKUP(C240,'[2]DM Đề tài SV ký HĐ (thay đổi)'!$B$1:$M$475,12,0)</f>
        <v>Khoa Ngoại ngữ</v>
      </c>
      <c r="O240" s="88" t="s">
        <v>373</v>
      </c>
      <c r="P240" s="90">
        <v>5000000</v>
      </c>
      <c r="Q240" s="84" t="s">
        <v>1647</v>
      </c>
      <c r="R240" s="84"/>
      <c r="S240" s="84"/>
      <c r="T240" s="103">
        <v>2</v>
      </c>
      <c r="U240" s="103" t="s">
        <v>1787</v>
      </c>
      <c r="V240" s="83"/>
      <c r="W240" s="84"/>
      <c r="X240" s="84"/>
      <c r="Y240" s="84"/>
      <c r="Z240" s="84"/>
      <c r="AA240" s="84"/>
      <c r="AB240" s="84"/>
      <c r="AC240" s="84"/>
      <c r="AD240" s="84"/>
      <c r="AE240" s="84"/>
      <c r="AF240" s="84"/>
      <c r="AG240" s="114" t="s">
        <v>1813</v>
      </c>
      <c r="AH240" s="84"/>
    </row>
    <row r="241" spans="1:34" s="87" customFormat="1" ht="109.2" customHeight="1" x14ac:dyDescent="0.25">
      <c r="A241" s="83">
        <v>350</v>
      </c>
      <c r="B241" s="118" t="str">
        <f t="shared" ref="B241:B284" si="18">RIGHT(C241,3)</f>
        <v>371</v>
      </c>
      <c r="C241" s="84" t="s">
        <v>978</v>
      </c>
      <c r="D241" s="84" t="s">
        <v>576</v>
      </c>
      <c r="E241" s="84" t="s">
        <v>1209</v>
      </c>
      <c r="F241" s="97" t="str">
        <f t="shared" si="16"/>
        <v xml:space="preserve">Lê Nguyễn Hà My </v>
      </c>
      <c r="G241" s="100" t="str">
        <f t="shared" si="17"/>
        <v>23125014</v>
      </c>
      <c r="H241" s="100" t="str">
        <f>VLOOKUP(C241,'[1]DM Đề tài SV ký HĐ (thay đổi)'!$B$1:$Q$475,15,0)</f>
        <v>23125014@student.hcmute.edu.vn</v>
      </c>
      <c r="I241" s="107" t="str">
        <f>VLOOKUP(C241,'[1]DM Đề tài SV ký HĐ (thay đổi)'!$B$1:$Q$475,16,0)</f>
        <v>0934092976</v>
      </c>
      <c r="J241" s="97" t="str">
        <f>VLOOKUP(C241,'[2]DM Đề tài SV ký HĐ (thay đổi)'!$B$1:$I$475,8,0)</f>
        <v>Kinh tế</v>
      </c>
      <c r="K241" s="84" t="s">
        <v>1242</v>
      </c>
      <c r="L241" s="84" t="s">
        <v>577</v>
      </c>
      <c r="M241" s="97" t="str">
        <f>VLOOKUP(C241,'[2]DM Đề tài SV ký HĐ (thay đổi)'!$B$1:$O$475,13,0)</f>
        <v>anhctn@hcmute.edu.vn</v>
      </c>
      <c r="N241" s="97" t="str">
        <f>VLOOKUP(C241,'[2]DM Đề tài SV ký HĐ (thay đổi)'!$B$1:$M$475,12,0)</f>
        <v>Khoa Kinh tế</v>
      </c>
      <c r="O241" s="84" t="s">
        <v>1249</v>
      </c>
      <c r="P241" s="93">
        <v>15000000</v>
      </c>
      <c r="Q241" s="85" t="s">
        <v>1649</v>
      </c>
      <c r="R241" s="85"/>
      <c r="S241" s="85"/>
      <c r="T241" s="101">
        <v>2</v>
      </c>
      <c r="U241" s="106" t="s">
        <v>1787</v>
      </c>
      <c r="V241" s="83"/>
      <c r="W241" s="84"/>
      <c r="X241" s="84"/>
      <c r="Y241" s="84"/>
      <c r="Z241" s="84"/>
      <c r="AA241" s="84"/>
      <c r="AB241" s="84"/>
      <c r="AC241" s="84"/>
      <c r="AD241" s="84"/>
      <c r="AE241" s="84"/>
      <c r="AF241" s="84"/>
      <c r="AG241" s="114" t="s">
        <v>1813</v>
      </c>
      <c r="AH241" s="84"/>
    </row>
    <row r="242" spans="1:34" s="87" customFormat="1" ht="109.2" customHeight="1" x14ac:dyDescent="0.25">
      <c r="A242" s="83">
        <v>351</v>
      </c>
      <c r="B242" s="118" t="str">
        <f t="shared" si="18"/>
        <v>372</v>
      </c>
      <c r="C242" s="84" t="s">
        <v>979</v>
      </c>
      <c r="D242" s="84" t="s">
        <v>578</v>
      </c>
      <c r="E242" s="84" t="s">
        <v>1210</v>
      </c>
      <c r="F242" s="97" t="str">
        <f t="shared" si="16"/>
        <v xml:space="preserve">Nguyễn Ngọc Minh Trang </v>
      </c>
      <c r="G242" s="100" t="str">
        <f t="shared" si="17"/>
        <v>23126041</v>
      </c>
      <c r="H242" s="100" t="str">
        <f>VLOOKUP(C242,'[1]DM Đề tài SV ký HĐ (thay đổi)'!$B$1:$Q$475,15,0)</f>
        <v>23126041@student.hcmute.edu.vn</v>
      </c>
      <c r="I242" s="107" t="str">
        <f>VLOOKUP(C242,'[1]DM Đề tài SV ký HĐ (thay đổi)'!$B$1:$Q$475,16,0)</f>
        <v>0937382005</v>
      </c>
      <c r="J242" s="97" t="str">
        <f>VLOOKUP(C242,'[2]DM Đề tài SV ký HĐ (thay đổi)'!$B$1:$I$475,8,0)</f>
        <v>Kinh tế</v>
      </c>
      <c r="K242" s="84" t="s">
        <v>1664</v>
      </c>
      <c r="L242" s="84" t="s">
        <v>579</v>
      </c>
      <c r="M242" s="97" t="str">
        <f>VLOOKUP(C242,'[2]DM Đề tài SV ký HĐ (thay đổi)'!$B$1:$O$475,13,0)</f>
        <v>xuyenhth@hcmute.edu.vn</v>
      </c>
      <c r="N242" s="97" t="str">
        <f>VLOOKUP(C242,'[2]DM Đề tài SV ký HĐ (thay đổi)'!$B$1:$M$475,12,0)</f>
        <v>Khoa Kinh tế</v>
      </c>
      <c r="O242" s="84" t="s">
        <v>580</v>
      </c>
      <c r="P242" s="93">
        <v>5000000</v>
      </c>
      <c r="Q242" s="84" t="s">
        <v>1647</v>
      </c>
      <c r="R242" s="84"/>
      <c r="S242" s="84"/>
      <c r="T242" s="101">
        <v>2</v>
      </c>
      <c r="U242" s="101" t="s">
        <v>1787</v>
      </c>
      <c r="V242" s="83"/>
      <c r="W242" s="84"/>
      <c r="X242" s="84"/>
      <c r="Y242" s="84"/>
      <c r="Z242" s="84"/>
      <c r="AA242" s="84"/>
      <c r="AB242" s="84"/>
      <c r="AC242" s="84"/>
      <c r="AD242" s="84"/>
      <c r="AE242" s="84"/>
      <c r="AF242" s="84"/>
      <c r="AG242" s="114" t="s">
        <v>1813</v>
      </c>
      <c r="AH242" s="84"/>
    </row>
    <row r="243" spans="1:34" s="87" customFormat="1" ht="109.2" customHeight="1" x14ac:dyDescent="0.25">
      <c r="A243" s="83">
        <v>352</v>
      </c>
      <c r="B243" s="118" t="str">
        <f t="shared" si="18"/>
        <v>373</v>
      </c>
      <c r="C243" s="84" t="s">
        <v>980</v>
      </c>
      <c r="D243" s="84" t="s">
        <v>1563</v>
      </c>
      <c r="E243" s="84" t="s">
        <v>1211</v>
      </c>
      <c r="F243" s="97" t="str">
        <f t="shared" si="16"/>
        <v xml:space="preserve">Phạm Nhã Uyên </v>
      </c>
      <c r="G243" s="100" t="str">
        <f t="shared" si="17"/>
        <v>23126155</v>
      </c>
      <c r="H243" s="100" t="str">
        <f>VLOOKUP(C243,'[1]DM Đề tài SV ký HĐ (thay đổi)'!$B$1:$Q$475,15,0)</f>
        <v>23126155@student.hcmute.edu.vn</v>
      </c>
      <c r="I243" s="107" t="str">
        <f>VLOOKUP(C243,'[1]DM Đề tài SV ký HĐ (thay đổi)'!$B$1:$Q$475,16,0)</f>
        <v>0393295864</v>
      </c>
      <c r="J243" s="97" t="str">
        <f>VLOOKUP(C243,'[2]DM Đề tài SV ký HĐ (thay đổi)'!$B$1:$I$475,8,0)</f>
        <v>Kinh tế</v>
      </c>
      <c r="K243" s="84" t="s">
        <v>1241</v>
      </c>
      <c r="L243" s="84" t="s">
        <v>581</v>
      </c>
      <c r="M243" s="97" t="str">
        <f>VLOOKUP(C243,'[2]DM Đề tài SV ký HĐ (thay đổi)'!$B$1:$O$475,13,0)</f>
        <v>huynpa@hcmute.edu.vn</v>
      </c>
      <c r="N243" s="97" t="str">
        <f>VLOOKUP(C243,'[2]DM Đề tài SV ký HĐ (thay đổi)'!$B$1:$M$475,12,0)</f>
        <v>Khoa Kinh tế</v>
      </c>
      <c r="O243" s="84" t="s">
        <v>580</v>
      </c>
      <c r="P243" s="93">
        <v>5000000</v>
      </c>
      <c r="Q243" s="84" t="s">
        <v>1647</v>
      </c>
      <c r="R243" s="84"/>
      <c r="S243" s="84"/>
      <c r="T243" s="103">
        <v>2</v>
      </c>
      <c r="U243" s="103" t="s">
        <v>1787</v>
      </c>
      <c r="V243" s="83"/>
      <c r="W243" s="84"/>
      <c r="X243" s="84"/>
      <c r="Y243" s="84"/>
      <c r="Z243" s="84"/>
      <c r="AA243" s="84"/>
      <c r="AB243" s="84"/>
      <c r="AC243" s="84"/>
      <c r="AD243" s="84"/>
      <c r="AE243" s="84"/>
      <c r="AF243" s="84"/>
      <c r="AG243" s="114" t="s">
        <v>1813</v>
      </c>
      <c r="AH243" s="84"/>
    </row>
    <row r="244" spans="1:34" s="87" customFormat="1" ht="109.2" customHeight="1" x14ac:dyDescent="0.25">
      <c r="A244" s="83">
        <v>353</v>
      </c>
      <c r="B244" s="118" t="str">
        <f t="shared" si="18"/>
        <v>374</v>
      </c>
      <c r="C244" s="84" t="s">
        <v>981</v>
      </c>
      <c r="D244" s="84" t="s">
        <v>582</v>
      </c>
      <c r="E244" s="84" t="s">
        <v>1212</v>
      </c>
      <c r="F244" s="97" t="str">
        <f t="shared" si="16"/>
        <v xml:space="preserve">Nguyễn Thị Hồng Ngân </v>
      </c>
      <c r="G244" s="100" t="str">
        <f t="shared" si="17"/>
        <v>23126100</v>
      </c>
      <c r="H244" s="100" t="str">
        <f>VLOOKUP(C244,'[1]DM Đề tài SV ký HĐ (thay đổi)'!$B$1:$Q$475,15,0)</f>
        <v>23126100@student.hcmute.edu.vn</v>
      </c>
      <c r="I244" s="107" t="str">
        <f>VLOOKUP(C244,'[1]DM Đề tài SV ký HĐ (thay đổi)'!$B$1:$Q$475,16,0)</f>
        <v>0974142206</v>
      </c>
      <c r="J244" s="97" t="str">
        <f>VLOOKUP(C244,'[2]DM Đề tài SV ký HĐ (thay đổi)'!$B$1:$I$475,8,0)</f>
        <v>Kinh tế</v>
      </c>
      <c r="K244" s="84" t="s">
        <v>1240</v>
      </c>
      <c r="L244" s="84" t="s">
        <v>583</v>
      </c>
      <c r="M244" s="97" t="str">
        <f>VLOOKUP(C244,'[2]DM Đề tài SV ký HĐ (thay đổi)'!$B$1:$O$475,13,0)</f>
        <v>viltt@hcmute.edu.vn</v>
      </c>
      <c r="N244" s="97" t="str">
        <f>VLOOKUP(C244,'[2]DM Đề tài SV ký HĐ (thay đổi)'!$B$1:$M$475,12,0)</f>
        <v>Khoa Kinh tế</v>
      </c>
      <c r="O244" s="84" t="s">
        <v>1247</v>
      </c>
      <c r="P244" s="93">
        <v>15000000</v>
      </c>
      <c r="Q244" s="85" t="s">
        <v>1649</v>
      </c>
      <c r="R244" s="85"/>
      <c r="S244" s="85"/>
      <c r="T244" s="101">
        <v>2</v>
      </c>
      <c r="U244" s="101" t="s">
        <v>1787</v>
      </c>
      <c r="V244" s="83"/>
      <c r="W244" s="84"/>
      <c r="X244" s="84"/>
      <c r="Y244" s="84"/>
      <c r="Z244" s="84"/>
      <c r="AA244" s="84"/>
      <c r="AB244" s="84"/>
      <c r="AC244" s="84"/>
      <c r="AD244" s="84"/>
      <c r="AE244" s="84"/>
      <c r="AF244" s="84"/>
      <c r="AG244" s="114" t="s">
        <v>1813</v>
      </c>
      <c r="AH244" s="84"/>
    </row>
    <row r="245" spans="1:34" s="87" customFormat="1" ht="109.2" customHeight="1" x14ac:dyDescent="0.25">
      <c r="A245" s="83">
        <v>355</v>
      </c>
      <c r="B245" s="118" t="str">
        <f t="shared" si="18"/>
        <v>376</v>
      </c>
      <c r="C245" s="84" t="s">
        <v>982</v>
      </c>
      <c r="D245" s="84" t="s">
        <v>1754</v>
      </c>
      <c r="E245" s="84" t="s">
        <v>1637</v>
      </c>
      <c r="F245" s="97" t="str">
        <f t="shared" si="16"/>
        <v xml:space="preserve">Huỳnh Bảo Hân </v>
      </c>
      <c r="G245" s="100" t="str">
        <f t="shared" si="17"/>
        <v>24124121</v>
      </c>
      <c r="H245" s="100" t="str">
        <f>VLOOKUP(C245,'[1]DM Đề tài SV ký HĐ (thay đổi)'!$B$1:$Q$475,15,0)</f>
        <v> 24124121@student.hcmute.edu.vn</v>
      </c>
      <c r="I245" s="107" t="str">
        <f>VLOOKUP(C245,'[1]DM Đề tài SV ký HĐ (thay đổi)'!$B$1:$Q$475,16,0)</f>
        <v>0917368337</v>
      </c>
      <c r="J245" s="97" t="str">
        <f>VLOOKUP(C245,'[2]DM Đề tài SV ký HĐ (thay đổi)'!$B$1:$I$475,8,0)</f>
        <v>Kinh tế</v>
      </c>
      <c r="K245" s="84" t="s">
        <v>1239</v>
      </c>
      <c r="L245" s="84" t="s">
        <v>585</v>
      </c>
      <c r="M245" s="97" t="str">
        <f>VLOOKUP(C245,'[2]DM Đề tài SV ký HĐ (thay đổi)'!$B$1:$O$475,13,0)</f>
        <v>thangpvh@hcmute.edu.vn</v>
      </c>
      <c r="N245" s="97" t="str">
        <f>VLOOKUP(C245,'[2]DM Đề tài SV ký HĐ (thay đổi)'!$B$1:$M$475,12,0)</f>
        <v>Khoa Kinh tế</v>
      </c>
      <c r="O245" s="84" t="s">
        <v>1247</v>
      </c>
      <c r="P245" s="93">
        <v>15000000</v>
      </c>
      <c r="Q245" s="85" t="s">
        <v>1649</v>
      </c>
      <c r="R245" s="85"/>
      <c r="S245" s="85"/>
      <c r="T245" s="103">
        <v>2</v>
      </c>
      <c r="U245" s="103" t="s">
        <v>1787</v>
      </c>
      <c r="V245" s="83"/>
      <c r="W245" s="84"/>
      <c r="X245" s="84"/>
      <c r="Y245" s="84"/>
      <c r="Z245" s="84"/>
      <c r="AA245" s="84"/>
      <c r="AB245" s="84"/>
      <c r="AC245" s="84"/>
      <c r="AD245" s="84"/>
      <c r="AE245" s="84"/>
      <c r="AF245" s="84"/>
      <c r="AG245" s="113" t="s">
        <v>1814</v>
      </c>
      <c r="AH245" s="84"/>
    </row>
    <row r="246" spans="1:34" s="87" customFormat="1" ht="109.2" customHeight="1" x14ac:dyDescent="0.25">
      <c r="A246" s="83">
        <v>356</v>
      </c>
      <c r="B246" s="118" t="str">
        <f t="shared" si="18"/>
        <v>378</v>
      </c>
      <c r="C246" s="84" t="s">
        <v>983</v>
      </c>
      <c r="D246" s="84" t="s">
        <v>1575</v>
      </c>
      <c r="E246" s="84" t="s">
        <v>1213</v>
      </c>
      <c r="F246" s="97" t="str">
        <f t="shared" si="16"/>
        <v xml:space="preserve">Bùi Thanh Huyền </v>
      </c>
      <c r="G246" s="100" t="str">
        <f t="shared" si="17"/>
        <v>23136036</v>
      </c>
      <c r="H246" s="100" t="str">
        <f>VLOOKUP(C246,'[1]DM Đề tài SV ký HĐ (thay đổi)'!$B$1:$Q$475,15,0)</f>
        <v>23136036@student.hcmute.edu.vn</v>
      </c>
      <c r="I246" s="107" t="str">
        <f>VLOOKUP(C246,'[1]DM Đề tài SV ký HĐ (thay đổi)'!$B$1:$Q$475,16,0)</f>
        <v>0935758842</v>
      </c>
      <c r="J246" s="97" t="str">
        <f>VLOOKUP(C246,'[2]DM Đề tài SV ký HĐ (thay đổi)'!$B$1:$I$475,8,0)</f>
        <v>Kinh tế</v>
      </c>
      <c r="K246" s="84" t="s">
        <v>1576</v>
      </c>
      <c r="L246" s="84" t="s">
        <v>584</v>
      </c>
      <c r="M246" s="97" t="str">
        <f>VLOOKUP(C246,'[2]DM Đề tài SV ký HĐ (thay đổi)'!$B$1:$O$475,13,0)</f>
        <v>thanhltt@hcmute.edu.vn</v>
      </c>
      <c r="N246" s="97" t="str">
        <f>VLOOKUP(C246,'[2]DM Đề tài SV ký HĐ (thay đổi)'!$B$1:$M$475,12,0)</f>
        <v>Khoa Kinh tế</v>
      </c>
      <c r="O246" s="84" t="s">
        <v>1247</v>
      </c>
      <c r="P246" s="93">
        <v>15000000</v>
      </c>
      <c r="Q246" s="85" t="s">
        <v>1649</v>
      </c>
      <c r="R246" s="85"/>
      <c r="S246" s="85"/>
      <c r="T246" s="101">
        <v>2</v>
      </c>
      <c r="U246" s="101" t="s">
        <v>1787</v>
      </c>
      <c r="V246" s="83"/>
      <c r="W246" s="84"/>
      <c r="X246" s="84"/>
      <c r="Y246" s="84"/>
      <c r="Z246" s="84"/>
      <c r="AA246" s="84"/>
      <c r="AB246" s="84"/>
      <c r="AC246" s="84"/>
      <c r="AD246" s="84"/>
      <c r="AE246" s="84"/>
      <c r="AF246" s="84"/>
      <c r="AG246" s="113" t="s">
        <v>1814</v>
      </c>
      <c r="AH246" s="84"/>
    </row>
    <row r="247" spans="1:34" s="87" customFormat="1" ht="109.2" customHeight="1" x14ac:dyDescent="0.25">
      <c r="A247" s="83">
        <v>359</v>
      </c>
      <c r="B247" s="118" t="str">
        <f t="shared" si="18"/>
        <v>381</v>
      </c>
      <c r="C247" s="84" t="s">
        <v>984</v>
      </c>
      <c r="D247" s="84" t="s">
        <v>588</v>
      </c>
      <c r="E247" s="84" t="s">
        <v>1214</v>
      </c>
      <c r="F247" s="97" t="str">
        <f t="shared" si="16"/>
        <v xml:space="preserve">Lưu Nguyễn Thảo Nguyên </v>
      </c>
      <c r="G247" s="100" t="str">
        <f t="shared" si="17"/>
        <v>23124105</v>
      </c>
      <c r="H247" s="100" t="str">
        <f>VLOOKUP(C247,'[1]DM Đề tài SV ký HĐ (thay đổi)'!$B$1:$Q$475,15,0)</f>
        <v>23124105@student.hcmute.edu.vn</v>
      </c>
      <c r="I247" s="107" t="str">
        <f>VLOOKUP(C247,'[1]DM Đề tài SV ký HĐ (thay đổi)'!$B$1:$Q$475,16,0)</f>
        <v>0858278886</v>
      </c>
      <c r="J247" s="97" t="str">
        <f>VLOOKUP(C247,'[2]DM Đề tài SV ký HĐ (thay đổi)'!$B$1:$I$475,8,0)</f>
        <v>Kinh tế</v>
      </c>
      <c r="K247" s="84" t="s">
        <v>1238</v>
      </c>
      <c r="L247" s="84" t="s">
        <v>589</v>
      </c>
      <c r="M247" s="97" t="str">
        <f>VLOOKUP(C247,'[2]DM Đề tài SV ký HĐ (thay đổi)'!$B$1:$O$475,13,0)</f>
        <v>quangnp@hcmute.edu.vn</v>
      </c>
      <c r="N247" s="97" t="str">
        <f>VLOOKUP(C247,'[2]DM Đề tài SV ký HĐ (thay đổi)'!$B$1:$M$475,12,0)</f>
        <v>Khoa Điện - Điện tử</v>
      </c>
      <c r="O247" s="84" t="s">
        <v>1247</v>
      </c>
      <c r="P247" s="93">
        <v>15000000</v>
      </c>
      <c r="Q247" s="85" t="s">
        <v>1649</v>
      </c>
      <c r="R247" s="85"/>
      <c r="S247" s="85"/>
      <c r="T247" s="101">
        <v>2</v>
      </c>
      <c r="U247" s="101" t="s">
        <v>1787</v>
      </c>
      <c r="V247" s="83"/>
      <c r="W247" s="84"/>
      <c r="X247" s="84"/>
      <c r="Y247" s="84"/>
      <c r="Z247" s="84"/>
      <c r="AA247" s="84"/>
      <c r="AB247" s="84"/>
      <c r="AC247" s="84"/>
      <c r="AD247" s="84"/>
      <c r="AE247" s="84"/>
      <c r="AF247" s="84"/>
      <c r="AG247" s="113" t="s">
        <v>1814</v>
      </c>
      <c r="AH247" s="84"/>
    </row>
    <row r="248" spans="1:34" s="87" customFormat="1" ht="109.2" customHeight="1" x14ac:dyDescent="0.25">
      <c r="A248" s="83">
        <v>360</v>
      </c>
      <c r="B248" s="118" t="str">
        <f t="shared" si="18"/>
        <v>382</v>
      </c>
      <c r="C248" s="84" t="s">
        <v>985</v>
      </c>
      <c r="D248" s="84" t="s">
        <v>1357</v>
      </c>
      <c r="E248" s="84" t="s">
        <v>1215</v>
      </c>
      <c r="F248" s="97" t="str">
        <f t="shared" si="16"/>
        <v xml:space="preserve">Nguyễn Hoàng Dung </v>
      </c>
      <c r="G248" s="100" t="str">
        <f t="shared" si="17"/>
        <v>24126034</v>
      </c>
      <c r="H248" s="100" t="str">
        <f>VLOOKUP(C248,'[1]DM Đề tài SV ký HĐ (thay đổi)'!$B$1:$Q$475,15,0)</f>
        <v> 24126034@student.hcmute.edu.vn</v>
      </c>
      <c r="I248" s="107" t="str">
        <f>VLOOKUP(C248,'[1]DM Đề tài SV ký HĐ (thay đổi)'!$B$1:$Q$475,16,0)</f>
        <v>0972773072</v>
      </c>
      <c r="J248" s="97" t="str">
        <f>VLOOKUP(C248,'[2]DM Đề tài SV ký HĐ (thay đổi)'!$B$1:$I$475,8,0)</f>
        <v>Kinh tế</v>
      </c>
      <c r="K248" s="84" t="s">
        <v>1490</v>
      </c>
      <c r="L248" s="84" t="s">
        <v>590</v>
      </c>
      <c r="M248" s="97" t="str">
        <f>VLOOKUP(C248,'[2]DM Đề tài SV ký HĐ (thay đổi)'!$B$1:$O$475,13,0)</f>
        <v>thaindh@hcmute.edu.vn</v>
      </c>
      <c r="N248" s="97" t="str">
        <f>VLOOKUP(C248,'[2]DM Đề tài SV ký HĐ (thay đổi)'!$B$1:$M$475,12,0)</f>
        <v>Khoa Kinh tế</v>
      </c>
      <c r="O248" s="84" t="s">
        <v>1248</v>
      </c>
      <c r="P248" s="93">
        <v>15000000</v>
      </c>
      <c r="Q248" s="85" t="s">
        <v>1649</v>
      </c>
      <c r="R248" s="85"/>
      <c r="S248" s="85"/>
      <c r="T248" s="101">
        <v>2</v>
      </c>
      <c r="U248" s="101" t="s">
        <v>1787</v>
      </c>
      <c r="V248" s="83"/>
      <c r="W248" s="84"/>
      <c r="X248" s="84"/>
      <c r="Y248" s="84"/>
      <c r="Z248" s="84"/>
      <c r="AA248" s="84"/>
      <c r="AB248" s="84"/>
      <c r="AC248" s="84"/>
      <c r="AD248" s="84"/>
      <c r="AE248" s="84"/>
      <c r="AF248" s="84"/>
      <c r="AG248" s="113" t="s">
        <v>1814</v>
      </c>
      <c r="AH248" s="84"/>
    </row>
    <row r="249" spans="1:34" s="87" customFormat="1" ht="109.2" customHeight="1" x14ac:dyDescent="0.25">
      <c r="A249" s="83">
        <v>363</v>
      </c>
      <c r="B249" s="118" t="str">
        <f t="shared" si="18"/>
        <v>385</v>
      </c>
      <c r="C249" s="84" t="s">
        <v>986</v>
      </c>
      <c r="D249" s="84" t="s">
        <v>591</v>
      </c>
      <c r="E249" s="84" t="s">
        <v>1216</v>
      </c>
      <c r="F249" s="97" t="str">
        <f t="shared" si="16"/>
        <v xml:space="preserve">Phạm Thị Phương Quyên </v>
      </c>
      <c r="G249" s="100" t="str">
        <f t="shared" si="17"/>
        <v>23125030</v>
      </c>
      <c r="H249" s="100" t="str">
        <f>VLOOKUP(C249,'[1]DM Đề tài SV ký HĐ (thay đổi)'!$B$1:$Q$475,15,0)</f>
        <v>23125030@student.hcmute.edu.vn</v>
      </c>
      <c r="I249" s="107" t="str">
        <f>VLOOKUP(C249,'[1]DM Đề tài SV ký HĐ (thay đổi)'!$B$1:$Q$475,16,0)</f>
        <v>0396186415</v>
      </c>
      <c r="J249" s="97" t="str">
        <f>VLOOKUP(C249,'[2]DM Đề tài SV ký HĐ (thay đổi)'!$B$1:$I$475,8,0)</f>
        <v>Kinh tế</v>
      </c>
      <c r="K249" s="84" t="s">
        <v>1237</v>
      </c>
      <c r="L249" s="84" t="s">
        <v>577</v>
      </c>
      <c r="M249" s="97" t="str">
        <f>VLOOKUP(C249,'[2]DM Đề tài SV ký HĐ (thay đổi)'!$B$1:$O$475,13,0)</f>
        <v>anhctn@hcmute.edu.vn</v>
      </c>
      <c r="N249" s="97" t="str">
        <f>VLOOKUP(C249,'[2]DM Đề tài SV ký HĐ (thay đổi)'!$B$1:$M$475,12,0)</f>
        <v>Khoa Kinh tế</v>
      </c>
      <c r="O249" s="84" t="s">
        <v>1247</v>
      </c>
      <c r="P249" s="93">
        <v>15000000</v>
      </c>
      <c r="Q249" s="85" t="s">
        <v>1649</v>
      </c>
      <c r="R249" s="85"/>
      <c r="S249" s="85"/>
      <c r="T249" s="101">
        <v>2</v>
      </c>
      <c r="U249" s="101" t="s">
        <v>1787</v>
      </c>
      <c r="V249" s="83"/>
      <c r="W249" s="84"/>
      <c r="X249" s="84"/>
      <c r="Y249" s="84"/>
      <c r="Z249" s="84"/>
      <c r="AA249" s="84"/>
      <c r="AB249" s="84"/>
      <c r="AC249" s="84"/>
      <c r="AD249" s="84"/>
      <c r="AE249" s="84"/>
      <c r="AF249" s="84"/>
      <c r="AG249" s="114" t="s">
        <v>1813</v>
      </c>
      <c r="AH249" s="84"/>
    </row>
    <row r="250" spans="1:34" s="87" customFormat="1" ht="109.2" customHeight="1" x14ac:dyDescent="0.25">
      <c r="A250" s="83">
        <v>364</v>
      </c>
      <c r="B250" s="118" t="str">
        <f t="shared" si="18"/>
        <v>386</v>
      </c>
      <c r="C250" s="84" t="s">
        <v>987</v>
      </c>
      <c r="D250" s="84" t="s">
        <v>1208</v>
      </c>
      <c r="E250" s="84" t="s">
        <v>1217</v>
      </c>
      <c r="F250" s="97" t="str">
        <f t="shared" si="16"/>
        <v xml:space="preserve">Phạm Trần Thanh Trúc </v>
      </c>
      <c r="G250" s="100" t="str">
        <f t="shared" si="17"/>
        <v>24126263</v>
      </c>
      <c r="H250" s="100" t="str">
        <f>VLOOKUP(C250,'[1]DM Đề tài SV ký HĐ (thay đổi)'!$B$1:$Q$475,15,0)</f>
        <v>24126263@student.hcmute.edu.vn</v>
      </c>
      <c r="I250" s="107" t="str">
        <f>VLOOKUP(C250,'[1]DM Đề tài SV ký HĐ (thay đổi)'!$B$1:$Q$475,16,0)</f>
        <v>0937587181</v>
      </c>
      <c r="J250" s="97" t="str">
        <f>VLOOKUP(C250,'[2]DM Đề tài SV ký HĐ (thay đổi)'!$B$1:$I$475,8,0)</f>
        <v>Kinh tế</v>
      </c>
      <c r="K250" s="84" t="s">
        <v>1236</v>
      </c>
      <c r="L250" s="84" t="s">
        <v>592</v>
      </c>
      <c r="M250" s="97" t="str">
        <f>VLOOKUP(C250,'[2]DM Đề tài SV ký HĐ (thay đổi)'!$B$1:$O$475,13,0)</f>
        <v>thinhbt@hcmute.edu.vn</v>
      </c>
      <c r="N250" s="97" t="str">
        <f>VLOOKUP(C250,'[2]DM Đề tài SV ký HĐ (thay đổi)'!$B$1:$M$475,12,0)</f>
        <v>Khoa Kinh tế</v>
      </c>
      <c r="O250" s="84" t="s">
        <v>1247</v>
      </c>
      <c r="P250" s="93">
        <v>15000000</v>
      </c>
      <c r="Q250" s="85" t="s">
        <v>1649</v>
      </c>
      <c r="R250" s="85"/>
      <c r="S250" s="85"/>
      <c r="T250" s="101">
        <v>2</v>
      </c>
      <c r="U250" s="101" t="s">
        <v>1787</v>
      </c>
      <c r="V250" s="83"/>
      <c r="W250" s="84"/>
      <c r="X250" s="84"/>
      <c r="Y250" s="84"/>
      <c r="Z250" s="84"/>
      <c r="AA250" s="84"/>
      <c r="AB250" s="84"/>
      <c r="AC250" s="84"/>
      <c r="AD250" s="84"/>
      <c r="AE250" s="84"/>
      <c r="AF250" s="84"/>
      <c r="AG250" s="113" t="s">
        <v>1815</v>
      </c>
      <c r="AH250" s="84"/>
    </row>
    <row r="251" spans="1:34" s="87" customFormat="1" ht="109.2" customHeight="1" x14ac:dyDescent="0.25">
      <c r="A251" s="83">
        <v>365</v>
      </c>
      <c r="B251" s="118" t="str">
        <f t="shared" si="18"/>
        <v>387</v>
      </c>
      <c r="C251" s="84" t="s">
        <v>988</v>
      </c>
      <c r="D251" s="84" t="s">
        <v>593</v>
      </c>
      <c r="E251" s="84" t="s">
        <v>1218</v>
      </c>
      <c r="F251" s="97" t="str">
        <f t="shared" si="16"/>
        <v xml:space="preserve">Lê Nhựt Linh </v>
      </c>
      <c r="G251" s="100" t="str">
        <f t="shared" si="17"/>
        <v>23126022</v>
      </c>
      <c r="H251" s="100" t="str">
        <f>VLOOKUP(C251,'[1]DM Đề tài SV ký HĐ (thay đổi)'!$B$1:$Q$475,15,0)</f>
        <v>23126022@student.hcmute.edu.vn</v>
      </c>
      <c r="I251" s="107" t="str">
        <f>VLOOKUP(C251,'[1]DM Đề tài SV ký HĐ (thay đổi)'!$B$1:$Q$475,16,0)</f>
        <v xml:space="preserve">0384585841 </v>
      </c>
      <c r="J251" s="97" t="str">
        <f>VLOOKUP(C251,'[2]DM Đề tài SV ký HĐ (thay đổi)'!$B$1:$I$475,8,0)</f>
        <v>Kinh tế</v>
      </c>
      <c r="K251" s="84"/>
      <c r="L251" s="84" t="s">
        <v>579</v>
      </c>
      <c r="M251" s="97" t="str">
        <f>VLOOKUP(C251,'[2]DM Đề tài SV ký HĐ (thay đổi)'!$B$1:$O$475,13,0)</f>
        <v>xuyenhth@hcmute.edu.vn</v>
      </c>
      <c r="N251" s="97" t="str">
        <f>VLOOKUP(C251,'[2]DM Đề tài SV ký HĐ (thay đổi)'!$B$1:$M$475,12,0)</f>
        <v>Khoa Kinh tế</v>
      </c>
      <c r="O251" s="84" t="s">
        <v>1247</v>
      </c>
      <c r="P251" s="93">
        <v>15000000</v>
      </c>
      <c r="Q251" s="85" t="s">
        <v>1649</v>
      </c>
      <c r="R251" s="85"/>
      <c r="S251" s="85"/>
      <c r="T251" s="101">
        <v>2</v>
      </c>
      <c r="U251" s="101" t="s">
        <v>1787</v>
      </c>
      <c r="V251" s="83"/>
      <c r="W251" s="84"/>
      <c r="X251" s="84"/>
      <c r="Y251" s="84"/>
      <c r="Z251" s="84"/>
      <c r="AA251" s="84"/>
      <c r="AB251" s="84"/>
      <c r="AC251" s="84"/>
      <c r="AD251" s="84"/>
      <c r="AE251" s="84"/>
      <c r="AF251" s="84"/>
      <c r="AG251" s="114" t="s">
        <v>1813</v>
      </c>
      <c r="AH251" s="84"/>
    </row>
    <row r="252" spans="1:34" s="87" customFormat="1" ht="109.2" customHeight="1" x14ac:dyDescent="0.25">
      <c r="A252" s="83">
        <v>366</v>
      </c>
      <c r="B252" s="118" t="str">
        <f t="shared" si="18"/>
        <v>388</v>
      </c>
      <c r="C252" s="84" t="s">
        <v>989</v>
      </c>
      <c r="D252" s="84" t="s">
        <v>594</v>
      </c>
      <c r="E252" s="84" t="s">
        <v>1644</v>
      </c>
      <c r="F252" s="97" t="str">
        <f t="shared" si="16"/>
        <v xml:space="preserve">Nguyễn Thị Hoà Bình </v>
      </c>
      <c r="G252" s="100" t="str">
        <f t="shared" si="17"/>
        <v>24126021</v>
      </c>
      <c r="H252" s="100" t="str">
        <f>VLOOKUP(C252,'[1]DM Đề tài SV ký HĐ (thay đổi)'!$B$1:$Q$475,15,0)</f>
        <v>24126021@student.hcmute.edu.vn</v>
      </c>
      <c r="I252" s="107" t="str">
        <f>VLOOKUP(C252,'[1]DM Đề tài SV ký HĐ (thay đổi)'!$B$1:$Q$475,16,0)</f>
        <v>0325648412</v>
      </c>
      <c r="J252" s="97" t="str">
        <f>VLOOKUP(C252,'[2]DM Đề tài SV ký HĐ (thay đổi)'!$B$1:$I$475,8,0)</f>
        <v>Kinh tế</v>
      </c>
      <c r="K252" s="84" t="s">
        <v>1491</v>
      </c>
      <c r="L252" s="84" t="s">
        <v>586</v>
      </c>
      <c r="M252" s="97" t="str">
        <f>VLOOKUP(C252,'[2]DM Đề tài SV ký HĐ (thay đổi)'!$B$1:$O$475,13,0)</f>
        <v>lananhnt@hcmute.edu.vn</v>
      </c>
      <c r="N252" s="97" t="str">
        <f>VLOOKUP(C252,'[2]DM Đề tài SV ký HĐ (thay đổi)'!$B$1:$M$475,12,0)</f>
        <v>Khoa Kinh tế</v>
      </c>
      <c r="O252" s="84" t="s">
        <v>1247</v>
      </c>
      <c r="P252" s="93">
        <v>15000000</v>
      </c>
      <c r="Q252" s="85" t="s">
        <v>1649</v>
      </c>
      <c r="R252" s="85"/>
      <c r="S252" s="85"/>
      <c r="T252" s="103">
        <v>2</v>
      </c>
      <c r="U252" s="103" t="s">
        <v>1787</v>
      </c>
      <c r="V252" s="83"/>
      <c r="W252" s="84"/>
      <c r="X252" s="84"/>
      <c r="Y252" s="84"/>
      <c r="Z252" s="84"/>
      <c r="AA252" s="84"/>
      <c r="AB252" s="84"/>
      <c r="AC252" s="84"/>
      <c r="AD252" s="84"/>
      <c r="AE252" s="84"/>
      <c r="AF252" s="84"/>
      <c r="AG252" s="114" t="s">
        <v>1813</v>
      </c>
      <c r="AH252" s="84"/>
    </row>
    <row r="253" spans="1:34" s="87" customFormat="1" ht="109.2" customHeight="1" x14ac:dyDescent="0.25">
      <c r="A253" s="83">
        <v>367</v>
      </c>
      <c r="B253" s="118" t="str">
        <f t="shared" si="18"/>
        <v>389</v>
      </c>
      <c r="C253" s="84" t="s">
        <v>990</v>
      </c>
      <c r="D253" s="84" t="s">
        <v>1571</v>
      </c>
      <c r="E253" s="84" t="s">
        <v>1695</v>
      </c>
      <c r="F253" s="97" t="str">
        <f t="shared" si="16"/>
        <v xml:space="preserve">Võ Lâm Vĩ </v>
      </c>
      <c r="G253" s="100" t="str">
        <f t="shared" si="17"/>
        <v>22149204</v>
      </c>
      <c r="H253" s="100" t="str">
        <f>VLOOKUP(C253,'[1]DM Đề tài SV ký HĐ (thay đổi)'!$B$1:$Q$475,15,0)</f>
        <v>22149204@student.hcmute.edu.vn</v>
      </c>
      <c r="I253" s="107" t="str">
        <f>VLOOKUP(C253,'[1]DM Đề tài SV ký HĐ (thay đổi)'!$B$1:$Q$475,16,0)</f>
        <v>0377201416
0949167157</v>
      </c>
      <c r="J253" s="97" t="str">
        <f>VLOOKUP(C253,'[2]DM Đề tài SV ký HĐ (thay đổi)'!$B$1:$I$475,8,0)</f>
        <v>Kinh tế</v>
      </c>
      <c r="K253" s="84" t="s">
        <v>1696</v>
      </c>
      <c r="L253" s="84" t="s">
        <v>587</v>
      </c>
      <c r="M253" s="97" t="str">
        <f>VLOOKUP(C253,'[2]DM Đề tài SV ký HĐ (thay đổi)'!$B$1:$O$475,13,0)</f>
        <v>phuongtta@hcmute.edu.vn</v>
      </c>
      <c r="N253" s="97" t="str">
        <f>VLOOKUP(C253,'[2]DM Đề tài SV ký HĐ (thay đổi)'!$B$1:$M$475,12,0)</f>
        <v>Khoa Kinh tế</v>
      </c>
      <c r="O253" s="84" t="s">
        <v>580</v>
      </c>
      <c r="P253" s="93">
        <v>5000000</v>
      </c>
      <c r="Q253" s="84" t="s">
        <v>1647</v>
      </c>
      <c r="R253" s="84"/>
      <c r="S253" s="84"/>
      <c r="T253" s="103">
        <v>2</v>
      </c>
      <c r="U253" s="103" t="s">
        <v>1787</v>
      </c>
      <c r="V253" s="83"/>
      <c r="W253" s="84"/>
      <c r="X253" s="84"/>
      <c r="Y253" s="84"/>
      <c r="Z253" s="84"/>
      <c r="AA253" s="84"/>
      <c r="AB253" s="84"/>
      <c r="AC253" s="84"/>
      <c r="AD253" s="84"/>
      <c r="AE253" s="84"/>
      <c r="AF253" s="84"/>
      <c r="AG253" s="113" t="s">
        <v>1814</v>
      </c>
      <c r="AH253" s="84"/>
    </row>
    <row r="254" spans="1:34" s="87" customFormat="1" ht="109.2" customHeight="1" x14ac:dyDescent="0.25">
      <c r="A254" s="83">
        <v>369</v>
      </c>
      <c r="B254" s="83" t="str">
        <f t="shared" si="18"/>
        <v>391</v>
      </c>
      <c r="C254" s="84" t="s">
        <v>991</v>
      </c>
      <c r="D254" s="84" t="s">
        <v>595</v>
      </c>
      <c r="E254" s="84" t="s">
        <v>1219</v>
      </c>
      <c r="F254" s="97" t="str">
        <f t="shared" si="16"/>
        <v xml:space="preserve">Lê Quỳnh Phương </v>
      </c>
      <c r="G254" s="100" t="str">
        <f t="shared" si="17"/>
        <v>23124114</v>
      </c>
      <c r="H254" s="100" t="str">
        <f>VLOOKUP(C254,'[1]DM Đề tài SV ký HĐ (thay đổi)'!$B$1:$Q$475,15,0)</f>
        <v xml:space="preserve"> lequynhphuong836592@gmail.com</v>
      </c>
      <c r="I254" s="107" t="str">
        <f>VLOOKUP(C254,'[1]DM Đề tài SV ký HĐ (thay đổi)'!$B$1:$Q$475,16,0)</f>
        <v>0798611570</v>
      </c>
      <c r="J254" s="97" t="str">
        <f>VLOOKUP(C254,'[2]DM Đề tài SV ký HĐ (thay đổi)'!$B$1:$I$475,8,0)</f>
        <v>Kinh tế</v>
      </c>
      <c r="K254" s="84" t="s">
        <v>1235</v>
      </c>
      <c r="L254" s="84" t="s">
        <v>609</v>
      </c>
      <c r="M254" s="97" t="str">
        <f>VLOOKUP(C254,'[2]DM Đề tài SV ký HĐ (thay đổi)'!$B$1:$O$475,13,0)</f>
        <v>lamgiangkkt@hcmute.edu.vn</v>
      </c>
      <c r="N254" s="97" t="str">
        <f>VLOOKUP(C254,'[2]DM Đề tài SV ký HĐ (thay đổi)'!$B$1:$M$475,12,0)</f>
        <v>Khoa Kinh tế</v>
      </c>
      <c r="O254" s="84" t="s">
        <v>596</v>
      </c>
      <c r="P254" s="93">
        <v>5000000</v>
      </c>
      <c r="Q254" s="84" t="s">
        <v>1647</v>
      </c>
      <c r="R254" s="84"/>
      <c r="S254" s="84"/>
      <c r="T254" s="101">
        <v>2</v>
      </c>
      <c r="U254" s="101" t="s">
        <v>1787</v>
      </c>
      <c r="V254" s="83"/>
      <c r="W254" s="84"/>
      <c r="X254" s="84"/>
      <c r="Y254" s="84"/>
      <c r="Z254" s="84"/>
      <c r="AA254" s="84"/>
      <c r="AB254" s="84"/>
      <c r="AC254" s="84"/>
      <c r="AD254" s="84"/>
      <c r="AE254" s="84"/>
      <c r="AF254" s="84"/>
      <c r="AG254" s="113" t="s">
        <v>1814</v>
      </c>
      <c r="AH254" s="84"/>
    </row>
    <row r="255" spans="1:34" s="87" customFormat="1" ht="109.2" customHeight="1" x14ac:dyDescent="0.25">
      <c r="A255" s="83">
        <v>370</v>
      </c>
      <c r="B255" s="118" t="str">
        <f t="shared" si="18"/>
        <v>392</v>
      </c>
      <c r="C255" s="84" t="s">
        <v>992</v>
      </c>
      <c r="D255" s="84" t="s">
        <v>597</v>
      </c>
      <c r="E255" s="84" t="s">
        <v>1234</v>
      </c>
      <c r="F255" s="97" t="str">
        <f t="shared" si="16"/>
        <v xml:space="preserve">Nguyễn Thị Kiều Nhi </v>
      </c>
      <c r="G255" s="100" t="str">
        <f t="shared" si="17"/>
        <v>24126168</v>
      </c>
      <c r="H255" s="100" t="str">
        <f>VLOOKUP(C255,'[1]DM Đề tài SV ký HĐ (thay đổi)'!$B$1:$Q$475,15,0)</f>
        <v>kieunhi29122006@gmail.com</v>
      </c>
      <c r="I255" s="107" t="str">
        <f>VLOOKUP(C255,'[1]DM Đề tài SV ký HĐ (thay đổi)'!$B$1:$Q$475,16,0)</f>
        <v>0964938421</v>
      </c>
      <c r="J255" s="97" t="str">
        <f>VLOOKUP(C255,'[2]DM Đề tài SV ký HĐ (thay đổi)'!$B$1:$I$475,8,0)</f>
        <v>Kinh tế</v>
      </c>
      <c r="K255" s="84" t="s">
        <v>1492</v>
      </c>
      <c r="L255" s="84" t="s">
        <v>598</v>
      </c>
      <c r="M255" s="97" t="str">
        <f>VLOOKUP(C255,'[2]DM Đề tài SV ký HĐ (thay đổi)'!$B$1:$O$475,13,0)</f>
        <v>hieunk@hcmute.edu.vn</v>
      </c>
      <c r="N255" s="97" t="str">
        <f>VLOOKUP(C255,'[2]DM Đề tài SV ký HĐ (thay đổi)'!$B$1:$M$475,12,0)</f>
        <v>Khoa Kinh tế</v>
      </c>
      <c r="O255" s="84" t="s">
        <v>1247</v>
      </c>
      <c r="P255" s="93">
        <v>15000000</v>
      </c>
      <c r="Q255" s="85" t="s">
        <v>1649</v>
      </c>
      <c r="R255" s="85"/>
      <c r="S255" s="85"/>
      <c r="T255" s="103">
        <v>2</v>
      </c>
      <c r="U255" s="103" t="s">
        <v>1787</v>
      </c>
      <c r="V255" s="83"/>
      <c r="W255" s="84"/>
      <c r="X255" s="84"/>
      <c r="Y255" s="84"/>
      <c r="Z255" s="84"/>
      <c r="AA255" s="84"/>
      <c r="AB255" s="84"/>
      <c r="AC255" s="84"/>
      <c r="AD255" s="84"/>
      <c r="AE255" s="84"/>
      <c r="AF255" s="84"/>
      <c r="AG255" s="114" t="s">
        <v>1813</v>
      </c>
      <c r="AH255" s="84"/>
    </row>
    <row r="256" spans="1:34" s="87" customFormat="1" ht="109.2" customHeight="1" x14ac:dyDescent="0.25">
      <c r="A256" s="83">
        <v>371</v>
      </c>
      <c r="B256" s="118" t="str">
        <f t="shared" si="18"/>
        <v>393</v>
      </c>
      <c r="C256" s="84" t="s">
        <v>993</v>
      </c>
      <c r="D256" s="84" t="s">
        <v>599</v>
      </c>
      <c r="E256" s="84" t="s">
        <v>1220</v>
      </c>
      <c r="F256" s="97" t="str">
        <f t="shared" si="16"/>
        <v xml:space="preserve">Nguyễn Kim Ngân </v>
      </c>
      <c r="G256" s="100" t="str">
        <f t="shared" si="17"/>
        <v>23125015</v>
      </c>
      <c r="H256" s="100" t="str">
        <f>VLOOKUP(C256,'[1]DM Đề tài SV ký HĐ (thay đổi)'!$B$1:$Q$475,15,0)</f>
        <v>23125015@student.hcmute.edu.vn</v>
      </c>
      <c r="I256" s="107" t="str">
        <f>VLOOKUP(C256,'[1]DM Đề tài SV ký HĐ (thay đổi)'!$B$1:$Q$475,16,0)</f>
        <v>0354103335</v>
      </c>
      <c r="J256" s="97" t="str">
        <f>VLOOKUP(C256,'[2]DM Đề tài SV ký HĐ (thay đổi)'!$B$1:$I$475,8,0)</f>
        <v>Kinh tế</v>
      </c>
      <c r="K256" s="84" t="s">
        <v>1233</v>
      </c>
      <c r="L256" s="84" t="s">
        <v>577</v>
      </c>
      <c r="M256" s="97" t="str">
        <f>VLOOKUP(C256,'[2]DM Đề tài SV ký HĐ (thay đổi)'!$B$1:$O$475,13,0)</f>
        <v>anhctn@hcmute.edu.vn</v>
      </c>
      <c r="N256" s="97" t="str">
        <f>VLOOKUP(C256,'[2]DM Đề tài SV ký HĐ (thay đổi)'!$B$1:$M$475,12,0)</f>
        <v>Khoa Kinh tế</v>
      </c>
      <c r="O256" s="84" t="s">
        <v>600</v>
      </c>
      <c r="P256" s="93">
        <v>5000000</v>
      </c>
      <c r="Q256" s="84" t="s">
        <v>1647</v>
      </c>
      <c r="R256" s="84"/>
      <c r="S256" s="84"/>
      <c r="T256" s="101">
        <v>2</v>
      </c>
      <c r="U256" s="101" t="s">
        <v>1787</v>
      </c>
      <c r="V256" s="83"/>
      <c r="W256" s="84"/>
      <c r="X256" s="84"/>
      <c r="Y256" s="84"/>
      <c r="Z256" s="84"/>
      <c r="AA256" s="84"/>
      <c r="AB256" s="84"/>
      <c r="AC256" s="84"/>
      <c r="AD256" s="84"/>
      <c r="AE256" s="84"/>
      <c r="AF256" s="84"/>
      <c r="AG256" s="113" t="s">
        <v>1814</v>
      </c>
      <c r="AH256" s="84"/>
    </row>
    <row r="257" spans="1:34" s="87" customFormat="1" ht="109.2" customHeight="1" x14ac:dyDescent="0.25">
      <c r="A257" s="83">
        <v>372</v>
      </c>
      <c r="B257" s="83" t="str">
        <f t="shared" si="18"/>
        <v>394</v>
      </c>
      <c r="C257" s="84" t="s">
        <v>994</v>
      </c>
      <c r="D257" s="84" t="s">
        <v>601</v>
      </c>
      <c r="E257" s="84" t="s">
        <v>1221</v>
      </c>
      <c r="F257" s="97" t="str">
        <f t="shared" si="16"/>
        <v xml:space="preserve">Dương Thái Quyên </v>
      </c>
      <c r="G257" s="100" t="str">
        <f t="shared" si="17"/>
        <v>24126188</v>
      </c>
      <c r="H257" s="100" t="str">
        <f>VLOOKUP(C257,'[1]DM Đề tài SV ký HĐ (thay đổi)'!$B$1:$Q$475,15,0)</f>
        <v>24126188@student.hcmute.edu.vn</v>
      </c>
      <c r="I257" s="107" t="str">
        <f>VLOOKUP(C257,'[1]DM Đề tài SV ký HĐ (thay đổi)'!$B$1:$Q$475,16,0)</f>
        <v>0349305257</v>
      </c>
      <c r="J257" s="97" t="str">
        <f>VLOOKUP(C257,'[2]DM Đề tài SV ký HĐ (thay đổi)'!$B$1:$I$475,8,0)</f>
        <v>Kinh tế</v>
      </c>
      <c r="K257" s="84" t="s">
        <v>1232</v>
      </c>
      <c r="L257" s="84" t="s">
        <v>602</v>
      </c>
      <c r="M257" s="97" t="str">
        <f>VLOOKUP(C257,'[2]DM Đề tài SV ký HĐ (thay đổi)'!$B$1:$O$475,13,0)</f>
        <v>toaitk@hcmute.edu.vn</v>
      </c>
      <c r="N257" s="97" t="str">
        <f>VLOOKUP(C257,'[2]DM Đề tài SV ký HĐ (thay đổi)'!$B$1:$M$475,12,0)</f>
        <v>Khoa Kinh tế</v>
      </c>
      <c r="O257" s="84" t="s">
        <v>603</v>
      </c>
      <c r="P257" s="93">
        <v>5000000</v>
      </c>
      <c r="Q257" s="84" t="s">
        <v>1647</v>
      </c>
      <c r="R257" s="84"/>
      <c r="S257" s="84"/>
      <c r="T257" s="101">
        <v>2</v>
      </c>
      <c r="U257" s="101" t="s">
        <v>1787</v>
      </c>
      <c r="V257" s="83"/>
      <c r="W257" s="84"/>
      <c r="X257" s="84"/>
      <c r="Y257" s="84"/>
      <c r="Z257" s="84"/>
      <c r="AA257" s="84"/>
      <c r="AB257" s="84"/>
      <c r="AC257" s="84"/>
      <c r="AD257" s="84"/>
      <c r="AE257" s="84"/>
      <c r="AF257" s="84"/>
      <c r="AG257" s="113" t="s">
        <v>1814</v>
      </c>
      <c r="AH257" s="84"/>
    </row>
    <row r="258" spans="1:34" s="87" customFormat="1" ht="109.2" customHeight="1" x14ac:dyDescent="0.25">
      <c r="A258" s="83">
        <v>373</v>
      </c>
      <c r="B258" s="118" t="str">
        <f t="shared" si="18"/>
        <v>395</v>
      </c>
      <c r="C258" s="84" t="s">
        <v>995</v>
      </c>
      <c r="D258" s="84" t="s">
        <v>604</v>
      </c>
      <c r="E258" s="84" t="s">
        <v>1222</v>
      </c>
      <c r="F258" s="97" t="str">
        <f t="shared" si="16"/>
        <v xml:space="preserve">Trần Đình Năm </v>
      </c>
      <c r="G258" s="100" t="str">
        <f t="shared" si="17"/>
        <v>23136062</v>
      </c>
      <c r="H258" s="100" t="str">
        <f>VLOOKUP(C258,'[1]DM Đề tài SV ký HĐ (thay đổi)'!$B$1:$Q$475,15,0)</f>
        <v> 23136062@student.hcmute.edu.vn</v>
      </c>
      <c r="I258" s="107" t="str">
        <f>VLOOKUP(C258,'[1]DM Đề tài SV ký HĐ (thay đổi)'!$B$1:$Q$475,16,0)</f>
        <v>0824399719</v>
      </c>
      <c r="J258" s="97" t="str">
        <f>VLOOKUP(C258,'[2]DM Đề tài SV ký HĐ (thay đổi)'!$B$1:$I$475,8,0)</f>
        <v>Kinh tế</v>
      </c>
      <c r="K258" s="84" t="s">
        <v>1231</v>
      </c>
      <c r="L258" s="84" t="s">
        <v>605</v>
      </c>
      <c r="M258" s="97" t="str">
        <f>VLOOKUP(C258,'[2]DM Đề tài SV ký HĐ (thay đổi)'!$B$1:$O$475,13,0)</f>
        <v>ngocnpn@hcmute.edu.vn</v>
      </c>
      <c r="N258" s="97" t="str">
        <f>VLOOKUP(C258,'[2]DM Đề tài SV ký HĐ (thay đổi)'!$B$1:$M$475,12,0)</f>
        <v>Khoa Kinh tế</v>
      </c>
      <c r="O258" s="84" t="s">
        <v>1247</v>
      </c>
      <c r="P258" s="93">
        <v>15000000</v>
      </c>
      <c r="Q258" s="85" t="s">
        <v>1649</v>
      </c>
      <c r="R258" s="85"/>
      <c r="S258" s="85"/>
      <c r="T258" s="101">
        <v>2</v>
      </c>
      <c r="U258" s="101" t="s">
        <v>1787</v>
      </c>
      <c r="V258" s="83"/>
      <c r="W258" s="84"/>
      <c r="X258" s="84"/>
      <c r="Y258" s="84"/>
      <c r="Z258" s="84"/>
      <c r="AA258" s="84"/>
      <c r="AB258" s="84"/>
      <c r="AC258" s="84"/>
      <c r="AD258" s="84"/>
      <c r="AE258" s="84"/>
      <c r="AF258" s="84"/>
      <c r="AG258" s="113" t="s">
        <v>1814</v>
      </c>
      <c r="AH258" s="84"/>
    </row>
    <row r="259" spans="1:34" s="87" customFormat="1" ht="109.2" customHeight="1" x14ac:dyDescent="0.25">
      <c r="A259" s="83">
        <v>374</v>
      </c>
      <c r="B259" s="118" t="str">
        <f t="shared" si="18"/>
        <v>396</v>
      </c>
      <c r="C259" s="84" t="s">
        <v>996</v>
      </c>
      <c r="D259" s="84" t="s">
        <v>1656</v>
      </c>
      <c r="E259" s="84" t="s">
        <v>1223</v>
      </c>
      <c r="F259" s="97" t="str">
        <f t="shared" si="16"/>
        <v xml:space="preserve">Trần Ngọc Anh </v>
      </c>
      <c r="G259" s="100" t="str">
        <f t="shared" si="17"/>
        <v>24124094</v>
      </c>
      <c r="H259" s="100" t="str">
        <f>VLOOKUP(C259,'[1]DM Đề tài SV ký HĐ (thay đổi)'!$B$1:$Q$475,15,0)</f>
        <v xml:space="preserve"> 24124094@student.hcmute.edu.vn</v>
      </c>
      <c r="I259" s="107" t="str">
        <f>VLOOKUP(C259,'[1]DM Đề tài SV ký HĐ (thay đổi)'!$B$1:$Q$475,16,0)</f>
        <v>0932516392</v>
      </c>
      <c r="J259" s="97" t="str">
        <f>VLOOKUP(C259,'[2]DM Đề tài SV ký HĐ (thay đổi)'!$B$1:$I$475,8,0)</f>
        <v>Kinh tế</v>
      </c>
      <c r="K259" s="84" t="s">
        <v>1230</v>
      </c>
      <c r="L259" s="84" t="s">
        <v>585</v>
      </c>
      <c r="M259" s="97" t="str">
        <f>VLOOKUP(C259,'[2]DM Đề tài SV ký HĐ (thay đổi)'!$B$1:$O$475,13,0)</f>
        <v>thangpvh@hcmute.edu.vn</v>
      </c>
      <c r="N259" s="97" t="str">
        <f>VLOOKUP(C259,'[2]DM Đề tài SV ký HĐ (thay đổi)'!$B$1:$M$475,12,0)</f>
        <v>Khoa Kinh tế</v>
      </c>
      <c r="O259" s="84" t="s">
        <v>1247</v>
      </c>
      <c r="P259" s="93">
        <v>15000000</v>
      </c>
      <c r="Q259" s="85" t="s">
        <v>1649</v>
      </c>
      <c r="R259" s="85"/>
      <c r="S259" s="85"/>
      <c r="T259" s="103">
        <v>2</v>
      </c>
      <c r="U259" s="103" t="s">
        <v>1787</v>
      </c>
      <c r="V259" s="83"/>
      <c r="W259" s="84"/>
      <c r="X259" s="84"/>
      <c r="Y259" s="84"/>
      <c r="Z259" s="84"/>
      <c r="AA259" s="84"/>
      <c r="AB259" s="84"/>
      <c r="AC259" s="84"/>
      <c r="AD259" s="84"/>
      <c r="AE259" s="84"/>
      <c r="AF259" s="84"/>
      <c r="AG259" s="113" t="s">
        <v>1814</v>
      </c>
      <c r="AH259" s="84"/>
    </row>
    <row r="260" spans="1:34" s="87" customFormat="1" ht="109.2" customHeight="1" x14ac:dyDescent="0.25">
      <c r="A260" s="83">
        <v>375</v>
      </c>
      <c r="B260" s="118" t="str">
        <f t="shared" si="18"/>
        <v>397</v>
      </c>
      <c r="C260" s="84" t="s">
        <v>997</v>
      </c>
      <c r="D260" s="84" t="s">
        <v>1676</v>
      </c>
      <c r="E260" s="84" t="s">
        <v>1638</v>
      </c>
      <c r="F260" s="97" t="str">
        <f t="shared" si="16"/>
        <v xml:space="preserve">Đoàn Trần Thiên Phúc </v>
      </c>
      <c r="G260" s="100" t="str">
        <f t="shared" si="17"/>
        <v>24124172</v>
      </c>
      <c r="H260" s="100" t="str">
        <f>VLOOKUP(C260,'[1]DM Đề tài SV ký HĐ (thay đổi)'!$B$1:$Q$475,15,0)</f>
        <v>24124172@student.hcmute.edu.vn</v>
      </c>
      <c r="I260" s="107" t="str">
        <f>VLOOKUP(C260,'[1]DM Đề tài SV ký HĐ (thay đổi)'!$B$1:$Q$475,16,0)</f>
        <v>0939164796</v>
      </c>
      <c r="J260" s="97" t="str">
        <f>VLOOKUP(C260,'[2]DM Đề tài SV ký HĐ (thay đổi)'!$B$1:$I$475,8,0)</f>
        <v>Kinh tế</v>
      </c>
      <c r="K260" s="84" t="s">
        <v>1675</v>
      </c>
      <c r="L260" s="84" t="s">
        <v>606</v>
      </c>
      <c r="M260" s="97" t="str">
        <f>VLOOKUP(C260,'[2]DM Đề tài SV ký HĐ (thay đổi)'!$B$1:$O$475,13,0)</f>
        <v>thaindh@hcmute.edu.vn</v>
      </c>
      <c r="N260" s="97" t="str">
        <f>VLOOKUP(C260,'[2]DM Đề tài SV ký HĐ (thay đổi)'!$B$1:$M$475,12,0)</f>
        <v>Khoa Kinh tế</v>
      </c>
      <c r="O260" s="84" t="s">
        <v>1247</v>
      </c>
      <c r="P260" s="93">
        <v>15000000</v>
      </c>
      <c r="Q260" s="85" t="s">
        <v>1649</v>
      </c>
      <c r="R260" s="85"/>
      <c r="S260" s="85"/>
      <c r="T260" s="103">
        <v>2</v>
      </c>
      <c r="U260" s="103" t="s">
        <v>1787</v>
      </c>
      <c r="V260" s="83"/>
      <c r="W260" s="84"/>
      <c r="X260" s="84"/>
      <c r="Y260" s="84"/>
      <c r="Z260" s="84"/>
      <c r="AA260" s="84"/>
      <c r="AB260" s="84"/>
      <c r="AC260" s="84"/>
      <c r="AD260" s="84"/>
      <c r="AE260" s="84"/>
      <c r="AF260" s="84"/>
      <c r="AG260" s="113" t="s">
        <v>1814</v>
      </c>
      <c r="AH260" s="84"/>
    </row>
    <row r="261" spans="1:34" s="87" customFormat="1" ht="109.2" customHeight="1" x14ac:dyDescent="0.25">
      <c r="A261" s="83">
        <v>376</v>
      </c>
      <c r="B261" s="118" t="str">
        <f t="shared" si="18"/>
        <v>398</v>
      </c>
      <c r="C261" s="84" t="s">
        <v>998</v>
      </c>
      <c r="D261" s="84" t="s">
        <v>607</v>
      </c>
      <c r="E261" s="84" t="s">
        <v>1224</v>
      </c>
      <c r="F261" s="97" t="str">
        <f t="shared" si="16"/>
        <v xml:space="preserve">Nguyễn Võ Minh Anh </v>
      </c>
      <c r="G261" s="100" t="str">
        <f t="shared" si="17"/>
        <v>24126008</v>
      </c>
      <c r="H261" s="100" t="str">
        <f>VLOOKUP(C261,'[1]DM Đề tài SV ký HĐ (thay đổi)'!$B$1:$Q$475,15,0)</f>
        <v>24126008@student.hcmute.edu.vn</v>
      </c>
      <c r="I261" s="107" t="str">
        <f>VLOOKUP(C261,'[1]DM Đề tài SV ký HĐ (thay đổi)'!$B$1:$Q$475,16,0)</f>
        <v>0925645347</v>
      </c>
      <c r="J261" s="97" t="str">
        <f>VLOOKUP(C261,'[2]DM Đề tài SV ký HĐ (thay đổi)'!$B$1:$I$475,8,0)</f>
        <v>Kinh tế</v>
      </c>
      <c r="K261" s="84" t="s">
        <v>1229</v>
      </c>
      <c r="L261" s="84" t="s">
        <v>605</v>
      </c>
      <c r="M261" s="97" t="str">
        <f>VLOOKUP(C261,'[2]DM Đề tài SV ký HĐ (thay đổi)'!$B$1:$O$475,13,0)</f>
        <v>ngocnpn@hcmute.edu.vn</v>
      </c>
      <c r="N261" s="97" t="str">
        <f>VLOOKUP(C261,'[2]DM Đề tài SV ký HĐ (thay đổi)'!$B$1:$M$475,12,0)</f>
        <v>Khoa Kinh tế</v>
      </c>
      <c r="O261" s="84" t="s">
        <v>580</v>
      </c>
      <c r="P261" s="93">
        <v>5000000</v>
      </c>
      <c r="Q261" s="84" t="s">
        <v>1647</v>
      </c>
      <c r="R261" s="84"/>
      <c r="S261" s="84"/>
      <c r="T261" s="101">
        <v>2</v>
      </c>
      <c r="U261" s="101" t="s">
        <v>1787</v>
      </c>
      <c r="V261" s="83"/>
      <c r="W261" s="84"/>
      <c r="X261" s="84"/>
      <c r="Y261" s="84"/>
      <c r="Z261" s="84"/>
      <c r="AA261" s="84"/>
      <c r="AB261" s="84"/>
      <c r="AC261" s="84"/>
      <c r="AD261" s="84"/>
      <c r="AE261" s="84"/>
      <c r="AF261" s="84"/>
      <c r="AG261" s="113" t="s">
        <v>1814</v>
      </c>
      <c r="AH261" s="84"/>
    </row>
    <row r="262" spans="1:34" s="87" customFormat="1" ht="109.2" customHeight="1" x14ac:dyDescent="0.25">
      <c r="A262" s="83">
        <v>377</v>
      </c>
      <c r="B262" s="118" t="str">
        <f t="shared" si="18"/>
        <v>399</v>
      </c>
      <c r="C262" s="84" t="s">
        <v>999</v>
      </c>
      <c r="D262" s="84" t="s">
        <v>1743</v>
      </c>
      <c r="E262" s="84" t="s">
        <v>608</v>
      </c>
      <c r="F262" s="97" t="str">
        <f t="shared" si="16"/>
        <v xml:space="preserve">Lê Thị Thu Hà </v>
      </c>
      <c r="G262" s="100" t="str">
        <f t="shared" si="17"/>
        <v>23124073</v>
      </c>
      <c r="H262" s="100" t="str">
        <f>VLOOKUP(C262,'[1]DM Đề tài SV ký HĐ (thay đổi)'!$B$1:$Q$475,15,0)</f>
        <v xml:space="preserve">23124073@student.hcmute.edu.vn  </v>
      </c>
      <c r="I262" s="107" t="str">
        <f>VLOOKUP(C262,'[1]DM Đề tài SV ký HĐ (thay đổi)'!$B$1:$Q$475,16,0)</f>
        <v>0968544360</v>
      </c>
      <c r="J262" s="97" t="str">
        <f>VLOOKUP(C262,'[2]DM Đề tài SV ký HĐ (thay đổi)'!$B$1:$I$475,8,0)</f>
        <v>Kinh tế</v>
      </c>
      <c r="K262" s="84" t="s">
        <v>1507</v>
      </c>
      <c r="L262" s="84" t="s">
        <v>609</v>
      </c>
      <c r="M262" s="97" t="str">
        <f>VLOOKUP(C262,'[2]DM Đề tài SV ký HĐ (thay đổi)'!$B$1:$O$475,13,0)</f>
        <v>lamgiangkkt@hcmute.edu.vn</v>
      </c>
      <c r="N262" s="97" t="str">
        <f>VLOOKUP(C262,'[2]DM Đề tài SV ký HĐ (thay đổi)'!$B$1:$M$475,12,0)</f>
        <v>Khoa Kinh tế</v>
      </c>
      <c r="O262" s="84" t="s">
        <v>1247</v>
      </c>
      <c r="P262" s="93">
        <v>15000000</v>
      </c>
      <c r="Q262" s="85" t="s">
        <v>1649</v>
      </c>
      <c r="R262" s="85"/>
      <c r="S262" s="85"/>
      <c r="T262" s="101">
        <v>2</v>
      </c>
      <c r="U262" s="101" t="s">
        <v>1787</v>
      </c>
      <c r="V262" s="83"/>
      <c r="W262" s="84"/>
      <c r="X262" s="84"/>
      <c r="Y262" s="84"/>
      <c r="Z262" s="84"/>
      <c r="AA262" s="84"/>
      <c r="AB262" s="84"/>
      <c r="AC262" s="84"/>
      <c r="AD262" s="84"/>
      <c r="AE262" s="84"/>
      <c r="AF262" s="84"/>
      <c r="AG262" s="113" t="s">
        <v>1815</v>
      </c>
      <c r="AH262" s="84"/>
    </row>
    <row r="263" spans="1:34" s="87" customFormat="1" ht="109.2" customHeight="1" x14ac:dyDescent="0.25">
      <c r="A263" s="83">
        <v>378</v>
      </c>
      <c r="B263" s="118" t="str">
        <f t="shared" si="18"/>
        <v>400</v>
      </c>
      <c r="C263" s="84" t="s">
        <v>1000</v>
      </c>
      <c r="D263" s="84" t="s">
        <v>610</v>
      </c>
      <c r="E263" s="84" t="s">
        <v>1225</v>
      </c>
      <c r="F263" s="97" t="str">
        <f t="shared" si="16"/>
        <v xml:space="preserve">Trương Ngọc An Thanh </v>
      </c>
      <c r="G263" s="100" t="str">
        <f t="shared" si="17"/>
        <v>23136095</v>
      </c>
      <c r="H263" s="100" t="str">
        <f>VLOOKUP(C263,'[1]DM Đề tài SV ký HĐ (thay đổi)'!$B$1:$Q$475,15,0)</f>
        <v>23136095@student.hcmute.edu.vn</v>
      </c>
      <c r="I263" s="107">
        <f>VLOOKUP(C263,'[1]DM Đề tài SV ký HĐ (thay đổi)'!$B$1:$Q$475,16,0)</f>
        <v>866913391</v>
      </c>
      <c r="J263" s="97" t="str">
        <f>VLOOKUP(C263,'[2]DM Đề tài SV ký HĐ (thay đổi)'!$B$1:$I$475,8,0)</f>
        <v>Kinh tế</v>
      </c>
      <c r="K263" s="84"/>
      <c r="L263" s="84" t="s">
        <v>579</v>
      </c>
      <c r="M263" s="97" t="str">
        <f>VLOOKUP(C263,'[2]DM Đề tài SV ký HĐ (thay đổi)'!$B$1:$O$475,13,0)</f>
        <v>xuyenhth@hcmute.edu.vn</v>
      </c>
      <c r="N263" s="97" t="str">
        <f>VLOOKUP(C263,'[2]DM Đề tài SV ký HĐ (thay đổi)'!$B$1:$M$475,12,0)</f>
        <v>Khoa Kinh tế</v>
      </c>
      <c r="O263" s="84" t="s">
        <v>1247</v>
      </c>
      <c r="P263" s="93">
        <v>15000000</v>
      </c>
      <c r="Q263" s="85" t="s">
        <v>1649</v>
      </c>
      <c r="R263" s="85"/>
      <c r="S263" s="85"/>
      <c r="T263" s="101">
        <v>2</v>
      </c>
      <c r="U263" s="101" t="s">
        <v>1787</v>
      </c>
      <c r="V263" s="83"/>
      <c r="W263" s="84"/>
      <c r="X263" s="84"/>
      <c r="Y263" s="84"/>
      <c r="Z263" s="84"/>
      <c r="AA263" s="84"/>
      <c r="AB263" s="84"/>
      <c r="AC263" s="84"/>
      <c r="AD263" s="84"/>
      <c r="AE263" s="84"/>
      <c r="AF263" s="84"/>
      <c r="AG263" s="113" t="s">
        <v>1814</v>
      </c>
      <c r="AH263" s="84"/>
    </row>
    <row r="264" spans="1:34" s="87" customFormat="1" ht="109.2" customHeight="1" x14ac:dyDescent="0.25">
      <c r="A264" s="83">
        <v>379</v>
      </c>
      <c r="B264" s="118" t="str">
        <f t="shared" si="18"/>
        <v>401</v>
      </c>
      <c r="C264" s="84" t="s">
        <v>1001</v>
      </c>
      <c r="D264" s="84" t="s">
        <v>611</v>
      </c>
      <c r="E264" s="84" t="s">
        <v>1226</v>
      </c>
      <c r="F264" s="97" t="str">
        <f t="shared" si="16"/>
        <v xml:space="preserve">Phạm Thị Bảo Trân </v>
      </c>
      <c r="G264" s="100" t="str">
        <f t="shared" si="17"/>
        <v>23126044</v>
      </c>
      <c r="H264" s="100" t="str">
        <f>VLOOKUP(C264,'[1]DM Đề tài SV ký HĐ (thay đổi)'!$B$1:$Q$475,15,0)</f>
        <v>23126044@student.hcmute.edu.vn</v>
      </c>
      <c r="I264" s="107" t="str">
        <f>VLOOKUP(C264,'[1]DM Đề tài SV ký HĐ (thay đổi)'!$B$1:$Q$475,16,0)</f>
        <v>0943087829</v>
      </c>
      <c r="J264" s="97" t="str">
        <f>VLOOKUP(C264,'[2]DM Đề tài SV ký HĐ (thay đổi)'!$B$1:$I$475,8,0)</f>
        <v>Kinh tế</v>
      </c>
      <c r="K264" s="84" t="s">
        <v>1228</v>
      </c>
      <c r="L264" s="84" t="s">
        <v>612</v>
      </c>
      <c r="M264" s="97" t="str">
        <f>VLOOKUP(C264,'[2]DM Đề tài SV ký HĐ (thay đổi)'!$B$1:$O$475,13,0)</f>
        <v>hoatt@hcmute.edu.vn</v>
      </c>
      <c r="N264" s="97" t="str">
        <f>VLOOKUP(C264,'[2]DM Đề tài SV ký HĐ (thay đổi)'!$B$1:$M$475,12,0)</f>
        <v>Khoa Kinh tế</v>
      </c>
      <c r="O264" s="84" t="s">
        <v>580</v>
      </c>
      <c r="P264" s="93">
        <v>5000000</v>
      </c>
      <c r="Q264" s="84" t="s">
        <v>1647</v>
      </c>
      <c r="R264" s="84"/>
      <c r="S264" s="84"/>
      <c r="T264" s="101">
        <v>2</v>
      </c>
      <c r="U264" s="103" t="s">
        <v>1787</v>
      </c>
      <c r="V264" s="83"/>
      <c r="W264" s="84"/>
      <c r="X264" s="84"/>
      <c r="Y264" s="84"/>
      <c r="Z264" s="84"/>
      <c r="AA264" s="84"/>
      <c r="AB264" s="84"/>
      <c r="AC264" s="84"/>
      <c r="AD264" s="84"/>
      <c r="AE264" s="84"/>
      <c r="AF264" s="84"/>
      <c r="AG264" s="114" t="s">
        <v>1813</v>
      </c>
      <c r="AH264" s="84"/>
    </row>
    <row r="265" spans="1:34" s="87" customFormat="1" ht="109.2" customHeight="1" x14ac:dyDescent="0.25">
      <c r="A265" s="83">
        <v>380</v>
      </c>
      <c r="B265" s="118" t="str">
        <f t="shared" si="18"/>
        <v>402</v>
      </c>
      <c r="C265" s="84" t="s">
        <v>1002</v>
      </c>
      <c r="D265" s="84" t="s">
        <v>1560</v>
      </c>
      <c r="E265" s="84" t="s">
        <v>1227</v>
      </c>
      <c r="F265" s="97" t="str">
        <f t="shared" si="16"/>
        <v xml:space="preserve">Lê Thị Hải Nhi </v>
      </c>
      <c r="G265" s="100" t="str">
        <f t="shared" si="17"/>
        <v>24126164</v>
      </c>
      <c r="H265" s="100" t="str">
        <f>VLOOKUP(C265,'[1]DM Đề tài SV ký HĐ (thay đổi)'!$B$1:$Q$475,15,0)</f>
        <v>24126164@student.hcmute.edu.vn</v>
      </c>
      <c r="I265" s="107" t="str">
        <f>VLOOKUP(C265,'[1]DM Đề tài SV ký HĐ (thay đổi)'!$B$1:$Q$475,16,0)</f>
        <v>0393486815</v>
      </c>
      <c r="J265" s="97" t="str">
        <f>VLOOKUP(C265,'[2]DM Đề tài SV ký HĐ (thay đổi)'!$B$1:$I$475,8,0)</f>
        <v>Kinh tế</v>
      </c>
      <c r="K265" s="84" t="s">
        <v>1493</v>
      </c>
      <c r="L265" s="84" t="s">
        <v>590</v>
      </c>
      <c r="M265" s="97" t="str">
        <f>VLOOKUP(C265,'[2]DM Đề tài SV ký HĐ (thay đổi)'!$B$1:$O$475,13,0)</f>
        <v>thaindh@hcmute.edu.vn</v>
      </c>
      <c r="N265" s="97" t="str">
        <f>VLOOKUP(C265,'[2]DM Đề tài SV ký HĐ (thay đổi)'!$B$1:$M$475,12,0)</f>
        <v>Khoa Kinh tế</v>
      </c>
      <c r="O265" s="84" t="s">
        <v>1245</v>
      </c>
      <c r="P265" s="93">
        <v>15000000</v>
      </c>
      <c r="Q265" s="85" t="s">
        <v>1649</v>
      </c>
      <c r="R265" s="85"/>
      <c r="S265" s="85"/>
      <c r="T265" s="101">
        <v>2</v>
      </c>
      <c r="U265" s="101" t="s">
        <v>1787</v>
      </c>
      <c r="V265" s="83"/>
      <c r="W265" s="84"/>
      <c r="X265" s="84"/>
      <c r="Y265" s="84"/>
      <c r="Z265" s="84"/>
      <c r="AA265" s="84"/>
      <c r="AB265" s="84"/>
      <c r="AC265" s="84"/>
      <c r="AD265" s="84"/>
      <c r="AE265" s="84"/>
      <c r="AF265" s="84"/>
      <c r="AG265" s="114" t="s">
        <v>1813</v>
      </c>
      <c r="AH265" s="84"/>
    </row>
    <row r="266" spans="1:34" s="87" customFormat="1" ht="109.2" customHeight="1" x14ac:dyDescent="0.25">
      <c r="A266" s="83">
        <v>381</v>
      </c>
      <c r="B266" s="118" t="str">
        <f t="shared" si="18"/>
        <v>403</v>
      </c>
      <c r="C266" s="84" t="s">
        <v>1003</v>
      </c>
      <c r="D266" s="84" t="s">
        <v>613</v>
      </c>
      <c r="E266" s="84" t="s">
        <v>1203</v>
      </c>
      <c r="F266" s="97" t="str">
        <f t="shared" si="16"/>
        <v xml:space="preserve">Nguyễn Ngọc Phương Dung </v>
      </c>
      <c r="G266" s="100" t="str">
        <f t="shared" si="17"/>
        <v>24126035</v>
      </c>
      <c r="H266" s="100" t="str">
        <f>VLOOKUP(C266,'[1]DM Đề tài SV ký HĐ (thay đổi)'!$B$1:$Q$475,15,0)</f>
        <v>24126035@student.hcmute.edu.vn</v>
      </c>
      <c r="I266" s="107" t="str">
        <f>VLOOKUP(C266,'[1]DM Đề tài SV ký HĐ (thay đổi)'!$B$1:$Q$475,16,0)</f>
        <v>0901356678</v>
      </c>
      <c r="J266" s="97" t="str">
        <f>VLOOKUP(C266,'[2]DM Đề tài SV ký HĐ (thay đổi)'!$B$1:$I$475,8,0)</f>
        <v>Kinh tế</v>
      </c>
      <c r="K266" s="84" t="s">
        <v>1202</v>
      </c>
      <c r="L266" s="84" t="s">
        <v>590</v>
      </c>
      <c r="M266" s="97" t="str">
        <f>VLOOKUP(C266,'[2]DM Đề tài SV ký HĐ (thay đổi)'!$B$1:$O$475,13,0)</f>
        <v>thaindh@hcmute.edu.vn</v>
      </c>
      <c r="N266" s="97" t="str">
        <f>VLOOKUP(C266,'[2]DM Đề tài SV ký HĐ (thay đổi)'!$B$1:$M$475,12,0)</f>
        <v>Khoa Kinh tế</v>
      </c>
      <c r="O266" s="84" t="s">
        <v>1246</v>
      </c>
      <c r="P266" s="93">
        <v>15000000</v>
      </c>
      <c r="Q266" s="85" t="s">
        <v>1649</v>
      </c>
      <c r="R266" s="85"/>
      <c r="S266" s="85"/>
      <c r="T266" s="101">
        <v>2</v>
      </c>
      <c r="U266" s="101" t="s">
        <v>1787</v>
      </c>
      <c r="V266" s="83"/>
      <c r="W266" s="84"/>
      <c r="X266" s="84"/>
      <c r="Y266" s="84"/>
      <c r="Z266" s="84"/>
      <c r="AA266" s="84"/>
      <c r="AB266" s="84"/>
      <c r="AC266" s="84"/>
      <c r="AD266" s="84"/>
      <c r="AE266" s="84"/>
      <c r="AF266" s="84"/>
      <c r="AG266" s="114" t="s">
        <v>1813</v>
      </c>
      <c r="AH266" s="84"/>
    </row>
    <row r="267" spans="1:34" s="87" customFormat="1" ht="109.2" customHeight="1" x14ac:dyDescent="0.25">
      <c r="A267" s="83">
        <v>384</v>
      </c>
      <c r="B267" s="118" t="str">
        <f t="shared" si="18"/>
        <v>406</v>
      </c>
      <c r="C267" s="84" t="s">
        <v>1004</v>
      </c>
      <c r="D267" s="84" t="s">
        <v>614</v>
      </c>
      <c r="E267" s="84" t="s">
        <v>1639</v>
      </c>
      <c r="F267" s="97" t="str">
        <f t="shared" si="16"/>
        <v xml:space="preserve">Nguyễn Phan Duy Vĩnh </v>
      </c>
      <c r="G267" s="100" t="str">
        <f t="shared" si="17"/>
        <v>23145240</v>
      </c>
      <c r="H267" s="100" t="str">
        <f>VLOOKUP(C267,'[1]DM Đề tài SV ký HĐ (thay đổi)'!$B$1:$Q$475,15,0)</f>
        <v>23145240@student.hcmute.edu.vn</v>
      </c>
      <c r="I267" s="107" t="str">
        <f>VLOOKUP(C267,'[1]DM Đề tài SV ký HĐ (thay đổi)'!$B$1:$Q$475,16,0)</f>
        <v>0378074887</v>
      </c>
      <c r="J267" s="97" t="str">
        <f>VLOOKUP(C267,'[2]DM Đề tài SV ký HĐ (thay đổi)'!$B$1:$I$475,8,0)</f>
        <v>Giao thông và Năng lượng</v>
      </c>
      <c r="K267" s="84" t="s">
        <v>1201</v>
      </c>
      <c r="L267" s="84" t="s">
        <v>615</v>
      </c>
      <c r="M267" s="97" t="str">
        <f>VLOOKUP(C267,'[2]DM Đề tài SV ký HĐ (thay đổi)'!$B$1:$O$475,13,0)</f>
        <v>quyth@hcmute.edu.vn</v>
      </c>
      <c r="N267" s="97" t="str">
        <f>VLOOKUP(C267,'[2]DM Đề tài SV ký HĐ (thay đổi)'!$B$1:$M$475,12,0)</f>
        <v>Khoa Giao thông và Năng lượng</v>
      </c>
      <c r="O267" s="84" t="s">
        <v>1167</v>
      </c>
      <c r="P267" s="90">
        <v>10000000</v>
      </c>
      <c r="Q267" s="84" t="s">
        <v>1648</v>
      </c>
      <c r="R267" s="84"/>
      <c r="S267" s="84"/>
      <c r="T267" s="101">
        <v>2</v>
      </c>
      <c r="U267" s="101" t="s">
        <v>1787</v>
      </c>
      <c r="V267" s="83"/>
      <c r="W267" s="84"/>
      <c r="X267" s="84"/>
      <c r="Y267" s="84"/>
      <c r="Z267" s="84"/>
      <c r="AA267" s="84"/>
      <c r="AB267" s="84"/>
      <c r="AC267" s="84"/>
      <c r="AD267" s="84"/>
      <c r="AE267" s="84"/>
      <c r="AF267" s="84"/>
      <c r="AG267" s="113" t="s">
        <v>1815</v>
      </c>
      <c r="AH267" s="84"/>
    </row>
    <row r="268" spans="1:34" s="87" customFormat="1" ht="109.2" customHeight="1" x14ac:dyDescent="0.25">
      <c r="A268" s="83">
        <v>385</v>
      </c>
      <c r="B268" s="118" t="str">
        <f t="shared" si="18"/>
        <v>408</v>
      </c>
      <c r="C268" s="84" t="s">
        <v>1005</v>
      </c>
      <c r="D268" s="84" t="s">
        <v>1723</v>
      </c>
      <c r="E268" s="84" t="s">
        <v>1180</v>
      </c>
      <c r="F268" s="97" t="str">
        <f t="shared" si="16"/>
        <v xml:space="preserve">Nguyễn Đức Phát </v>
      </c>
      <c r="G268" s="100" t="str">
        <f t="shared" si="17"/>
        <v>23145167</v>
      </c>
      <c r="H268" s="100" t="str">
        <f>VLOOKUP(C268,'[1]DM Đề tài SV ký HĐ (thay đổi)'!$B$1:$Q$475,15,0)</f>
        <v>23145167@student.hcmute.edu.vn</v>
      </c>
      <c r="I268" s="107" t="str">
        <f>VLOOKUP(C268,'[1]DM Đề tài SV ký HĐ (thay đổi)'!$B$1:$Q$475,16,0)</f>
        <v>0812244876</v>
      </c>
      <c r="J268" s="97" t="str">
        <f>VLOOKUP(C268,'[2]DM Đề tài SV ký HĐ (thay đổi)'!$B$1:$I$475,8,0)</f>
        <v>Giao thông và Năng lượng</v>
      </c>
      <c r="K268" s="84"/>
      <c r="L268" s="84" t="s">
        <v>718</v>
      </c>
      <c r="M268" s="97" t="str">
        <f>VLOOKUP(C268,'[2]DM Đề tài SV ký HĐ (thay đổi)'!$B$1:$O$475,13,0)</f>
        <v>tuyennt@hcmute.edu.vn</v>
      </c>
      <c r="N268" s="97" t="str">
        <f>VLOOKUP(C268,'[2]DM Đề tài SV ký HĐ (thay đổi)'!$B$1:$M$475,12,0)</f>
        <v>Khoa Giao thông và Năng lượng</v>
      </c>
      <c r="O268" s="84" t="s">
        <v>1204</v>
      </c>
      <c r="P268" s="90">
        <v>10000000</v>
      </c>
      <c r="Q268" s="84" t="s">
        <v>1648</v>
      </c>
      <c r="R268" s="84"/>
      <c r="S268" s="84"/>
      <c r="T268" s="101">
        <v>2</v>
      </c>
      <c r="U268" s="101" t="s">
        <v>1787</v>
      </c>
      <c r="V268" s="83"/>
      <c r="W268" s="84"/>
      <c r="X268" s="84"/>
      <c r="Y268" s="84"/>
      <c r="Z268" s="84"/>
      <c r="AA268" s="84"/>
      <c r="AB268" s="84"/>
      <c r="AC268" s="84"/>
      <c r="AD268" s="84"/>
      <c r="AE268" s="84"/>
      <c r="AF268" s="84"/>
      <c r="AG268" s="113" t="s">
        <v>1815</v>
      </c>
      <c r="AH268" s="84"/>
    </row>
    <row r="269" spans="1:34" s="87" customFormat="1" ht="109.2" customHeight="1" x14ac:dyDescent="0.25">
      <c r="A269" s="83">
        <v>386</v>
      </c>
      <c r="B269" s="118" t="str">
        <f t="shared" si="18"/>
        <v>409</v>
      </c>
      <c r="C269" s="84" t="s">
        <v>1006</v>
      </c>
      <c r="D269" s="84" t="s">
        <v>616</v>
      </c>
      <c r="E269" s="84" t="s">
        <v>1181</v>
      </c>
      <c r="F269" s="97" t="str">
        <f t="shared" ref="F269:F310" si="19">LEFT(E269,LEN(E269)-LEN(G269))</f>
        <v xml:space="preserve">Trần Đông Hồ </v>
      </c>
      <c r="G269" s="100" t="str">
        <f t="shared" ref="G269:G310" si="20">RIGHT(E269,8)</f>
        <v>23145104</v>
      </c>
      <c r="H269" s="100" t="str">
        <f>VLOOKUP(C269,'[1]DM Đề tài SV ký HĐ (thay đổi)'!$B$1:$Q$475,15,0)</f>
        <v>23145104@student.hcmute.edu.vn</v>
      </c>
      <c r="I269" s="107" t="str">
        <f>VLOOKUP(C269,'[1]DM Đề tài SV ký HĐ (thay đổi)'!$B$1:$Q$475,16,0)</f>
        <v>0387181474</v>
      </c>
      <c r="J269" s="97" t="str">
        <f>VLOOKUP(C269,'[2]DM Đề tài SV ký HĐ (thay đổi)'!$B$1:$I$475,8,0)</f>
        <v>Giao thông và Năng lượng</v>
      </c>
      <c r="K269" s="84" t="s">
        <v>1200</v>
      </c>
      <c r="L269" s="84" t="s">
        <v>733</v>
      </c>
      <c r="M269" s="97" t="str">
        <f>VLOOKUP(C269,'[2]DM Đề tài SV ký HĐ (thay đổi)'!$B$1:$O$475,13,0)</f>
        <v>duongva@hcmute.edu.vn</v>
      </c>
      <c r="N269" s="97" t="str">
        <f>VLOOKUP(C269,'[2]DM Đề tài SV ký HĐ (thay đổi)'!$B$1:$M$475,12,0)</f>
        <v>Khoa Giao thông và Năng lượng</v>
      </c>
      <c r="O269" s="84" t="s">
        <v>1168</v>
      </c>
      <c r="P269" s="90">
        <v>10000000</v>
      </c>
      <c r="Q269" s="84" t="s">
        <v>1648</v>
      </c>
      <c r="R269" s="84"/>
      <c r="S269" s="84"/>
      <c r="T269" s="103">
        <v>2</v>
      </c>
      <c r="U269" s="103" t="s">
        <v>1787</v>
      </c>
      <c r="V269" s="83"/>
      <c r="W269" s="84"/>
      <c r="X269" s="84"/>
      <c r="Y269" s="84"/>
      <c r="Z269" s="84"/>
      <c r="AA269" s="84"/>
      <c r="AB269" s="84"/>
      <c r="AC269" s="84"/>
      <c r="AD269" s="84"/>
      <c r="AE269" s="84"/>
      <c r="AF269" s="84"/>
      <c r="AG269" s="113" t="s">
        <v>1815</v>
      </c>
      <c r="AH269" s="84"/>
    </row>
    <row r="270" spans="1:34" s="87" customFormat="1" ht="109.2" customHeight="1" x14ac:dyDescent="0.25">
      <c r="A270" s="83">
        <v>387</v>
      </c>
      <c r="B270" s="118" t="str">
        <f t="shared" si="18"/>
        <v>410</v>
      </c>
      <c r="C270" s="84" t="s">
        <v>1007</v>
      </c>
      <c r="D270" s="84" t="s">
        <v>617</v>
      </c>
      <c r="E270" s="84" t="s">
        <v>1182</v>
      </c>
      <c r="F270" s="97" t="str">
        <f t="shared" si="19"/>
        <v xml:space="preserve">Nguyễn Trọng Sơn </v>
      </c>
      <c r="G270" s="100" t="str">
        <f t="shared" si="20"/>
        <v>22145231</v>
      </c>
      <c r="H270" s="100" t="str">
        <f>VLOOKUP(C270,'[1]DM Đề tài SV ký HĐ (thay đổi)'!$B$1:$Q$475,15,0)</f>
        <v>22145137@student.hcmute.edu.vn</v>
      </c>
      <c r="I270" s="107" t="str">
        <f>VLOOKUP(C270,'[1]DM Đề tài SV ký HĐ (thay đổi)'!$B$1:$Q$475,16,0)</f>
        <v>0867044578</v>
      </c>
      <c r="J270" s="97" t="str">
        <f>VLOOKUP(C270,'[2]DM Đề tài SV ký HĐ (thay đổi)'!$B$1:$I$475,8,0)</f>
        <v>Giao thông và Năng lượng</v>
      </c>
      <c r="K270" s="84" t="s">
        <v>1183</v>
      </c>
      <c r="L270" s="84" t="s">
        <v>733</v>
      </c>
      <c r="M270" s="97" t="str">
        <f>VLOOKUP(C270,'[2]DM Đề tài SV ký HĐ (thay đổi)'!$B$1:$O$475,13,0)</f>
        <v>duongva@hcmute.edu.vn</v>
      </c>
      <c r="N270" s="97" t="str">
        <f>VLOOKUP(C270,'[2]DM Đề tài SV ký HĐ (thay đổi)'!$B$1:$M$475,12,0)</f>
        <v>Khoa Giao thông và Năng lượng</v>
      </c>
      <c r="O270" s="84" t="s">
        <v>1169</v>
      </c>
      <c r="P270" s="90">
        <v>15000000</v>
      </c>
      <c r="Q270" s="85" t="s">
        <v>1649</v>
      </c>
      <c r="R270" s="85"/>
      <c r="S270" s="85"/>
      <c r="T270" s="101">
        <v>2</v>
      </c>
      <c r="U270" s="101" t="s">
        <v>1787</v>
      </c>
      <c r="V270" s="83"/>
      <c r="W270" s="84"/>
      <c r="X270" s="84"/>
      <c r="Y270" s="84"/>
      <c r="Z270" s="84"/>
      <c r="AA270" s="84"/>
      <c r="AB270" s="84"/>
      <c r="AC270" s="84"/>
      <c r="AD270" s="84"/>
      <c r="AE270" s="84"/>
      <c r="AF270" s="84"/>
      <c r="AG270" s="114" t="s">
        <v>1813</v>
      </c>
      <c r="AH270" s="84"/>
    </row>
    <row r="271" spans="1:34" s="87" customFormat="1" ht="109.2" customHeight="1" x14ac:dyDescent="0.25">
      <c r="A271" s="83">
        <v>388</v>
      </c>
      <c r="B271" s="118" t="str">
        <f t="shared" si="18"/>
        <v>412</v>
      </c>
      <c r="C271" s="84" t="s">
        <v>1008</v>
      </c>
      <c r="D271" s="84" t="s">
        <v>618</v>
      </c>
      <c r="E271" s="84" t="s">
        <v>1184</v>
      </c>
      <c r="F271" s="97" t="str">
        <f t="shared" si="19"/>
        <v xml:space="preserve">Huỳnh Trí Hiếu </v>
      </c>
      <c r="G271" s="100" t="str">
        <f t="shared" si="20"/>
        <v>23145095</v>
      </c>
      <c r="H271" s="100" t="str">
        <f>VLOOKUP(C271,'[1]DM Đề tài SV ký HĐ (thay đổi)'!$B$1:$Q$475,15,0)</f>
        <v>23145095@student.hcmute.edu.vn</v>
      </c>
      <c r="I271" s="107" t="str">
        <f>VLOOKUP(C271,'[1]DM Đề tài SV ký HĐ (thay đổi)'!$B$1:$Q$475,16,0)</f>
        <v>0398882561</v>
      </c>
      <c r="J271" s="97" t="str">
        <f>VLOOKUP(C271,'[2]DM Đề tài SV ký HĐ (thay đổi)'!$B$1:$I$475,8,0)</f>
        <v>Giao thông và Năng lượng</v>
      </c>
      <c r="K271" s="84" t="s">
        <v>1199</v>
      </c>
      <c r="L271" s="84" t="s">
        <v>733</v>
      </c>
      <c r="M271" s="97" t="str">
        <f>VLOOKUP(C271,'[2]DM Đề tài SV ký HĐ (thay đổi)'!$B$1:$O$475,13,0)</f>
        <v>duongva@hcmute.edu.vn</v>
      </c>
      <c r="N271" s="97" t="str">
        <f>VLOOKUP(C271,'[2]DM Đề tài SV ký HĐ (thay đổi)'!$B$1:$M$475,12,0)</f>
        <v>Khoa Giao thông và Năng lượng</v>
      </c>
      <c r="O271" s="88" t="s">
        <v>1170</v>
      </c>
      <c r="P271" s="90">
        <v>10000000</v>
      </c>
      <c r="Q271" s="84" t="s">
        <v>1648</v>
      </c>
      <c r="R271" s="84"/>
      <c r="S271" s="84"/>
      <c r="T271" s="101">
        <v>2</v>
      </c>
      <c r="U271" s="101" t="s">
        <v>1787</v>
      </c>
      <c r="V271" s="83"/>
      <c r="W271" s="84"/>
      <c r="X271" s="84"/>
      <c r="Y271" s="84"/>
      <c r="Z271" s="84"/>
      <c r="AA271" s="84"/>
      <c r="AB271" s="84"/>
      <c r="AC271" s="84"/>
      <c r="AD271" s="84"/>
      <c r="AE271" s="84"/>
      <c r="AF271" s="84"/>
      <c r="AG271" s="114" t="s">
        <v>1813</v>
      </c>
      <c r="AH271" s="84"/>
    </row>
    <row r="272" spans="1:34" s="87" customFormat="1" ht="109.2" customHeight="1" x14ac:dyDescent="0.25">
      <c r="A272" s="83">
        <v>389</v>
      </c>
      <c r="B272" s="118" t="str">
        <f t="shared" si="18"/>
        <v>413</v>
      </c>
      <c r="C272" s="84" t="s">
        <v>1009</v>
      </c>
      <c r="D272" s="84" t="s">
        <v>619</v>
      </c>
      <c r="E272" s="84" t="s">
        <v>1198</v>
      </c>
      <c r="F272" s="97" t="str">
        <f t="shared" si="19"/>
        <v xml:space="preserve">Lê Quang Thọ </v>
      </c>
      <c r="G272" s="100" t="str">
        <f t="shared" si="20"/>
        <v>23147076</v>
      </c>
      <c r="H272" s="100" t="str">
        <f>VLOOKUP(C272,'[1]DM Đề tài SV ký HĐ (thay đổi)'!$B$1:$Q$475,15,0)</f>
        <v>23147076@student.hcmute.edu.vn</v>
      </c>
      <c r="I272" s="107" t="str">
        <f>VLOOKUP(C272,'[1]DM Đề tài SV ký HĐ (thay đổi)'!$B$1:$Q$475,16,0)</f>
        <v>0909775152</v>
      </c>
      <c r="J272" s="97" t="str">
        <f>VLOOKUP(C272,'[2]DM Đề tài SV ký HĐ (thay đổi)'!$B$1:$I$475,8,0)</f>
        <v>Giao thông và Năng lượng</v>
      </c>
      <c r="K272" s="84" t="s">
        <v>1205</v>
      </c>
      <c r="L272" s="84" t="s">
        <v>1580</v>
      </c>
      <c r="M272" s="97" t="str">
        <f>VLOOKUP(C272,'[2]DM Đề tài SV ký HĐ (thay đổi)'!$B$1:$O$475,13,0)</f>
        <v>trungdang@hcmute.edu.vn</v>
      </c>
      <c r="N272" s="97" t="str">
        <f>VLOOKUP(C272,'[2]DM Đề tài SV ký HĐ (thay đổi)'!$B$1:$M$475,12,0)</f>
        <v>Khoa Giao thông và Năng lượng</v>
      </c>
      <c r="O272" s="84" t="s">
        <v>1671</v>
      </c>
      <c r="P272" s="90">
        <v>5000000</v>
      </c>
      <c r="Q272" s="84" t="s">
        <v>1647</v>
      </c>
      <c r="R272" s="84"/>
      <c r="S272" s="84"/>
      <c r="T272" s="101">
        <v>2</v>
      </c>
      <c r="U272" s="101" t="s">
        <v>1787</v>
      </c>
      <c r="V272" s="83"/>
      <c r="W272" s="84"/>
      <c r="X272" s="84"/>
      <c r="Y272" s="84"/>
      <c r="Z272" s="84"/>
      <c r="AA272" s="84"/>
      <c r="AB272" s="84"/>
      <c r="AC272" s="84"/>
      <c r="AD272" s="84"/>
      <c r="AE272" s="84"/>
      <c r="AF272" s="84"/>
      <c r="AG272" s="114" t="s">
        <v>1813</v>
      </c>
      <c r="AH272" s="84"/>
    </row>
    <row r="273" spans="1:34" s="87" customFormat="1" ht="109.2" customHeight="1" x14ac:dyDescent="0.25">
      <c r="A273" s="83">
        <v>390</v>
      </c>
      <c r="B273" s="118" t="str">
        <f t="shared" si="18"/>
        <v>414</v>
      </c>
      <c r="C273" s="84" t="s">
        <v>1010</v>
      </c>
      <c r="D273" s="84" t="s">
        <v>620</v>
      </c>
      <c r="E273" s="84" t="s">
        <v>1185</v>
      </c>
      <c r="F273" s="97" t="str">
        <f t="shared" si="19"/>
        <v xml:space="preserve">Nguyễn Thị Lan Anh </v>
      </c>
      <c r="G273" s="100" t="str">
        <f t="shared" si="20"/>
        <v>23147008</v>
      </c>
      <c r="H273" s="100" t="str">
        <f>VLOOKUP(C273,'[1]DM Đề tài SV ký HĐ (thay đổi)'!$B$1:$Q$475,15,0)</f>
        <v>23147008@student.hcmute.edu.vn</v>
      </c>
      <c r="I273" s="107" t="str">
        <f>VLOOKUP(C273,'[1]DM Đề tài SV ký HĐ (thay đổi)'!$B$1:$Q$475,16,0)</f>
        <v>0355375958</v>
      </c>
      <c r="J273" s="97" t="str">
        <f>VLOOKUP(C273,'[2]DM Đề tài SV ký HĐ (thay đổi)'!$B$1:$I$475,8,0)</f>
        <v>Giao thông và Năng lượng</v>
      </c>
      <c r="K273" s="84" t="s">
        <v>1186</v>
      </c>
      <c r="L273" s="84" t="s">
        <v>1580</v>
      </c>
      <c r="M273" s="97" t="str">
        <f>VLOOKUP(C273,'[2]DM Đề tài SV ký HĐ (thay đổi)'!$B$1:$O$475,13,0)</f>
        <v>trungdang@hcmute.edu.vn</v>
      </c>
      <c r="N273" s="97" t="str">
        <f>VLOOKUP(C273,'[2]DM Đề tài SV ký HĐ (thay đổi)'!$B$1:$M$475,12,0)</f>
        <v>Khoa Giao thông và Năng lượng</v>
      </c>
      <c r="O273" s="84" t="s">
        <v>1171</v>
      </c>
      <c r="P273" s="90">
        <v>5000000</v>
      </c>
      <c r="Q273" s="84" t="s">
        <v>1647</v>
      </c>
      <c r="R273" s="84"/>
      <c r="S273" s="84"/>
      <c r="T273" s="101">
        <v>2</v>
      </c>
      <c r="U273" s="101" t="s">
        <v>1787</v>
      </c>
      <c r="V273" s="83"/>
      <c r="W273" s="84"/>
      <c r="X273" s="84"/>
      <c r="Y273" s="84"/>
      <c r="Z273" s="84"/>
      <c r="AA273" s="84"/>
      <c r="AB273" s="84"/>
      <c r="AC273" s="84"/>
      <c r="AD273" s="84"/>
      <c r="AE273" s="84"/>
      <c r="AF273" s="84"/>
      <c r="AG273" s="114" t="s">
        <v>1813</v>
      </c>
      <c r="AH273" s="84"/>
    </row>
    <row r="274" spans="1:34" s="87" customFormat="1" ht="109.2" customHeight="1" x14ac:dyDescent="0.25">
      <c r="A274" s="83">
        <v>391</v>
      </c>
      <c r="B274" s="83" t="str">
        <f t="shared" si="18"/>
        <v>415</v>
      </c>
      <c r="C274" s="84" t="s">
        <v>1011</v>
      </c>
      <c r="D274" s="84" t="s">
        <v>621</v>
      </c>
      <c r="E274" s="84" t="s">
        <v>1542</v>
      </c>
      <c r="F274" s="97" t="str">
        <f t="shared" si="19"/>
        <v xml:space="preserve">Nguyễn Khắc Duy </v>
      </c>
      <c r="G274" s="100" t="str">
        <f t="shared" si="20"/>
        <v>22154010</v>
      </c>
      <c r="H274" s="100" t="str">
        <f>VLOOKUP(C274,'[1]DM Đề tài SV ký HĐ (thay đổi)'!$B$1:$Q$475,15,0)</f>
        <v>22154010@student.hcmute.edu.vn</v>
      </c>
      <c r="I274" s="107" t="str">
        <f>VLOOKUP(C274,'[1]DM Đề tài SV ký HĐ (thay đổi)'!$B$1:$Q$475,16,0)</f>
        <v>0787953151</v>
      </c>
      <c r="J274" s="97" t="str">
        <f>VLOOKUP(C274,'[2]DM Đề tài SV ký HĐ (thay đổi)'!$B$1:$I$475,8,0)</f>
        <v>Giao thông và Năng lượng</v>
      </c>
      <c r="K274" s="84" t="s">
        <v>1543</v>
      </c>
      <c r="L274" s="84" t="s">
        <v>622</v>
      </c>
      <c r="M274" s="97" t="str">
        <f>VLOOKUP(C274,'[2]DM Đề tài SV ký HĐ (thay đổi)'!$B$1:$O$475,13,0)</f>
        <v>trungnv@hcmute.edu.vn</v>
      </c>
      <c r="N274" s="97" t="str">
        <f>VLOOKUP(C274,'[2]DM Đề tài SV ký HĐ (thay đổi)'!$B$1:$M$475,12,0)</f>
        <v>Khoa Giao thông và Năng lượng</v>
      </c>
      <c r="O274" s="84" t="s">
        <v>1172</v>
      </c>
      <c r="P274" s="90">
        <v>15000000</v>
      </c>
      <c r="Q274" s="85" t="s">
        <v>1649</v>
      </c>
      <c r="R274" s="85"/>
      <c r="S274" s="85"/>
      <c r="T274" s="103">
        <v>2</v>
      </c>
      <c r="U274" s="103" t="s">
        <v>1787</v>
      </c>
      <c r="V274" s="83"/>
      <c r="W274" s="84"/>
      <c r="X274" s="84"/>
      <c r="Y274" s="84"/>
      <c r="Z274" s="84"/>
      <c r="AA274" s="84"/>
      <c r="AB274" s="84"/>
      <c r="AC274" s="84"/>
      <c r="AD274" s="84"/>
      <c r="AE274" s="84"/>
      <c r="AF274" s="84"/>
      <c r="AG274" s="114" t="s">
        <v>1813</v>
      </c>
      <c r="AH274" s="96" t="s">
        <v>1822</v>
      </c>
    </row>
    <row r="275" spans="1:34" s="87" customFormat="1" ht="109.2" customHeight="1" x14ac:dyDescent="0.25">
      <c r="A275" s="83">
        <v>393</v>
      </c>
      <c r="B275" s="118" t="str">
        <f t="shared" si="18"/>
        <v>417</v>
      </c>
      <c r="C275" s="84" t="s">
        <v>1012</v>
      </c>
      <c r="D275" s="84" t="s">
        <v>1551</v>
      </c>
      <c r="E275" s="84" t="s">
        <v>1187</v>
      </c>
      <c r="F275" s="97" t="str">
        <f t="shared" si="19"/>
        <v xml:space="preserve">Phạm Minh Đức </v>
      </c>
      <c r="G275" s="100" t="str">
        <f t="shared" si="20"/>
        <v>23145084</v>
      </c>
      <c r="H275" s="100" t="str">
        <f>VLOOKUP(C275,'[1]DM Đề tài SV ký HĐ (thay đổi)'!$B$1:$Q$475,15,0)</f>
        <v>23145084@student.hcmute.edu.vn</v>
      </c>
      <c r="I275" s="107" t="str">
        <f>VLOOKUP(C275,'[1]DM Đề tài SV ký HĐ (thay đổi)'!$B$1:$Q$475,16,0)</f>
        <v>0792460903</v>
      </c>
      <c r="J275" s="97" t="str">
        <f>VLOOKUP(C275,'[2]DM Đề tài SV ký HĐ (thay đổi)'!$B$1:$I$475,8,0)</f>
        <v>Giao thông và Năng lượng</v>
      </c>
      <c r="K275" s="84" t="s">
        <v>1725</v>
      </c>
      <c r="L275" s="84" t="s">
        <v>623</v>
      </c>
      <c r="M275" s="97" t="str">
        <f>VLOOKUP(C275,'[2]DM Đề tài SV ký HĐ (thay đổi)'!$B$1:$O$475,13,0)</f>
        <v>phuclt@hcmute.edu.vn</v>
      </c>
      <c r="N275" s="97" t="str">
        <f>VLOOKUP(C275,'[2]DM Đề tài SV ký HĐ (thay đổi)'!$B$1:$M$475,12,0)</f>
        <v>Khoa Giao thông và Năng lượng</v>
      </c>
      <c r="O275" s="84" t="s">
        <v>1206</v>
      </c>
      <c r="P275" s="90">
        <v>10000000</v>
      </c>
      <c r="Q275" s="84" t="s">
        <v>1648</v>
      </c>
      <c r="R275" s="84"/>
      <c r="S275" s="84"/>
      <c r="T275" s="101">
        <v>2</v>
      </c>
      <c r="U275" s="101" t="s">
        <v>1787</v>
      </c>
      <c r="V275" s="83"/>
      <c r="W275" s="84"/>
      <c r="X275" s="84"/>
      <c r="Y275" s="84"/>
      <c r="Z275" s="84"/>
      <c r="AA275" s="84"/>
      <c r="AB275" s="84"/>
      <c r="AC275" s="84"/>
      <c r="AD275" s="84"/>
      <c r="AE275" s="84"/>
      <c r="AF275" s="84"/>
      <c r="AG275" s="113" t="s">
        <v>1815</v>
      </c>
      <c r="AH275" s="84"/>
    </row>
    <row r="276" spans="1:34" s="87" customFormat="1" ht="109.2" customHeight="1" x14ac:dyDescent="0.25">
      <c r="A276" s="83">
        <v>394</v>
      </c>
      <c r="B276" s="118" t="str">
        <f t="shared" si="18"/>
        <v>418</v>
      </c>
      <c r="C276" s="84" t="s">
        <v>1013</v>
      </c>
      <c r="D276" s="84" t="s">
        <v>624</v>
      </c>
      <c r="E276" s="84" t="s">
        <v>1188</v>
      </c>
      <c r="F276" s="97" t="str">
        <f t="shared" si="19"/>
        <v xml:space="preserve">Nguyễn Thụy Hồng Phúc </v>
      </c>
      <c r="G276" s="100" t="str">
        <f t="shared" si="20"/>
        <v>23154078</v>
      </c>
      <c r="H276" s="100" t="str">
        <f>VLOOKUP(C276,'[1]DM Đề tài SV ký HĐ (thay đổi)'!$B$1:$Q$475,15,0)</f>
        <v>23154078@student.hcmute.edu.vn</v>
      </c>
      <c r="I276" s="107" t="str">
        <f>VLOOKUP(C276,'[1]DM Đề tài SV ký HĐ (thay đổi)'!$B$1:$Q$475,16,0)</f>
        <v>0918498116</v>
      </c>
      <c r="J276" s="97" t="str">
        <f>VLOOKUP(C276,'[2]DM Đề tài SV ký HĐ (thay đổi)'!$B$1:$I$475,8,0)</f>
        <v>Giao thông và Năng lượng</v>
      </c>
      <c r="K276" s="84"/>
      <c r="L276" s="84" t="s">
        <v>708</v>
      </c>
      <c r="M276" s="97" t="str">
        <f>VLOOKUP(C276,'[2]DM Đề tài SV ký HĐ (thay đổi)'!$B$1:$O$475,13,0)</f>
        <v>thuhtm@hcmute.edu.vn</v>
      </c>
      <c r="N276" s="97" t="str">
        <f>VLOOKUP(C276,'[2]DM Đề tài SV ký HĐ (thay đổi)'!$B$1:$M$475,12,0)</f>
        <v>Khoa Giao thông và Năng lượng</v>
      </c>
      <c r="O276" s="84" t="s">
        <v>1173</v>
      </c>
      <c r="P276" s="90">
        <v>5000000</v>
      </c>
      <c r="Q276" s="84" t="s">
        <v>1647</v>
      </c>
      <c r="R276" s="84"/>
      <c r="S276" s="84"/>
      <c r="T276" s="101">
        <v>2</v>
      </c>
      <c r="U276" s="101" t="s">
        <v>1787</v>
      </c>
      <c r="V276" s="83"/>
      <c r="W276" s="84"/>
      <c r="X276" s="84"/>
      <c r="Y276" s="84"/>
      <c r="Z276" s="84"/>
      <c r="AA276" s="84"/>
      <c r="AB276" s="84"/>
      <c r="AC276" s="84"/>
      <c r="AD276" s="84"/>
      <c r="AE276" s="84"/>
      <c r="AF276" s="84"/>
      <c r="AG276" s="113" t="s">
        <v>1815</v>
      </c>
      <c r="AH276" s="84"/>
    </row>
    <row r="277" spans="1:34" s="87" customFormat="1" ht="109.2" customHeight="1" x14ac:dyDescent="0.25">
      <c r="A277" s="83">
        <v>395</v>
      </c>
      <c r="B277" s="118" t="str">
        <f t="shared" si="18"/>
        <v>419</v>
      </c>
      <c r="C277" s="84" t="s">
        <v>1014</v>
      </c>
      <c r="D277" s="84" t="s">
        <v>625</v>
      </c>
      <c r="E277" s="84" t="s">
        <v>1189</v>
      </c>
      <c r="F277" s="97" t="str">
        <f t="shared" si="19"/>
        <v xml:space="preserve">Huỳnh Đức Hoàng </v>
      </c>
      <c r="G277" s="100" t="str">
        <f t="shared" si="20"/>
        <v>24154039</v>
      </c>
      <c r="H277" s="100" t="str">
        <f>VLOOKUP(C277,'[1]DM Đề tài SV ký HĐ (thay đổi)'!$B$1:$Q$475,15,0)</f>
        <v>24154039@student.hcmute.edu.vn</v>
      </c>
      <c r="I277" s="107" t="str">
        <f>VLOOKUP(C277,'[1]DM Đề tài SV ký HĐ (thay đổi)'!$B$1:$Q$475,16,0)</f>
        <v>0815088797</v>
      </c>
      <c r="J277" s="97" t="str">
        <f>VLOOKUP(C277,'[2]DM Đề tài SV ký HĐ (thay đổi)'!$B$1:$I$475,8,0)</f>
        <v>Giao thông và Năng lượng</v>
      </c>
      <c r="K277" s="84" t="s">
        <v>1603</v>
      </c>
      <c r="L277" s="84" t="s">
        <v>185</v>
      </c>
      <c r="M277" s="97" t="str">
        <f>VLOOKUP(C277,'[2]DM Đề tài SV ký HĐ (thay đổi)'!$B$1:$O$475,13,0)</f>
        <v xml:space="preserve">sondh@ hcmute.edu.vn </v>
      </c>
      <c r="N277" s="97" t="str">
        <f>VLOOKUP(C277,'[2]DM Đề tài SV ký HĐ (thay đổi)'!$B$1:$M$475,12,0)</f>
        <v>Khoa Giao thông và Năng lượng</v>
      </c>
      <c r="O277" s="84" t="s">
        <v>1174</v>
      </c>
      <c r="P277" s="90">
        <v>15000000</v>
      </c>
      <c r="Q277" s="85" t="s">
        <v>1649</v>
      </c>
      <c r="R277" s="85"/>
      <c r="S277" s="85"/>
      <c r="T277" s="101">
        <v>2</v>
      </c>
      <c r="U277" s="101" t="s">
        <v>1787</v>
      </c>
      <c r="V277" s="83"/>
      <c r="W277" s="84"/>
      <c r="X277" s="84"/>
      <c r="Y277" s="84"/>
      <c r="Z277" s="84"/>
      <c r="AA277" s="84"/>
      <c r="AB277" s="84"/>
      <c r="AC277" s="84"/>
      <c r="AD277" s="84"/>
      <c r="AE277" s="84"/>
      <c r="AF277" s="84"/>
      <c r="AG277" s="114" t="s">
        <v>1813</v>
      </c>
      <c r="AH277" s="84"/>
    </row>
    <row r="278" spans="1:34" s="87" customFormat="1" ht="109.2" customHeight="1" x14ac:dyDescent="0.25">
      <c r="A278" s="83">
        <v>396</v>
      </c>
      <c r="B278" s="118" t="str">
        <f t="shared" si="18"/>
        <v>420</v>
      </c>
      <c r="C278" s="84" t="s">
        <v>1015</v>
      </c>
      <c r="D278" s="84" t="s">
        <v>1601</v>
      </c>
      <c r="E278" s="84" t="s">
        <v>1190</v>
      </c>
      <c r="F278" s="97" t="str">
        <f t="shared" si="19"/>
        <v xml:space="preserve">Đoàn Minh Hiếu </v>
      </c>
      <c r="G278" s="100" t="str">
        <f t="shared" si="20"/>
        <v>24154037</v>
      </c>
      <c r="H278" s="100" t="str">
        <f>VLOOKUP(C278,'[1]DM Đề tài SV ký HĐ (thay đổi)'!$B$1:$Q$475,15,0)</f>
        <v>24154037@student.hcmute.edu.vn</v>
      </c>
      <c r="I278" s="107" t="str">
        <f>VLOOKUP(C278,'[1]DM Đề tài SV ký HĐ (thay đổi)'!$B$1:$Q$475,16,0)</f>
        <v>0888668478</v>
      </c>
      <c r="J278" s="97" t="str">
        <f>VLOOKUP(C278,'[2]DM Đề tài SV ký HĐ (thay đổi)'!$B$1:$I$475,8,0)</f>
        <v>Giao thông và Năng lượng</v>
      </c>
      <c r="K278" s="84" t="s">
        <v>1602</v>
      </c>
      <c r="L278" s="84" t="s">
        <v>185</v>
      </c>
      <c r="M278" s="97" t="str">
        <f>VLOOKUP(C278,'[2]DM Đề tài SV ký HĐ (thay đổi)'!$B$1:$O$475,13,0)</f>
        <v xml:space="preserve">sondh@ hcmute.edu.vn </v>
      </c>
      <c r="N278" s="97" t="str">
        <f>VLOOKUP(C278,'[2]DM Đề tài SV ký HĐ (thay đổi)'!$B$1:$M$475,12,0)</f>
        <v>Khoa Giao thông và Năng lượng</v>
      </c>
      <c r="O278" s="84" t="s">
        <v>1175</v>
      </c>
      <c r="P278" s="90">
        <v>10000000</v>
      </c>
      <c r="Q278" s="84" t="s">
        <v>1648</v>
      </c>
      <c r="R278" s="84"/>
      <c r="S278" s="84"/>
      <c r="T278" s="101">
        <v>2</v>
      </c>
      <c r="U278" s="101" t="s">
        <v>1787</v>
      </c>
      <c r="V278" s="83"/>
      <c r="W278" s="84"/>
      <c r="X278" s="84"/>
      <c r="Y278" s="84"/>
      <c r="Z278" s="84"/>
      <c r="AA278" s="84"/>
      <c r="AB278" s="84"/>
      <c r="AC278" s="84"/>
      <c r="AD278" s="84"/>
      <c r="AE278" s="84"/>
      <c r="AF278" s="84"/>
      <c r="AG278" s="114" t="s">
        <v>1813</v>
      </c>
      <c r="AH278" s="84"/>
    </row>
    <row r="279" spans="1:34" s="87" customFormat="1" ht="109.2" customHeight="1" x14ac:dyDescent="0.25">
      <c r="A279" s="83">
        <v>400</v>
      </c>
      <c r="B279" s="118" t="str">
        <f t="shared" si="18"/>
        <v>425</v>
      </c>
      <c r="C279" s="84" t="s">
        <v>1016</v>
      </c>
      <c r="D279" s="84" t="s">
        <v>1176</v>
      </c>
      <c r="E279" s="84" t="s">
        <v>1191</v>
      </c>
      <c r="F279" s="97" t="str">
        <f t="shared" si="19"/>
        <v xml:space="preserve">Nguyễn Hoài Linh </v>
      </c>
      <c r="G279" s="100" t="str">
        <f t="shared" si="20"/>
        <v>22145407</v>
      </c>
      <c r="H279" s="100" t="str">
        <f>VLOOKUP(C279,'[1]DM Đề tài SV ký HĐ (thay đổi)'!$B$1:$Q$475,15,0)</f>
        <v>22145407@student.hcmute.edu.vn</v>
      </c>
      <c r="I279" s="107" t="str">
        <f>VLOOKUP(C279,'[1]DM Đề tài SV ký HĐ (thay đổi)'!$B$1:$Q$475,16,0)</f>
        <v>0363980825</v>
      </c>
      <c r="J279" s="97" t="str">
        <f>VLOOKUP(C279,'[2]DM Đề tài SV ký HĐ (thay đổi)'!$B$1:$I$475,8,0)</f>
        <v>Giao thông và Năng lượng</v>
      </c>
      <c r="K279" s="84"/>
      <c r="L279" s="84" t="s">
        <v>563</v>
      </c>
      <c r="M279" s="97" t="str">
        <f>VLOOKUP(C279,'[2]DM Đề tài SV ký HĐ (thay đổi)'!$B$1:$O$475,13,0)</f>
        <v>hungpt@hcmute.edu.vn</v>
      </c>
      <c r="N279" s="97" t="str">
        <f>VLOOKUP(C279,'[2]DM Đề tài SV ký HĐ (thay đổi)'!$B$1:$M$475,12,0)</f>
        <v>Khoa Xây dựng</v>
      </c>
      <c r="O279" s="88" t="s">
        <v>1540</v>
      </c>
      <c r="P279" s="90">
        <v>15000000</v>
      </c>
      <c r="Q279" s="85" t="s">
        <v>1649</v>
      </c>
      <c r="R279" s="85"/>
      <c r="S279" s="85"/>
      <c r="T279" s="103">
        <v>2</v>
      </c>
      <c r="U279" s="103" t="s">
        <v>1787</v>
      </c>
      <c r="V279" s="83"/>
      <c r="W279" s="84"/>
      <c r="X279" s="84"/>
      <c r="Y279" s="84"/>
      <c r="Z279" s="84"/>
      <c r="AA279" s="84"/>
      <c r="AB279" s="84"/>
      <c r="AC279" s="84"/>
      <c r="AD279" s="84"/>
      <c r="AE279" s="84"/>
      <c r="AF279" s="84"/>
      <c r="AG279" s="114" t="s">
        <v>1813</v>
      </c>
      <c r="AH279" s="84"/>
    </row>
    <row r="280" spans="1:34" s="87" customFormat="1" ht="109.2" customHeight="1" x14ac:dyDescent="0.25">
      <c r="A280" s="83">
        <v>401</v>
      </c>
      <c r="B280" s="83" t="str">
        <f t="shared" si="18"/>
        <v>426</v>
      </c>
      <c r="C280" s="84" t="s">
        <v>1017</v>
      </c>
      <c r="D280" s="84" t="s">
        <v>626</v>
      </c>
      <c r="E280" s="84" t="s">
        <v>1192</v>
      </c>
      <c r="F280" s="97" t="str">
        <f t="shared" si="19"/>
        <v xml:space="preserve">Hà Hoàng Vũ </v>
      </c>
      <c r="G280" s="100" t="str">
        <f t="shared" si="20"/>
        <v>23145241</v>
      </c>
      <c r="H280" s="100" t="str">
        <f>VLOOKUP(C280,'[1]DM Đề tài SV ký HĐ (thay đổi)'!$B$1:$Q$475,15,0)</f>
        <v>23145241@student.hcmute.edu.vn</v>
      </c>
      <c r="I280" s="107" t="str">
        <f>VLOOKUP(C280,'[1]DM Đề tài SV ký HĐ (thay đổi)'!$B$1:$Q$475,16,0)</f>
        <v>0846336584</v>
      </c>
      <c r="J280" s="97" t="str">
        <f>VLOOKUP(C280,'[2]DM Đề tài SV ký HĐ (thay đổi)'!$B$1:$I$475,8,0)</f>
        <v>Giao thông và Năng lượng</v>
      </c>
      <c r="K280" s="84" t="s">
        <v>1744</v>
      </c>
      <c r="L280" s="84" t="s">
        <v>718</v>
      </c>
      <c r="M280" s="97" t="str">
        <f>VLOOKUP(C280,'[2]DM Đề tài SV ký HĐ (thay đổi)'!$B$1:$O$475,13,0)</f>
        <v>tuyennt@hcmute.edu.vn</v>
      </c>
      <c r="N280" s="97" t="str">
        <f>VLOOKUP(C280,'[2]DM Đề tài SV ký HĐ (thay đổi)'!$B$1:$M$475,12,0)</f>
        <v>Khoa Giao thông và Năng lượng</v>
      </c>
      <c r="O280" s="88" t="s">
        <v>1177</v>
      </c>
      <c r="P280" s="90">
        <v>5000000</v>
      </c>
      <c r="Q280" s="84" t="s">
        <v>1647</v>
      </c>
      <c r="R280" s="84"/>
      <c r="S280" s="84"/>
      <c r="T280" s="103"/>
      <c r="U280" s="103" t="s">
        <v>1787</v>
      </c>
      <c r="V280" s="83"/>
      <c r="W280" s="84"/>
      <c r="X280" s="84"/>
      <c r="Y280" s="84"/>
      <c r="Z280" s="84"/>
      <c r="AA280" s="84"/>
      <c r="AB280" s="84"/>
      <c r="AC280" s="84"/>
      <c r="AD280" s="84"/>
      <c r="AE280" s="84"/>
      <c r="AF280" s="84"/>
      <c r="AG280" s="114" t="s">
        <v>1813</v>
      </c>
      <c r="AH280" s="84" t="s">
        <v>1820</v>
      </c>
    </row>
    <row r="281" spans="1:34" s="87" customFormat="1" ht="109.2" customHeight="1" x14ac:dyDescent="0.25">
      <c r="A281" s="83">
        <v>402</v>
      </c>
      <c r="B281" s="118" t="str">
        <f t="shared" si="18"/>
        <v>427</v>
      </c>
      <c r="C281" s="84" t="s">
        <v>1018</v>
      </c>
      <c r="D281" s="84" t="s">
        <v>627</v>
      </c>
      <c r="E281" s="84" t="s">
        <v>1193</v>
      </c>
      <c r="F281" s="97" t="str">
        <f t="shared" si="19"/>
        <v xml:space="preserve">Trần Võ Thanh Hào </v>
      </c>
      <c r="G281" s="100" t="str">
        <f t="shared" si="20"/>
        <v>22145132</v>
      </c>
      <c r="H281" s="100" t="str">
        <f>VLOOKUP(C281,'[1]DM Đề tài SV ký HĐ (thay đổi)'!$B$1:$Q$475,15,0)</f>
        <v>22145132@student.hcmute.edu.vn</v>
      </c>
      <c r="I281" s="107" t="str">
        <f>VLOOKUP(C281,'[1]DM Đề tài SV ký HĐ (thay đổi)'!$B$1:$Q$475,16,0)</f>
        <v>0333655343</v>
      </c>
      <c r="J281" s="97" t="str">
        <f>VLOOKUP(C281,'[2]DM Đề tài SV ký HĐ (thay đổi)'!$B$1:$I$475,8,0)</f>
        <v>Giao thông và Năng lượng</v>
      </c>
      <c r="K281" s="84" t="s">
        <v>1197</v>
      </c>
      <c r="L281" s="84" t="s">
        <v>720</v>
      </c>
      <c r="M281" s="97" t="str">
        <f>VLOOKUP(C281,'[2]DM Đề tài SV ký HĐ (thay đổi)'!$B$1:$O$475,13,0)</f>
        <v xml:space="preserve">hieuntr@ hcmute.edu.vn </v>
      </c>
      <c r="N281" s="97" t="str">
        <f>VLOOKUP(C281,'[2]DM Đề tài SV ký HĐ (thay đổi)'!$B$1:$M$475,12,0)</f>
        <v>Khoa Giao thông và Năng lượng</v>
      </c>
      <c r="O281" s="88" t="s">
        <v>1195</v>
      </c>
      <c r="P281" s="90">
        <v>10000000</v>
      </c>
      <c r="Q281" s="84" t="s">
        <v>1648</v>
      </c>
      <c r="R281" s="84"/>
      <c r="S281" s="84"/>
      <c r="T281" s="101">
        <v>2</v>
      </c>
      <c r="U281" s="103" t="s">
        <v>1787</v>
      </c>
      <c r="V281" s="83"/>
      <c r="W281" s="84"/>
      <c r="X281" s="84"/>
      <c r="Y281" s="84"/>
      <c r="Z281" s="84"/>
      <c r="AA281" s="84"/>
      <c r="AB281" s="84"/>
      <c r="AC281" s="84"/>
      <c r="AD281" s="84"/>
      <c r="AE281" s="84"/>
      <c r="AF281" s="84"/>
      <c r="AG281" s="114" t="s">
        <v>1813</v>
      </c>
      <c r="AH281" s="84"/>
    </row>
    <row r="282" spans="1:34" s="87" customFormat="1" ht="109.2" customHeight="1" x14ac:dyDescent="0.25">
      <c r="A282" s="83">
        <v>403</v>
      </c>
      <c r="B282" s="118" t="str">
        <f t="shared" si="18"/>
        <v>428</v>
      </c>
      <c r="C282" s="84" t="s">
        <v>1019</v>
      </c>
      <c r="D282" s="84" t="s">
        <v>628</v>
      </c>
      <c r="E282" s="84" t="s">
        <v>1194</v>
      </c>
      <c r="F282" s="97" t="str">
        <f t="shared" si="19"/>
        <v xml:space="preserve">Ngô Quang Huy </v>
      </c>
      <c r="G282" s="100" t="str">
        <f t="shared" si="20"/>
        <v>22145155</v>
      </c>
      <c r="H282" s="100" t="str">
        <f>VLOOKUP(C282,'[1]DM Đề tài SV ký HĐ (thay đổi)'!$B$1:$Q$475,15,0)</f>
        <v>22145155@student.hcmute.edu.vn</v>
      </c>
      <c r="I282" s="107" t="str">
        <f>VLOOKUP(C282,'[1]DM Đề tài SV ký HĐ (thay đổi)'!$B$1:$Q$475,16,0)</f>
        <v>0931092407</v>
      </c>
      <c r="J282" s="97" t="str">
        <f>VLOOKUP(C282,'[2]DM Đề tài SV ký HĐ (thay đổi)'!$B$1:$I$475,8,0)</f>
        <v>Giao thông và Năng lượng</v>
      </c>
      <c r="K282" s="84" t="s">
        <v>1196</v>
      </c>
      <c r="L282" s="84" t="s">
        <v>720</v>
      </c>
      <c r="M282" s="97" t="str">
        <f>VLOOKUP(C282,'[2]DM Đề tài SV ký HĐ (thay đổi)'!$B$1:$O$475,13,0)</f>
        <v xml:space="preserve">hieuntr@ hcmute.edu.vn </v>
      </c>
      <c r="N282" s="97" t="str">
        <f>VLOOKUP(C282,'[2]DM Đề tài SV ký HĐ (thay đổi)'!$B$1:$M$475,12,0)</f>
        <v>Khoa Giao thông và Năng lượng</v>
      </c>
      <c r="O282" s="88" t="s">
        <v>1178</v>
      </c>
      <c r="P282" s="90">
        <v>10000000</v>
      </c>
      <c r="Q282" s="84" t="s">
        <v>1648</v>
      </c>
      <c r="R282" s="84"/>
      <c r="S282" s="84"/>
      <c r="T282" s="101">
        <v>2</v>
      </c>
      <c r="U282" s="103" t="s">
        <v>1787</v>
      </c>
      <c r="V282" s="83"/>
      <c r="W282" s="84"/>
      <c r="X282" s="84"/>
      <c r="Y282" s="84"/>
      <c r="Z282" s="84"/>
      <c r="AA282" s="84"/>
      <c r="AB282" s="84"/>
      <c r="AC282" s="84"/>
      <c r="AD282" s="84"/>
      <c r="AE282" s="84"/>
      <c r="AF282" s="84"/>
      <c r="AG282" s="114" t="s">
        <v>1813</v>
      </c>
      <c r="AH282" s="84"/>
    </row>
    <row r="283" spans="1:34" s="87" customFormat="1" ht="109.2" customHeight="1" x14ac:dyDescent="0.25">
      <c r="A283" s="83">
        <v>405</v>
      </c>
      <c r="B283" s="118" t="str">
        <f t="shared" si="18"/>
        <v>430</v>
      </c>
      <c r="C283" s="84" t="s">
        <v>1020</v>
      </c>
      <c r="D283" s="84" t="s">
        <v>629</v>
      </c>
      <c r="E283" s="84" t="s">
        <v>1072</v>
      </c>
      <c r="F283" s="97" t="str">
        <f t="shared" si="19"/>
        <v xml:space="preserve">Lê Thanh Trí Đại </v>
      </c>
      <c r="G283" s="100" t="str">
        <f t="shared" si="20"/>
        <v>19151051</v>
      </c>
      <c r="H283" s="100" t="str">
        <f>VLOOKUP(C283,'[1]DM Đề tài SV ký HĐ (thay đổi)'!$B$1:$Q$475,15,0)</f>
        <v>19151051@student.hcmute.edu.vn</v>
      </c>
      <c r="I283" s="107">
        <f>VLOOKUP(C283,'[1]DM Đề tài SV ký HĐ (thay đổi)'!$B$1:$Q$475,16,0)</f>
        <v>903714295</v>
      </c>
      <c r="J283" s="97" t="str">
        <f>VLOOKUP(C283,'[2]DM Đề tài SV ký HĐ (thay đổi)'!$B$1:$I$475,8,0)</f>
        <v>Đào tạo tiên tiến</v>
      </c>
      <c r="K283" s="84" t="s">
        <v>1294</v>
      </c>
      <c r="L283" s="84" t="s">
        <v>349</v>
      </c>
      <c r="M283" s="97" t="str">
        <f>VLOOKUP(C283,'[2]DM Đề tài SV ký HĐ (thay đổi)'!$B$1:$O$475,13,0)</f>
        <v>tamnm@hcmute.edu.vn</v>
      </c>
      <c r="N283" s="97" t="str">
        <f>VLOOKUP(C283,'[2]DM Đề tài SV ký HĐ (thay đổi)'!$B$1:$M$475,12,0)</f>
        <v>Khoa Điện - Điện tử</v>
      </c>
      <c r="O283" s="84" t="s">
        <v>1078</v>
      </c>
      <c r="P283" s="90">
        <v>25000000</v>
      </c>
      <c r="Q283" s="88" t="s">
        <v>1650</v>
      </c>
      <c r="R283" s="88"/>
      <c r="S283" s="88"/>
      <c r="T283" s="101">
        <v>2</v>
      </c>
      <c r="U283" s="103" t="s">
        <v>1787</v>
      </c>
      <c r="V283" s="83"/>
      <c r="W283" s="84"/>
      <c r="X283" s="84"/>
      <c r="Y283" s="84"/>
      <c r="Z283" s="84"/>
      <c r="AA283" s="84"/>
      <c r="AB283" s="84"/>
      <c r="AC283" s="84"/>
      <c r="AD283" s="84"/>
      <c r="AE283" s="84"/>
      <c r="AF283" s="84"/>
      <c r="AG283" s="114" t="s">
        <v>1813</v>
      </c>
      <c r="AH283" s="84"/>
    </row>
    <row r="284" spans="1:34" s="87" customFormat="1" ht="109.2" customHeight="1" x14ac:dyDescent="0.25">
      <c r="A284" s="83">
        <v>411</v>
      </c>
      <c r="B284" s="118" t="str">
        <f t="shared" si="18"/>
        <v>436</v>
      </c>
      <c r="C284" s="84" t="s">
        <v>1021</v>
      </c>
      <c r="D284" s="84" t="s">
        <v>630</v>
      </c>
      <c r="E284" s="84" t="s">
        <v>1073</v>
      </c>
      <c r="F284" s="97" t="str">
        <f t="shared" si="19"/>
        <v xml:space="preserve">Huỳnh Chí Nguyên </v>
      </c>
      <c r="G284" s="100" t="str">
        <f t="shared" si="20"/>
        <v>22151032</v>
      </c>
      <c r="H284" s="100" t="str">
        <f>VLOOKUP(C284,'[1]DM Đề tài SV ký HĐ (thay đổi)'!$B$1:$Q$475,15,0)</f>
        <v>22151032@student.hcmute.edu.vn</v>
      </c>
      <c r="I284" s="107" t="str">
        <f>VLOOKUP(C284,'[1]DM Đề tài SV ký HĐ (thay đổi)'!$B$1:$Q$475,16,0)</f>
        <v>0705487496</v>
      </c>
      <c r="J284" s="97" t="str">
        <f>VLOOKUP(C284,'[2]DM Đề tài SV ký HĐ (thay đổi)'!$B$1:$I$475,8,0)</f>
        <v>Đào tạo tiên tiến</v>
      </c>
      <c r="K284" s="84" t="s">
        <v>1074</v>
      </c>
      <c r="L284" s="84" t="s">
        <v>353</v>
      </c>
      <c r="M284" s="97" t="str">
        <f>VLOOKUP(C284,'[2]DM Đề tài SV ký HĐ (thay đổi)'!$B$1:$O$475,13,0)</f>
        <v>dotv@hcmute.edu.vn</v>
      </c>
      <c r="N284" s="97" t="str">
        <f>VLOOKUP(C284,'[2]DM Đề tài SV ký HĐ (thay đổi)'!$B$1:$M$475,12,0)</f>
        <v>Khoa Điện - Điện tử</v>
      </c>
      <c r="O284" s="84" t="s">
        <v>1079</v>
      </c>
      <c r="P284" s="90">
        <v>10000000</v>
      </c>
      <c r="Q284" s="84" t="s">
        <v>1648</v>
      </c>
      <c r="R284" s="84"/>
      <c r="S284" s="84"/>
      <c r="T284" s="101">
        <v>2</v>
      </c>
      <c r="U284" s="101" t="s">
        <v>1787</v>
      </c>
      <c r="V284" s="83"/>
      <c r="W284" s="84"/>
      <c r="X284" s="84"/>
      <c r="Y284" s="84"/>
      <c r="Z284" s="84"/>
      <c r="AA284" s="84"/>
      <c r="AB284" s="84"/>
      <c r="AC284" s="84"/>
      <c r="AD284" s="84"/>
      <c r="AE284" s="84"/>
      <c r="AF284" s="84"/>
      <c r="AG284" s="114" t="s">
        <v>1813</v>
      </c>
      <c r="AH284" s="84"/>
    </row>
    <row r="285" spans="1:34" s="87" customFormat="1" ht="109.2" customHeight="1" x14ac:dyDescent="0.25">
      <c r="A285" s="83">
        <v>413</v>
      </c>
      <c r="B285" s="118" t="str">
        <f t="shared" ref="B285:B333" si="21">RIGHT(C285,3)</f>
        <v>438</v>
      </c>
      <c r="C285" s="84" t="s">
        <v>1022</v>
      </c>
      <c r="D285" s="84" t="s">
        <v>1582</v>
      </c>
      <c r="E285" s="84" t="s">
        <v>631</v>
      </c>
      <c r="F285" s="97" t="str">
        <f t="shared" si="19"/>
        <v xml:space="preserve">Nguyễn Ngọc Phương Thảo </v>
      </c>
      <c r="G285" s="100" t="str">
        <f t="shared" si="20"/>
        <v>23116033</v>
      </c>
      <c r="H285" s="100" t="str">
        <f>VLOOKUP(C285,'[1]DM Đề tài SV ký HĐ (thay đổi)'!$B$1:$Q$475,15,0)</f>
        <v>23116033@student.hcmute.edu.vn</v>
      </c>
      <c r="I285" s="107">
        <f>VLOOKUP(C285,'[1]DM Đề tài SV ký HĐ (thay đổi)'!$B$1:$Q$475,16,0)</f>
        <v>382020171</v>
      </c>
      <c r="J285" s="97" t="str">
        <f>VLOOKUP(C285,'[2]DM Đề tài SV ký HĐ (thay đổi)'!$B$1:$I$475,8,0)</f>
        <v>Đào tạo tiên tiến</v>
      </c>
      <c r="K285" s="84" t="s">
        <v>1583</v>
      </c>
      <c r="L285" s="84" t="s">
        <v>726</v>
      </c>
      <c r="M285" s="97" t="str">
        <f>VLOOKUP(C285,'[2]DM Đề tài SV ký HĐ (thay đổi)'!$B$1:$O$475,13,0)</f>
        <v>hoanpt@hcmute.edu.vn</v>
      </c>
      <c r="N285" s="97" t="str">
        <f>VLOOKUP(C285,'[2]DM Đề tài SV ký HĐ (thay đổi)'!$B$1:$M$475,12,0)</f>
        <v>Khoa CNHH&amp;TP</v>
      </c>
      <c r="O285" s="84" t="s">
        <v>655</v>
      </c>
      <c r="P285" s="90">
        <v>5000000</v>
      </c>
      <c r="Q285" s="84" t="s">
        <v>1647</v>
      </c>
      <c r="R285" s="84"/>
      <c r="S285" s="84"/>
      <c r="T285" s="101">
        <v>2</v>
      </c>
      <c r="U285" s="101" t="s">
        <v>1787</v>
      </c>
      <c r="V285" s="83"/>
      <c r="W285" s="84"/>
      <c r="X285" s="84"/>
      <c r="Y285" s="84"/>
      <c r="Z285" s="84"/>
      <c r="AA285" s="84"/>
      <c r="AB285" s="84"/>
      <c r="AC285" s="84"/>
      <c r="AD285" s="84"/>
      <c r="AE285" s="84"/>
      <c r="AF285" s="84"/>
      <c r="AG285" s="114" t="s">
        <v>1813</v>
      </c>
      <c r="AH285" s="84"/>
    </row>
    <row r="286" spans="1:34" s="87" customFormat="1" ht="109.2" customHeight="1" x14ac:dyDescent="0.25">
      <c r="A286" s="83">
        <v>414</v>
      </c>
      <c r="B286" s="118" t="str">
        <f t="shared" si="21"/>
        <v>439</v>
      </c>
      <c r="C286" s="84" t="s">
        <v>1023</v>
      </c>
      <c r="D286" s="84" t="s">
        <v>632</v>
      </c>
      <c r="E286" s="84" t="s">
        <v>633</v>
      </c>
      <c r="F286" s="97" t="str">
        <f t="shared" si="19"/>
        <v xml:space="preserve">Lê Minh Tân </v>
      </c>
      <c r="G286" s="100" t="str">
        <f t="shared" si="20"/>
        <v>23119033</v>
      </c>
      <c r="H286" s="100" t="str">
        <f>VLOOKUP(C286,'[1]DM Đề tài SV ký HĐ (thay đổi)'!$B$1:$Q$475,15,0)</f>
        <v>23119033@student.hcmute.edu.vn</v>
      </c>
      <c r="I286" s="107">
        <f>VLOOKUP(C286,'[1]DM Đề tài SV ký HĐ (thay đổi)'!$B$1:$Q$475,16,0)</f>
        <v>797153514</v>
      </c>
      <c r="J286" s="97" t="str">
        <f>VLOOKUP(C286,'[2]DM Đề tài SV ký HĐ (thay đổi)'!$B$1:$I$475,8,0)</f>
        <v>Đào tạo tiên tiến</v>
      </c>
      <c r="K286" s="84" t="s">
        <v>1075</v>
      </c>
      <c r="L286" s="84" t="s">
        <v>1510</v>
      </c>
      <c r="M286" s="97" t="str">
        <f>VLOOKUP(C286,'[2]DM Đề tài SV ký HĐ (thay đổi)'!$B$1:$O$475,13,0)</f>
        <v xml:space="preserve">  halm@hcmute.edu.vn</v>
      </c>
      <c r="N286" s="97" t="str">
        <f>VLOOKUP(C286,'[2]DM Đề tài SV ký HĐ (thay đổi)'!$B$1:$M$475,12,0)</f>
        <v>Khoa Điện - Điện tử</v>
      </c>
      <c r="O286" s="84" t="s">
        <v>1777</v>
      </c>
      <c r="P286" s="90">
        <v>10000000</v>
      </c>
      <c r="Q286" s="84" t="s">
        <v>1648</v>
      </c>
      <c r="R286" s="84"/>
      <c r="S286" s="84"/>
      <c r="T286" s="103">
        <v>2</v>
      </c>
      <c r="U286" s="103" t="s">
        <v>1787</v>
      </c>
      <c r="V286" s="83"/>
      <c r="W286" s="84"/>
      <c r="X286" s="84"/>
      <c r="Y286" s="84"/>
      <c r="Z286" s="84"/>
      <c r="AA286" s="84"/>
      <c r="AB286" s="84"/>
      <c r="AC286" s="84"/>
      <c r="AD286" s="84"/>
      <c r="AE286" s="84"/>
      <c r="AF286" s="84"/>
      <c r="AG286" s="114" t="s">
        <v>1813</v>
      </c>
      <c r="AH286" s="84"/>
    </row>
    <row r="287" spans="1:34" s="87" customFormat="1" ht="109.2" customHeight="1" x14ac:dyDescent="0.25">
      <c r="A287" s="83">
        <v>415</v>
      </c>
      <c r="B287" s="118" t="str">
        <f t="shared" si="21"/>
        <v>440</v>
      </c>
      <c r="C287" s="84" t="s">
        <v>1024</v>
      </c>
      <c r="D287" s="84" t="s">
        <v>634</v>
      </c>
      <c r="E287" s="84" t="s">
        <v>1076</v>
      </c>
      <c r="F287" s="97" t="str">
        <f t="shared" si="19"/>
        <v xml:space="preserve">Trần Hưng Tuấn Anh </v>
      </c>
      <c r="G287" s="100" t="str">
        <f t="shared" si="20"/>
        <v>22151006</v>
      </c>
      <c r="H287" s="100" t="str">
        <f>VLOOKUP(C287,'[1]DM Đề tài SV ký HĐ (thay đổi)'!$B$1:$Q$475,15,0)</f>
        <v xml:space="preserve">22151006@student.hcmute.edu.vn </v>
      </c>
      <c r="I287" s="107">
        <f>VLOOKUP(C287,'[1]DM Đề tài SV ký HĐ (thay đổi)'!$B$1:$Q$475,16,0)</f>
        <v>986142799</v>
      </c>
      <c r="J287" s="97" t="str">
        <f>VLOOKUP(C287,'[2]DM Đề tài SV ký HĐ (thay đổi)'!$B$1:$I$475,8,0)</f>
        <v>Đào tạo tiên tiến</v>
      </c>
      <c r="K287" s="84" t="s">
        <v>1579</v>
      </c>
      <c r="L287" s="84" t="s">
        <v>344</v>
      </c>
      <c r="M287" s="97" t="str">
        <f>VLOOKUP(C287,'[2]DM Đề tài SV ký HĐ (thay đổi)'!$B$1:$O$475,13,0)</f>
        <v>lamlth@hcmute.edu.vn</v>
      </c>
      <c r="N287" s="97" t="str">
        <f>VLOOKUP(C287,'[2]DM Đề tài SV ký HĐ (thay đổi)'!$B$1:$M$475,12,0)</f>
        <v>Khoa Điện - Điện tử</v>
      </c>
      <c r="O287" s="84" t="s">
        <v>1080</v>
      </c>
      <c r="P287" s="90">
        <v>25000000</v>
      </c>
      <c r="Q287" s="88" t="s">
        <v>1650</v>
      </c>
      <c r="R287" s="88"/>
      <c r="S287" s="88"/>
      <c r="T287" s="101">
        <v>2</v>
      </c>
      <c r="U287" s="103" t="s">
        <v>1787</v>
      </c>
      <c r="V287" s="83"/>
      <c r="W287" s="84"/>
      <c r="X287" s="84"/>
      <c r="Y287" s="84"/>
      <c r="Z287" s="84"/>
      <c r="AA287" s="84"/>
      <c r="AB287" s="84"/>
      <c r="AC287" s="84"/>
      <c r="AD287" s="84"/>
      <c r="AE287" s="84"/>
      <c r="AF287" s="84"/>
      <c r="AG287" s="114" t="s">
        <v>1813</v>
      </c>
      <c r="AH287" s="84"/>
    </row>
    <row r="288" spans="1:34" s="87" customFormat="1" ht="109.2" customHeight="1" x14ac:dyDescent="0.25">
      <c r="A288" s="83">
        <v>419</v>
      </c>
      <c r="B288" s="118" t="str">
        <f t="shared" si="21"/>
        <v>444</v>
      </c>
      <c r="C288" s="84" t="s">
        <v>1025</v>
      </c>
      <c r="D288" s="84" t="s">
        <v>635</v>
      </c>
      <c r="E288" s="84" t="s">
        <v>636</v>
      </c>
      <c r="F288" s="97" t="str">
        <f t="shared" si="19"/>
        <v xml:space="preserve">Nguyễn Châu Tấn Cường </v>
      </c>
      <c r="G288" s="100" t="str">
        <f t="shared" si="20"/>
        <v>23146007</v>
      </c>
      <c r="H288" s="100" t="str">
        <f>VLOOKUP(C288,'[1]DM Đề tài SV ký HĐ (thay đổi)'!$B$1:$Q$475,15,0)</f>
        <v>23146007@student.hcmute.edu.vn</v>
      </c>
      <c r="I288" s="107">
        <f>VLOOKUP(C288,'[1]DM Đề tài SV ký HĐ (thay đổi)'!$B$1:$Q$475,16,0)</f>
        <v>865911147</v>
      </c>
      <c r="J288" s="97" t="str">
        <f>VLOOKUP(C288,'[2]DM Đề tài SV ký HĐ (thay đổi)'!$B$1:$I$475,8,0)</f>
        <v>Đào tạo tiên tiến</v>
      </c>
      <c r="K288" s="84" t="s">
        <v>1365</v>
      </c>
      <c r="L288" s="84" t="s">
        <v>1586</v>
      </c>
      <c r="M288" s="97" t="str">
        <f>VLOOKUP(C288,'[2]DM Đề tài SV ký HĐ (thay đổi)'!$B$1:$O$475,13,0)</f>
        <v>hoangtv@hcmute.edu.vn</v>
      </c>
      <c r="N288" s="97" t="str">
        <f>VLOOKUP(C288,'[2]DM Đề tài SV ký HĐ (thay đổi)'!$B$1:$M$475,12,0)</f>
        <v>Khoa Điện - Điện tử</v>
      </c>
      <c r="O288" s="84" t="s">
        <v>1777</v>
      </c>
      <c r="P288" s="90">
        <v>10000000</v>
      </c>
      <c r="Q288" s="84" t="s">
        <v>1648</v>
      </c>
      <c r="R288" s="84"/>
      <c r="S288" s="84"/>
      <c r="T288" s="101">
        <v>2</v>
      </c>
      <c r="U288" s="101" t="s">
        <v>1787</v>
      </c>
      <c r="V288" s="83"/>
      <c r="W288" s="84"/>
      <c r="X288" s="84"/>
      <c r="Y288" s="84"/>
      <c r="Z288" s="84"/>
      <c r="AA288" s="84"/>
      <c r="AB288" s="84"/>
      <c r="AC288" s="84"/>
      <c r="AD288" s="84"/>
      <c r="AE288" s="84"/>
      <c r="AF288" s="84"/>
      <c r="AG288" s="114" t="s">
        <v>1813</v>
      </c>
      <c r="AH288" s="84"/>
    </row>
    <row r="289" spans="1:34" s="87" customFormat="1" ht="109.2" customHeight="1" x14ac:dyDescent="0.25">
      <c r="A289" s="83">
        <v>420</v>
      </c>
      <c r="B289" s="118" t="str">
        <f t="shared" si="21"/>
        <v>445</v>
      </c>
      <c r="C289" s="84" t="s">
        <v>1026</v>
      </c>
      <c r="D289" s="84" t="s">
        <v>637</v>
      </c>
      <c r="E289" s="84" t="s">
        <v>1077</v>
      </c>
      <c r="F289" s="97" t="str">
        <f t="shared" si="19"/>
        <v xml:space="preserve">Trần Vương Khang </v>
      </c>
      <c r="G289" s="100" t="str">
        <f t="shared" si="20"/>
        <v>22144019</v>
      </c>
      <c r="H289" s="100" t="str">
        <f>VLOOKUP(C289,'[1]DM Đề tài SV ký HĐ (thay đổi)'!$B$1:$Q$475,15,0)</f>
        <v>22144019@student.hcmute.edu.vn</v>
      </c>
      <c r="I289" s="107">
        <f>VLOOKUP(C289,'[1]DM Đề tài SV ký HĐ (thay đổi)'!$B$1:$Q$475,16,0)</f>
        <v>904669318</v>
      </c>
      <c r="J289" s="97" t="str">
        <f>VLOOKUP(C289,'[2]DM Đề tài SV ký HĐ (thay đổi)'!$B$1:$I$475,8,0)</f>
        <v>Đào tạo tiên tiến</v>
      </c>
      <c r="K289" s="84" t="s">
        <v>1590</v>
      </c>
      <c r="L289" s="84" t="s">
        <v>1508</v>
      </c>
      <c r="M289" s="97" t="str">
        <f>VLOOKUP(C289,'[2]DM Đề tài SV ký HĐ (thay đổi)'!$B$1:$O$475,13,0)</f>
        <v>khoadq@hcmute.edu.vn</v>
      </c>
      <c r="N289" s="97" t="str">
        <f>VLOOKUP(C289,'[2]DM Đề tài SV ký HĐ (thay đổi)'!$B$1:$M$475,12,0)</f>
        <v>Khoa đào tạo tiên tiến</v>
      </c>
      <c r="O289" s="84" t="s">
        <v>1591</v>
      </c>
      <c r="P289" s="90">
        <v>10000000</v>
      </c>
      <c r="Q289" s="84" t="s">
        <v>1648</v>
      </c>
      <c r="R289" s="84"/>
      <c r="S289" s="84"/>
      <c r="T289" s="101">
        <v>2</v>
      </c>
      <c r="U289" s="101" t="s">
        <v>1787</v>
      </c>
      <c r="V289" s="83"/>
      <c r="W289" s="84"/>
      <c r="X289" s="84"/>
      <c r="Y289" s="84"/>
      <c r="Z289" s="84"/>
      <c r="AA289" s="84"/>
      <c r="AB289" s="84"/>
      <c r="AC289" s="84"/>
      <c r="AD289" s="84"/>
      <c r="AE289" s="84"/>
      <c r="AF289" s="84"/>
      <c r="AG289" s="114" t="s">
        <v>1813</v>
      </c>
      <c r="AH289" s="84"/>
    </row>
    <row r="290" spans="1:34" s="87" customFormat="1" ht="109.2" customHeight="1" x14ac:dyDescent="0.25">
      <c r="A290" s="83">
        <v>421</v>
      </c>
      <c r="B290" s="118" t="str">
        <f t="shared" si="21"/>
        <v>446</v>
      </c>
      <c r="C290" s="84" t="s">
        <v>1027</v>
      </c>
      <c r="D290" s="84" t="s">
        <v>1739</v>
      </c>
      <c r="E290" s="84" t="s">
        <v>638</v>
      </c>
      <c r="F290" s="97" t="str">
        <f t="shared" si="19"/>
        <v xml:space="preserve">Đỗ Minh Huy </v>
      </c>
      <c r="G290" s="100" t="str">
        <f t="shared" si="20"/>
        <v>22145026</v>
      </c>
      <c r="H290" s="100" t="str">
        <f>VLOOKUP(C290,'[1]DM Đề tài SV ký HĐ (thay đổi)'!$B$1:$Q$475,15,0)</f>
        <v>22145026@student.hcmute.edu.vn</v>
      </c>
      <c r="I290" s="107">
        <f>VLOOKUP(C290,'[1]DM Đề tài SV ký HĐ (thay đổi)'!$B$1:$Q$475,16,0)</f>
        <v>337054978</v>
      </c>
      <c r="J290" s="97" t="str">
        <f>VLOOKUP(C290,'[2]DM Đề tài SV ký HĐ (thay đổi)'!$B$1:$I$475,8,0)</f>
        <v>Đào tạo tiên tiến</v>
      </c>
      <c r="K290" s="84" t="s">
        <v>1297</v>
      </c>
      <c r="L290" s="84" t="s">
        <v>718</v>
      </c>
      <c r="M290" s="97" t="str">
        <f>VLOOKUP(C290,'[2]DM Đề tài SV ký HĐ (thay đổi)'!$B$1:$O$475,13,0)</f>
        <v>tuyennt@hcmute.edu.vn</v>
      </c>
      <c r="N290" s="97" t="str">
        <f>VLOOKUP(C290,'[2]DM Đề tài SV ký HĐ (thay đổi)'!$B$1:$M$475,12,0)</f>
        <v>Khoa Giao thông và Năng lượng</v>
      </c>
      <c r="O290" s="84" t="s">
        <v>1081</v>
      </c>
      <c r="P290" s="90">
        <v>10000000</v>
      </c>
      <c r="Q290" s="84" t="s">
        <v>1648</v>
      </c>
      <c r="R290" s="84"/>
      <c r="S290" s="84"/>
      <c r="T290" s="101">
        <v>2</v>
      </c>
      <c r="U290" s="101" t="s">
        <v>1787</v>
      </c>
      <c r="V290" s="83"/>
      <c r="W290" s="84"/>
      <c r="X290" s="84"/>
      <c r="Y290" s="84"/>
      <c r="Z290" s="84"/>
      <c r="AA290" s="84"/>
      <c r="AB290" s="84"/>
      <c r="AC290" s="84"/>
      <c r="AD290" s="84"/>
      <c r="AE290" s="84"/>
      <c r="AF290" s="84"/>
      <c r="AG290" s="113" t="s">
        <v>1814</v>
      </c>
      <c r="AH290" s="84"/>
    </row>
    <row r="291" spans="1:34" s="87" customFormat="1" ht="109.2" customHeight="1" x14ac:dyDescent="0.25">
      <c r="A291" s="83">
        <v>422</v>
      </c>
      <c r="B291" s="118" t="str">
        <f t="shared" si="21"/>
        <v>447</v>
      </c>
      <c r="C291" s="84" t="s">
        <v>1028</v>
      </c>
      <c r="D291" s="84" t="s">
        <v>1731</v>
      </c>
      <c r="E291" s="84" t="s">
        <v>1339</v>
      </c>
      <c r="F291" s="97" t="str">
        <f t="shared" si="19"/>
        <v xml:space="preserve">Lê Tự Thiện An </v>
      </c>
      <c r="G291" s="100" t="str">
        <f t="shared" si="20"/>
        <v>24119005</v>
      </c>
      <c r="H291" s="100" t="str">
        <f>VLOOKUP(C291,'[1]DM Đề tài SV ký HĐ (thay đổi)'!$B$1:$Q$475,15,0)</f>
        <v>24119005@student.hcmute.edu.vn</v>
      </c>
      <c r="I291" s="107">
        <f>VLOOKUP(C291,'[1]DM Đề tài SV ký HĐ (thay đổi)'!$B$1:$Q$475,16,0)</f>
        <v>905049417</v>
      </c>
      <c r="J291" s="97" t="str">
        <f>VLOOKUP(C291,'[2]DM Đề tài SV ký HĐ (thay đổi)'!$B$1:$I$475,8,0)</f>
        <v>Đào tạo tiên tiến</v>
      </c>
      <c r="K291" s="84" t="s">
        <v>1298</v>
      </c>
      <c r="L291" s="84" t="s">
        <v>343</v>
      </c>
      <c r="M291" s="97" t="str">
        <f>VLOOKUP(C291,'[2]DM Đề tài SV ký HĐ (thay đổi)'!$B$1:$O$475,13,0)</f>
        <v>theph@hcmute.edu.vn</v>
      </c>
      <c r="N291" s="97" t="str">
        <f>VLOOKUP(C291,'[2]DM Đề tài SV ký HĐ (thay đổi)'!$B$1:$M$475,12,0)</f>
        <v>Khoa Điện - Điện tử</v>
      </c>
      <c r="O291" s="84" t="s">
        <v>656</v>
      </c>
      <c r="P291" s="90">
        <v>5000000</v>
      </c>
      <c r="Q291" s="84" t="s">
        <v>1647</v>
      </c>
      <c r="R291" s="84"/>
      <c r="S291" s="84"/>
      <c r="T291" s="103">
        <v>2</v>
      </c>
      <c r="U291" s="103" t="s">
        <v>1787</v>
      </c>
      <c r="V291" s="83"/>
      <c r="W291" s="84"/>
      <c r="X291" s="84"/>
      <c r="Y291" s="84"/>
      <c r="Z291" s="84"/>
      <c r="AA291" s="84"/>
      <c r="AB291" s="84"/>
      <c r="AC291" s="84"/>
      <c r="AD291" s="84"/>
      <c r="AE291" s="84"/>
      <c r="AF291" s="84"/>
      <c r="AG291" s="114" t="s">
        <v>1813</v>
      </c>
      <c r="AH291" s="84"/>
    </row>
    <row r="292" spans="1:34" s="87" customFormat="1" ht="109.2" customHeight="1" x14ac:dyDescent="0.25">
      <c r="A292" s="83">
        <v>423</v>
      </c>
      <c r="B292" s="118" t="str">
        <f t="shared" si="21"/>
        <v>448</v>
      </c>
      <c r="C292" s="84" t="s">
        <v>1029</v>
      </c>
      <c r="D292" s="84" t="s">
        <v>1746</v>
      </c>
      <c r="E292" s="84" t="s">
        <v>1341</v>
      </c>
      <c r="F292" s="97" t="str">
        <f t="shared" si="19"/>
        <v xml:space="preserve">Phạm Trần Thanh Vân </v>
      </c>
      <c r="G292" s="100" t="str">
        <f t="shared" si="20"/>
        <v>23124042</v>
      </c>
      <c r="H292" s="100" t="str">
        <f>VLOOKUP(C292,'[1]DM Đề tài SV ký HĐ (thay đổi)'!$B$1:$Q$475,15,0)</f>
        <v>23124042@student.hcmute.edu.vn</v>
      </c>
      <c r="I292" s="107">
        <f>VLOOKUP(C292,'[1]DM Đề tài SV ký HĐ (thay đổi)'!$B$1:$Q$475,16,0)</f>
        <v>795669169</v>
      </c>
      <c r="J292" s="97" t="str">
        <f>VLOOKUP(C292,'[2]DM Đề tài SV ký HĐ (thay đổi)'!$B$1:$I$475,8,0)</f>
        <v>Đào tạo tiên tiến</v>
      </c>
      <c r="K292" s="84" t="s">
        <v>1340</v>
      </c>
      <c r="L292" s="84" t="s">
        <v>612</v>
      </c>
      <c r="M292" s="97" t="str">
        <f>VLOOKUP(C292,'[2]DM Đề tài SV ký HĐ (thay đổi)'!$B$1:$O$475,13,0)</f>
        <v>hoatrt@hcmute.edu.vn</v>
      </c>
      <c r="N292" s="97" t="str">
        <f>VLOOKUP(C292,'[2]DM Đề tài SV ký HĐ (thay đổi)'!$B$1:$M$475,12,0)</f>
        <v>Khoa Kinh tế</v>
      </c>
      <c r="O292" s="84" t="s">
        <v>655</v>
      </c>
      <c r="P292" s="90">
        <v>5000000</v>
      </c>
      <c r="Q292" s="84" t="s">
        <v>1647</v>
      </c>
      <c r="R292" s="84"/>
      <c r="S292" s="84"/>
      <c r="T292" s="103">
        <v>2</v>
      </c>
      <c r="U292" s="103" t="s">
        <v>1787</v>
      </c>
      <c r="V292" s="83"/>
      <c r="W292" s="84"/>
      <c r="X292" s="84"/>
      <c r="Y292" s="84"/>
      <c r="Z292" s="84"/>
      <c r="AA292" s="84"/>
      <c r="AB292" s="84"/>
      <c r="AC292" s="84"/>
      <c r="AD292" s="84"/>
      <c r="AE292" s="84"/>
      <c r="AF292" s="84"/>
      <c r="AG292" s="114" t="s">
        <v>1813</v>
      </c>
      <c r="AH292" s="84"/>
    </row>
    <row r="293" spans="1:34" s="87" customFormat="1" ht="109.2" customHeight="1" x14ac:dyDescent="0.25">
      <c r="A293" s="83">
        <v>424</v>
      </c>
      <c r="B293" s="109" t="str">
        <f t="shared" si="21"/>
        <v>449</v>
      </c>
      <c r="C293" s="84" t="s">
        <v>1030</v>
      </c>
      <c r="D293" s="84" t="s">
        <v>639</v>
      </c>
      <c r="E293" s="84" t="s">
        <v>1342</v>
      </c>
      <c r="F293" s="97" t="str">
        <f t="shared" si="19"/>
        <v xml:space="preserve">Trần Hoàng Thi </v>
      </c>
      <c r="G293" s="100" t="str">
        <f t="shared" si="20"/>
        <v>23145035</v>
      </c>
      <c r="H293" s="100" t="str">
        <f>VLOOKUP(C293,'[1]DM Đề tài SV ký HĐ (thay đổi)'!$B$1:$Q$475,15,0)</f>
        <v>23145035@student.hcmute.edu.vn</v>
      </c>
      <c r="I293" s="107">
        <f>VLOOKUP(C293,'[1]DM Đề tài SV ký HĐ (thay đổi)'!$B$1:$Q$475,16,0)</f>
        <v>924282803</v>
      </c>
      <c r="J293" s="97" t="str">
        <f>VLOOKUP(C293,'[2]DM Đề tài SV ký HĐ (thay đổi)'!$B$1:$I$475,8,0)</f>
        <v>Đào tạo tiên tiến</v>
      </c>
      <c r="K293" s="84" t="s">
        <v>1506</v>
      </c>
      <c r="L293" s="84" t="s">
        <v>716</v>
      </c>
      <c r="M293" s="97" t="str">
        <f>VLOOKUP(C293,'[2]DM Đề tài SV ký HĐ (thay đổi)'!$B$1:$O$475,13,0)</f>
        <v xml:space="preserve">trainq@hcmute.edu.vn </v>
      </c>
      <c r="N293" s="97" t="str">
        <f>VLOOKUP(C293,'[2]DM Đề tài SV ký HĐ (thay đổi)'!$B$1:$M$475,12,0)</f>
        <v>Khoa Giao thông và Năng lượng</v>
      </c>
      <c r="O293" s="84" t="s">
        <v>1082</v>
      </c>
      <c r="P293" s="90">
        <v>5000000</v>
      </c>
      <c r="Q293" s="84" t="s">
        <v>1647</v>
      </c>
      <c r="R293" s="84"/>
      <c r="S293" s="84"/>
      <c r="T293" s="101">
        <v>2</v>
      </c>
      <c r="U293" s="101" t="s">
        <v>1787</v>
      </c>
      <c r="V293" s="83"/>
      <c r="W293" s="84"/>
      <c r="X293" s="84"/>
      <c r="Y293" s="84"/>
      <c r="Z293" s="84"/>
      <c r="AA293" s="84"/>
      <c r="AB293" s="84"/>
      <c r="AC293" s="84"/>
      <c r="AD293" s="84"/>
      <c r="AE293" s="84"/>
      <c r="AF293" s="84"/>
      <c r="AG293" s="114" t="s">
        <v>1813</v>
      </c>
      <c r="AH293" s="120" t="s">
        <v>1819</v>
      </c>
    </row>
    <row r="294" spans="1:34" s="87" customFormat="1" ht="109.2" customHeight="1" x14ac:dyDescent="0.25">
      <c r="A294" s="83">
        <v>428</v>
      </c>
      <c r="B294" s="83" t="str">
        <f t="shared" si="21"/>
        <v>454</v>
      </c>
      <c r="C294" s="84" t="s">
        <v>1031</v>
      </c>
      <c r="D294" s="84" t="s">
        <v>1738</v>
      </c>
      <c r="E294" s="84" t="s">
        <v>640</v>
      </c>
      <c r="F294" s="97" t="str">
        <f t="shared" si="19"/>
        <v xml:space="preserve">Nguyễn Thành Tài </v>
      </c>
      <c r="G294" s="100" t="str">
        <f t="shared" si="20"/>
        <v>23151029</v>
      </c>
      <c r="H294" s="100" t="str">
        <f>VLOOKUP(C294,'[1]DM Đề tài SV ký HĐ (thay đổi)'!$B$1:$Q$475,15,0)</f>
        <v>23151029@student.hcmute.edu.vn</v>
      </c>
      <c r="I294" s="107">
        <f>VLOOKUP(C294,'[1]DM Đề tài SV ký HĐ (thay đổi)'!$B$1:$Q$475,16,0)</f>
        <v>366563398</v>
      </c>
      <c r="J294" s="97" t="str">
        <f>VLOOKUP(C294,'[2]DM Đề tài SV ký HĐ (thay đổi)'!$B$1:$I$475,8,0)</f>
        <v>Đào tạo tiên tiến</v>
      </c>
      <c r="K294" s="84" t="s">
        <v>1343</v>
      </c>
      <c r="L294" s="84" t="s">
        <v>697</v>
      </c>
      <c r="M294" s="97" t="str">
        <f>VLOOKUP(C294,'[2]DM Đề tài SV ký HĐ (thay đổi)'!$B$1:$O$475,13,0)</f>
        <v>nhontd@hcmute.edu.vn</v>
      </c>
      <c r="N294" s="97" t="str">
        <f>VLOOKUP(C294,'[2]DM Đề tài SV ký HĐ (thay đổi)'!$B$1:$M$475,12,0)</f>
        <v>Khoa đào tạo tiên tiến</v>
      </c>
      <c r="O294" s="84" t="s">
        <v>1083</v>
      </c>
      <c r="P294" s="90">
        <v>10000000</v>
      </c>
      <c r="Q294" s="84" t="s">
        <v>1648</v>
      </c>
      <c r="R294" s="84"/>
      <c r="S294" s="84"/>
      <c r="T294" s="103">
        <v>2</v>
      </c>
      <c r="U294" s="103" t="s">
        <v>1787</v>
      </c>
      <c r="V294" s="83"/>
      <c r="W294" s="84"/>
      <c r="X294" s="84"/>
      <c r="Y294" s="84"/>
      <c r="Z294" s="84"/>
      <c r="AA294" s="84"/>
      <c r="AB294" s="84"/>
      <c r="AC294" s="84"/>
      <c r="AD294" s="84"/>
      <c r="AE294" s="84"/>
      <c r="AF294" s="84"/>
      <c r="AG294" s="113" t="s">
        <v>1814</v>
      </c>
      <c r="AH294" s="96" t="s">
        <v>1821</v>
      </c>
    </row>
    <row r="295" spans="1:34" s="87" customFormat="1" ht="109.2" customHeight="1" x14ac:dyDescent="0.25">
      <c r="A295" s="83">
        <v>429</v>
      </c>
      <c r="B295" s="118" t="str">
        <f t="shared" si="21"/>
        <v>455</v>
      </c>
      <c r="C295" s="84" t="s">
        <v>1032</v>
      </c>
      <c r="D295" s="84" t="s">
        <v>1742</v>
      </c>
      <c r="E295" s="84" t="s">
        <v>1345</v>
      </c>
      <c r="F295" s="97" t="str">
        <f t="shared" si="19"/>
        <v xml:space="preserve">Thái Ngọc Tâm Như </v>
      </c>
      <c r="G295" s="100" t="str">
        <f t="shared" si="20"/>
        <v>24110117</v>
      </c>
      <c r="H295" s="100" t="str">
        <f>VLOOKUP(C295,'[1]DM Đề tài SV ký HĐ (thay đổi)'!$B$1:$Q$475,15,0)</f>
        <v>24110117@student.hcmute.edu.vn</v>
      </c>
      <c r="I295" s="107">
        <f>VLOOKUP(C295,'[1]DM Đề tài SV ký HĐ (thay đổi)'!$B$1:$Q$475,16,0)</f>
        <v>564431260</v>
      </c>
      <c r="J295" s="97" t="str">
        <f>VLOOKUP(C295,'[2]DM Đề tài SV ký HĐ (thay đổi)'!$B$1:$I$475,8,0)</f>
        <v>Đào tạo tiên tiến</v>
      </c>
      <c r="K295" s="84" t="s">
        <v>1344</v>
      </c>
      <c r="L295" s="84" t="s">
        <v>122</v>
      </c>
      <c r="M295" s="97" t="str">
        <f>VLOOKUP(C295,'[2]DM Đề tài SV ký HĐ (thay đổi)'!$B$1:$O$475,13,0)</f>
        <v>dunghv@hcmute.edu.vn</v>
      </c>
      <c r="N295" s="97" t="str">
        <f>VLOOKUP(C295,'[2]DM Đề tài SV ký HĐ (thay đổi)'!$B$1:$M$475,12,0)</f>
        <v>Khoa CNTT</v>
      </c>
      <c r="O295" s="84" t="s">
        <v>1735</v>
      </c>
      <c r="P295" s="90">
        <v>10000000</v>
      </c>
      <c r="Q295" s="84" t="s">
        <v>1648</v>
      </c>
      <c r="R295" s="84"/>
      <c r="S295" s="84"/>
      <c r="T295" s="101">
        <v>2</v>
      </c>
      <c r="U295" s="101" t="s">
        <v>1787</v>
      </c>
      <c r="V295" s="83"/>
      <c r="W295" s="84"/>
      <c r="X295" s="84"/>
      <c r="Y295" s="84"/>
      <c r="Z295" s="84"/>
      <c r="AA295" s="84"/>
      <c r="AB295" s="84"/>
      <c r="AC295" s="84"/>
      <c r="AD295" s="84"/>
      <c r="AE295" s="84"/>
      <c r="AF295" s="84"/>
      <c r="AG295" s="114" t="s">
        <v>1813</v>
      </c>
      <c r="AH295" s="84"/>
    </row>
    <row r="296" spans="1:34" s="87" customFormat="1" ht="109.2" customHeight="1" x14ac:dyDescent="0.25">
      <c r="A296" s="83">
        <v>432</v>
      </c>
      <c r="B296" s="118" t="str">
        <f t="shared" si="21"/>
        <v>458</v>
      </c>
      <c r="C296" s="84" t="s">
        <v>1033</v>
      </c>
      <c r="D296" s="84" t="s">
        <v>641</v>
      </c>
      <c r="E296" s="84" t="s">
        <v>642</v>
      </c>
      <c r="F296" s="97" t="str">
        <f t="shared" si="19"/>
        <v xml:space="preserve">Lê Vũ Khang </v>
      </c>
      <c r="G296" s="100" t="str">
        <f t="shared" si="20"/>
        <v>23110029</v>
      </c>
      <c r="H296" s="100" t="str">
        <f>VLOOKUP(C296,'[1]DM Đề tài SV ký HĐ (thay đổi)'!$B$1:$Q$475,15,0)</f>
        <v>23110029@student.hcmute.edu.vn</v>
      </c>
      <c r="I296" s="107">
        <f>VLOOKUP(C296,'[1]DM Đề tài SV ký HĐ (thay đổi)'!$B$1:$Q$475,16,0)</f>
        <v>869601942</v>
      </c>
      <c r="J296" s="97" t="str">
        <f>VLOOKUP(C296,'[2]DM Đề tài SV ký HĐ (thay đổi)'!$B$1:$I$475,8,0)</f>
        <v>Đào tạo tiên tiến</v>
      </c>
      <c r="K296" s="84" t="s">
        <v>1346</v>
      </c>
      <c r="L296" s="84" t="s">
        <v>713</v>
      </c>
      <c r="M296" s="97" t="str">
        <f>VLOOKUP(C296,'[2]DM Đề tài SV ký HĐ (thay đổi)'!$B$1:$O$475,13,0)</f>
        <v>quangnd@hcmute.edu.vn</v>
      </c>
      <c r="N296" s="97" t="str">
        <f>VLOOKUP(C296,'[2]DM Đề tài SV ký HĐ (thay đổi)'!$B$1:$M$475,12,0)</f>
        <v>Khoa đào tạo tiên tiến</v>
      </c>
      <c r="O296" s="84" t="s">
        <v>1734</v>
      </c>
      <c r="P296" s="90">
        <v>10000000</v>
      </c>
      <c r="Q296" s="84" t="s">
        <v>1648</v>
      </c>
      <c r="R296" s="84"/>
      <c r="S296" s="84"/>
      <c r="T296" s="101">
        <v>2</v>
      </c>
      <c r="U296" s="101" t="s">
        <v>1787</v>
      </c>
      <c r="V296" s="83"/>
      <c r="W296" s="84"/>
      <c r="X296" s="84"/>
      <c r="Y296" s="84"/>
      <c r="Z296" s="84"/>
      <c r="AA296" s="84"/>
      <c r="AB296" s="84"/>
      <c r="AC296" s="84"/>
      <c r="AD296" s="84"/>
      <c r="AE296" s="84"/>
      <c r="AF296" s="84"/>
      <c r="AG296" s="114" t="s">
        <v>1813</v>
      </c>
      <c r="AH296" s="84"/>
    </row>
    <row r="297" spans="1:34" s="87" customFormat="1" ht="109.2" customHeight="1" x14ac:dyDescent="0.25">
      <c r="A297" s="83">
        <v>433</v>
      </c>
      <c r="B297" s="83" t="str">
        <f t="shared" si="21"/>
        <v>460</v>
      </c>
      <c r="C297" s="84" t="s">
        <v>1034</v>
      </c>
      <c r="D297" s="84" t="s">
        <v>643</v>
      </c>
      <c r="E297" s="84" t="s">
        <v>1640</v>
      </c>
      <c r="F297" s="97" t="str">
        <f t="shared" si="19"/>
        <v xml:space="preserve">Nguyễn Tuấn Anh </v>
      </c>
      <c r="G297" s="100" t="str">
        <f t="shared" si="20"/>
        <v>23119002</v>
      </c>
      <c r="H297" s="100" t="str">
        <f>VLOOKUP(C297,'[1]DM Đề tài SV ký HĐ (thay đổi)'!$B$1:$Q$475,15,0)</f>
        <v>23119002@student.hcmute.edu.vn</v>
      </c>
      <c r="I297" s="107">
        <f>VLOOKUP(C297,'[1]DM Đề tài SV ký HĐ (thay đổi)'!$B$1:$Q$475,16,0)</f>
        <v>862955914</v>
      </c>
      <c r="J297" s="97" t="str">
        <f>VLOOKUP(C297,'[2]DM Đề tài SV ký HĐ (thay đổi)'!$B$1:$I$475,8,0)</f>
        <v>Đào tạo tiên tiến</v>
      </c>
      <c r="K297" s="84" t="s">
        <v>1505</v>
      </c>
      <c r="L297" s="84" t="s">
        <v>734</v>
      </c>
      <c r="M297" s="97" t="str">
        <f>VLOOKUP(C297,'[2]DM Đề tài SV ký HĐ (thay đổi)'!$B$1:$O$475,13,0)</f>
        <v>cuongvc@hcmute.edu.vn</v>
      </c>
      <c r="N297" s="97" t="str">
        <f>VLOOKUP(C297,'[2]DM Đề tài SV ký HĐ (thay đổi)'!$B$1:$M$475,12,0)</f>
        <v>Khoa Điện - Điện tử</v>
      </c>
      <c r="O297" s="84" t="s">
        <v>1084</v>
      </c>
      <c r="P297" s="90">
        <v>10000000</v>
      </c>
      <c r="Q297" s="84" t="s">
        <v>1648</v>
      </c>
      <c r="R297" s="84"/>
      <c r="S297" s="84"/>
      <c r="T297" s="101">
        <v>2</v>
      </c>
      <c r="U297" s="103" t="s">
        <v>1827</v>
      </c>
      <c r="V297" s="83"/>
      <c r="W297" s="84"/>
      <c r="X297" s="84"/>
      <c r="Y297" s="84"/>
      <c r="Z297" s="84"/>
      <c r="AA297" s="84"/>
      <c r="AB297" s="84"/>
      <c r="AC297" s="84"/>
      <c r="AD297" s="84"/>
      <c r="AE297" s="84"/>
      <c r="AF297" s="84"/>
      <c r="AG297" s="85"/>
      <c r="AH297" s="96" t="s">
        <v>1818</v>
      </c>
    </row>
    <row r="298" spans="1:34" s="87" customFormat="1" ht="109.2" customHeight="1" x14ac:dyDescent="0.25">
      <c r="A298" s="83">
        <v>434</v>
      </c>
      <c r="B298" s="118" t="str">
        <f t="shared" si="21"/>
        <v>461</v>
      </c>
      <c r="C298" s="84" t="s">
        <v>1035</v>
      </c>
      <c r="D298" s="84" t="s">
        <v>644</v>
      </c>
      <c r="E298" s="84" t="s">
        <v>1347</v>
      </c>
      <c r="F298" s="97" t="str">
        <f t="shared" si="19"/>
        <v xml:space="preserve">Bùi Lễ Quang Vinh </v>
      </c>
      <c r="G298" s="100" t="str">
        <f t="shared" si="20"/>
        <v>23151042</v>
      </c>
      <c r="H298" s="100" t="str">
        <f>VLOOKUP(C298,'[1]DM Đề tài SV ký HĐ (thay đổi)'!$B$1:$Q$475,15,0)</f>
        <v>23151042@student.hcmute.edu.vn</v>
      </c>
      <c r="I298" s="107">
        <f>VLOOKUP(C298,'[1]DM Đề tài SV ký HĐ (thay đổi)'!$B$1:$Q$475,16,0)</f>
        <v>784981720</v>
      </c>
      <c r="J298" s="97" t="str">
        <f>VLOOKUP(C298,'[2]DM Đề tài SV ký HĐ (thay đổi)'!$B$1:$I$475,8,0)</f>
        <v>Đào tạo tiên tiến</v>
      </c>
      <c r="K298" s="84" t="s">
        <v>1348</v>
      </c>
      <c r="L298" s="84" t="s">
        <v>698</v>
      </c>
      <c r="M298" s="97" t="str">
        <f>VLOOKUP(C298,'[2]DM Đề tài SV ký HĐ (thay đổi)'!$B$1:$O$475,13,0)</f>
        <v>phuongtv@hcmute.edu.vn</v>
      </c>
      <c r="N298" s="97" t="str">
        <f>VLOOKUP(C298,'[2]DM Đề tài SV ký HĐ (thay đổi)'!$B$1:$M$475,12,0)</f>
        <v>Khoa đào tạo tiên tiến</v>
      </c>
      <c r="O298" s="84" t="s">
        <v>1574</v>
      </c>
      <c r="P298" s="90">
        <v>5000000</v>
      </c>
      <c r="Q298" s="84" t="s">
        <v>1647</v>
      </c>
      <c r="R298" s="84"/>
      <c r="S298" s="84"/>
      <c r="T298" s="103">
        <v>2</v>
      </c>
      <c r="U298" s="103" t="s">
        <v>1787</v>
      </c>
      <c r="V298" s="83"/>
      <c r="W298" s="84"/>
      <c r="X298" s="84"/>
      <c r="Y298" s="84"/>
      <c r="Z298" s="84"/>
      <c r="AA298" s="84"/>
      <c r="AB298" s="84"/>
      <c r="AC298" s="84"/>
      <c r="AD298" s="84"/>
      <c r="AE298" s="84"/>
      <c r="AF298" s="84"/>
      <c r="AG298" s="114" t="s">
        <v>1813</v>
      </c>
      <c r="AH298" s="84"/>
    </row>
    <row r="299" spans="1:34" s="87" customFormat="1" ht="109.2" customHeight="1" x14ac:dyDescent="0.25">
      <c r="A299" s="83">
        <v>435</v>
      </c>
      <c r="B299" s="118" t="str">
        <f t="shared" si="21"/>
        <v>462</v>
      </c>
      <c r="C299" s="84" t="s">
        <v>1036</v>
      </c>
      <c r="D299" s="84" t="s">
        <v>645</v>
      </c>
      <c r="E299" s="84" t="s">
        <v>646</v>
      </c>
      <c r="F299" s="97" t="str">
        <f t="shared" si="19"/>
        <v xml:space="preserve">Hoàng Ngọc An </v>
      </c>
      <c r="G299" s="100" t="str">
        <f t="shared" si="20"/>
        <v>22151003</v>
      </c>
      <c r="H299" s="100" t="str">
        <f>VLOOKUP(C299,'[1]DM Đề tài SV ký HĐ (thay đổi)'!$B$1:$Q$475,15,0)</f>
        <v>22151003@student.hcmute.edu.vn</v>
      </c>
      <c r="I299" s="107">
        <f>VLOOKUP(C299,'[1]DM Đề tài SV ký HĐ (thay đổi)'!$B$1:$Q$475,16,0)</f>
        <v>965777836</v>
      </c>
      <c r="J299" s="97" t="str">
        <f>VLOOKUP(C299,'[2]DM Đề tài SV ký HĐ (thay đổi)'!$B$1:$I$475,8,0)</f>
        <v>Đào tạo tiên tiến</v>
      </c>
      <c r="K299" s="84" t="s">
        <v>1349</v>
      </c>
      <c r="L299" s="84" t="s">
        <v>363</v>
      </c>
      <c r="M299" s="97" t="str">
        <f>VLOOKUP(C299,'[2]DM Đề tài SV ký HĐ (thay đổi)'!$B$1:$O$475,13,0)</f>
        <v>thientd@hcmute.edu.vn</v>
      </c>
      <c r="N299" s="97" t="str">
        <f>VLOOKUP(C299,'[2]DM Đề tài SV ký HĐ (thay đổi)'!$B$1:$M$475,12,0)</f>
        <v>Khoa Điện - Điện tử</v>
      </c>
      <c r="O299" s="84" t="s">
        <v>1085</v>
      </c>
      <c r="P299" s="90">
        <v>10000000</v>
      </c>
      <c r="Q299" s="84" t="s">
        <v>1648</v>
      </c>
      <c r="R299" s="84"/>
      <c r="S299" s="84"/>
      <c r="T299" s="101">
        <v>2</v>
      </c>
      <c r="U299" s="101" t="s">
        <v>1787</v>
      </c>
      <c r="V299" s="83"/>
      <c r="W299" s="84"/>
      <c r="X299" s="84"/>
      <c r="Y299" s="84"/>
      <c r="Z299" s="84"/>
      <c r="AA299" s="84"/>
      <c r="AB299" s="84"/>
      <c r="AC299" s="84"/>
      <c r="AD299" s="84"/>
      <c r="AE299" s="84"/>
      <c r="AF299" s="84"/>
      <c r="AG299" s="114" t="s">
        <v>1813</v>
      </c>
      <c r="AH299" s="119" t="s">
        <v>1817</v>
      </c>
    </row>
    <row r="300" spans="1:34" s="87" customFormat="1" ht="109.2" customHeight="1" x14ac:dyDescent="0.25">
      <c r="A300" s="83">
        <v>436</v>
      </c>
      <c r="B300" s="118" t="str">
        <f t="shared" si="21"/>
        <v>463</v>
      </c>
      <c r="C300" s="84" t="s">
        <v>1037</v>
      </c>
      <c r="D300" s="84" t="s">
        <v>647</v>
      </c>
      <c r="E300" s="84" t="s">
        <v>648</v>
      </c>
      <c r="F300" s="97" t="str">
        <f t="shared" si="19"/>
        <v xml:space="preserve">Đỗ Đình Phong </v>
      </c>
      <c r="G300" s="100" t="str">
        <f t="shared" si="20"/>
        <v>23149029</v>
      </c>
      <c r="H300" s="100" t="str">
        <f>VLOOKUP(C300,'[1]DM Đề tài SV ký HĐ (thay đổi)'!$B$1:$Q$475,15,0)</f>
        <v>23149029@student.hcmute.edu.vn</v>
      </c>
      <c r="I300" s="107">
        <f>VLOOKUP(C300,'[1]DM Đề tài SV ký HĐ (thay đổi)'!$B$1:$Q$475,16,0)</f>
        <v>329200560</v>
      </c>
      <c r="J300" s="97" t="str">
        <f>VLOOKUP(C300,'[2]DM Đề tài SV ký HĐ (thay đổi)'!$B$1:$I$475,8,0)</f>
        <v>Đào tạo tiên tiến</v>
      </c>
      <c r="K300" s="84" t="s">
        <v>1494</v>
      </c>
      <c r="L300" s="84" t="s">
        <v>681</v>
      </c>
      <c r="M300" s="97" t="str">
        <f>VLOOKUP(C300,'[2]DM Đề tài SV ký HĐ (thay đổi)'!$B$1:$O$475,13,0)</f>
        <v>taitt@hcmute.edu.vn</v>
      </c>
      <c r="N300" s="97" t="str">
        <f>VLOOKUP(C300,'[2]DM Đề tài SV ký HĐ (thay đổi)'!$B$1:$M$475,12,0)</f>
        <v>Khoa Xây dựng</v>
      </c>
      <c r="O300" s="84" t="s">
        <v>373</v>
      </c>
      <c r="P300" s="90">
        <v>5000000</v>
      </c>
      <c r="Q300" s="84" t="s">
        <v>1647</v>
      </c>
      <c r="R300" s="84"/>
      <c r="S300" s="84"/>
      <c r="T300" s="101">
        <v>2</v>
      </c>
      <c r="U300" s="103" t="s">
        <v>1787</v>
      </c>
      <c r="V300" s="83"/>
      <c r="W300" s="84"/>
      <c r="X300" s="84"/>
      <c r="Y300" s="84"/>
      <c r="Z300" s="84"/>
      <c r="AA300" s="84"/>
      <c r="AB300" s="84"/>
      <c r="AC300" s="84"/>
      <c r="AD300" s="84"/>
      <c r="AE300" s="84"/>
      <c r="AF300" s="84"/>
      <c r="AG300" s="114" t="s">
        <v>1813</v>
      </c>
      <c r="AH300" s="84"/>
    </row>
    <row r="301" spans="1:34" s="87" customFormat="1" ht="109.2" customHeight="1" x14ac:dyDescent="0.25">
      <c r="A301" s="83">
        <v>437</v>
      </c>
      <c r="B301" s="118" t="str">
        <f t="shared" si="21"/>
        <v>464</v>
      </c>
      <c r="C301" s="84" t="s">
        <v>1038</v>
      </c>
      <c r="D301" s="84" t="s">
        <v>649</v>
      </c>
      <c r="E301" s="84" t="s">
        <v>650</v>
      </c>
      <c r="F301" s="97" t="str">
        <f t="shared" si="19"/>
        <v xml:space="preserve">Trần Gia Lâm </v>
      </c>
      <c r="G301" s="100" t="str">
        <f t="shared" si="20"/>
        <v>23144021</v>
      </c>
      <c r="H301" s="100" t="str">
        <f>VLOOKUP(C301,'[1]DM Đề tài SV ký HĐ (thay đổi)'!$B$1:$Q$475,15,0)</f>
        <v>23144021@student.hcmute.edu.vn</v>
      </c>
      <c r="I301" s="107">
        <f>VLOOKUP(C301,'[1]DM Đề tài SV ký HĐ (thay đổi)'!$B$1:$Q$475,16,0)</f>
        <v>353577807</v>
      </c>
      <c r="J301" s="97" t="str">
        <f>VLOOKUP(C301,'[2]DM Đề tài SV ký HĐ (thay đổi)'!$B$1:$I$475,8,0)</f>
        <v>Đào tạo tiên tiến</v>
      </c>
      <c r="K301" s="84" t="s">
        <v>1350</v>
      </c>
      <c r="L301" s="84" t="s">
        <v>307</v>
      </c>
      <c r="M301" s="97" t="str">
        <f>VLOOKUP(C301,'[2]DM Đề tài SV ký HĐ (thay đổi)'!$B$1:$O$475,13,0)</f>
        <v>tannt@hcmute.edu.vn</v>
      </c>
      <c r="N301" s="97" t="str">
        <f>VLOOKUP(C301,'[2]DM Đề tài SV ký HĐ (thay đổi)'!$B$1:$M$475,12,0)</f>
        <v>Khoa CKM</v>
      </c>
      <c r="O301" s="84" t="s">
        <v>684</v>
      </c>
      <c r="P301" s="90">
        <v>5000000</v>
      </c>
      <c r="Q301" s="84" t="s">
        <v>1647</v>
      </c>
      <c r="R301" s="84"/>
      <c r="S301" s="84"/>
      <c r="T301" s="101">
        <v>2</v>
      </c>
      <c r="U301" s="101" t="s">
        <v>1787</v>
      </c>
      <c r="V301" s="83"/>
      <c r="W301" s="84"/>
      <c r="X301" s="84"/>
      <c r="Y301" s="84"/>
      <c r="Z301" s="84"/>
      <c r="AA301" s="84"/>
      <c r="AB301" s="84"/>
      <c r="AC301" s="84"/>
      <c r="AD301" s="84"/>
      <c r="AE301" s="84"/>
      <c r="AF301" s="84"/>
      <c r="AG301" s="114" t="s">
        <v>1813</v>
      </c>
      <c r="AH301" s="84"/>
    </row>
    <row r="302" spans="1:34" s="87" customFormat="1" ht="109.2" customHeight="1" x14ac:dyDescent="0.25">
      <c r="A302" s="83">
        <v>438</v>
      </c>
      <c r="B302" s="118" t="str">
        <f t="shared" si="21"/>
        <v>465</v>
      </c>
      <c r="C302" s="84" t="s">
        <v>1039</v>
      </c>
      <c r="D302" s="84" t="s">
        <v>651</v>
      </c>
      <c r="E302" s="84" t="s">
        <v>652</v>
      </c>
      <c r="F302" s="97" t="str">
        <f t="shared" si="19"/>
        <v xml:space="preserve">Ngô Thanh Tuấn </v>
      </c>
      <c r="G302" s="100" t="str">
        <f t="shared" si="20"/>
        <v>24143158</v>
      </c>
      <c r="H302" s="100" t="str">
        <f>VLOOKUP(C302,'[1]DM Đề tài SV ký HĐ (thay đổi)'!$B$1:$Q$475,15,0)</f>
        <v xml:space="preserve">24143158@student.hcmute.edu.vn </v>
      </c>
      <c r="I302" s="107">
        <f>VLOOKUP(C302,'[1]DM Đề tài SV ký HĐ (thay đổi)'!$B$1:$Q$475,16,0)</f>
        <v>937802867</v>
      </c>
      <c r="J302" s="97" t="str">
        <f>VLOOKUP(C302,'[2]DM Đề tài SV ký HĐ (thay đổi)'!$B$1:$I$475,8,0)</f>
        <v>Đào tạo tiên tiến</v>
      </c>
      <c r="K302" s="84" t="s">
        <v>1299</v>
      </c>
      <c r="L302" s="84" t="s">
        <v>223</v>
      </c>
      <c r="M302" s="97" t="str">
        <f>VLOOKUP(C302,'[2]DM Đề tài SV ký HĐ (thay đổi)'!$B$1:$O$475,13,0)</f>
        <v>thientn@hcmute.edu.vn</v>
      </c>
      <c r="N302" s="97" t="str">
        <f>VLOOKUP(C302,'[2]DM Đề tài SV ký HĐ (thay đổi)'!$B$1:$M$475,12,0)</f>
        <v>Khoa CKM</v>
      </c>
      <c r="O302" s="84" t="s">
        <v>1296</v>
      </c>
      <c r="P302" s="90">
        <v>5000000</v>
      </c>
      <c r="Q302" s="84" t="s">
        <v>1647</v>
      </c>
      <c r="R302" s="84"/>
      <c r="S302" s="84"/>
      <c r="T302" s="101">
        <v>2</v>
      </c>
      <c r="U302" s="101" t="s">
        <v>1787</v>
      </c>
      <c r="V302" s="83"/>
      <c r="W302" s="84"/>
      <c r="X302" s="84"/>
      <c r="Y302" s="84"/>
      <c r="Z302" s="84"/>
      <c r="AA302" s="84"/>
      <c r="AB302" s="84"/>
      <c r="AC302" s="84"/>
      <c r="AD302" s="84"/>
      <c r="AE302" s="84"/>
      <c r="AF302" s="84"/>
      <c r="AG302" s="114" t="s">
        <v>1813</v>
      </c>
      <c r="AH302" s="84"/>
    </row>
    <row r="303" spans="1:34" s="87" customFormat="1" ht="109.2" customHeight="1" x14ac:dyDescent="0.25">
      <c r="A303" s="83">
        <v>439</v>
      </c>
      <c r="B303" s="118" t="str">
        <f t="shared" si="21"/>
        <v>466</v>
      </c>
      <c r="C303" s="84" t="s">
        <v>1040</v>
      </c>
      <c r="D303" s="84" t="s">
        <v>653</v>
      </c>
      <c r="E303" s="84" t="s">
        <v>1641</v>
      </c>
      <c r="F303" s="97" t="str">
        <f t="shared" si="19"/>
        <v xml:space="preserve">Lê Minh Nhật </v>
      </c>
      <c r="G303" s="100" t="str">
        <f t="shared" si="20"/>
        <v>22116019</v>
      </c>
      <c r="H303" s="100" t="str">
        <f>VLOOKUP(C303,'[1]DM Đề tài SV ký HĐ (thay đổi)'!$B$1:$Q$475,15,0)</f>
        <v>22116019@student.hcmute.edu.vn</v>
      </c>
      <c r="I303" s="107">
        <f>VLOOKUP(C303,'[1]DM Đề tài SV ký HĐ (thay đổi)'!$B$1:$Q$475,16,0)</f>
        <v>906760501</v>
      </c>
      <c r="J303" s="97" t="str">
        <f>VLOOKUP(C303,'[2]DM Đề tài SV ký HĐ (thay đổi)'!$B$1:$I$475,8,0)</f>
        <v>Đào tạo tiên tiến</v>
      </c>
      <c r="K303" s="84" t="s">
        <v>1495</v>
      </c>
      <c r="L303" s="84" t="s">
        <v>715</v>
      </c>
      <c r="M303" s="97" t="str">
        <f>VLOOKUP(C303,'[2]DM Đề tài SV ký HĐ (thay đổi)'!$B$1:$O$475,13,0)</f>
        <v>hainm@hcmute.edu.vn</v>
      </c>
      <c r="N303" s="97" t="str">
        <f>VLOOKUP(C303,'[2]DM Đề tài SV ký HĐ (thay đổi)'!$B$1:$M$475,12,0)</f>
        <v>Khoa CNHH&amp;TP</v>
      </c>
      <c r="O303" s="84" t="s">
        <v>685</v>
      </c>
      <c r="P303" s="90">
        <v>5000000</v>
      </c>
      <c r="Q303" s="84" t="s">
        <v>1647</v>
      </c>
      <c r="R303" s="84"/>
      <c r="S303" s="84"/>
      <c r="T303" s="101">
        <v>2</v>
      </c>
      <c r="U303" s="101" t="s">
        <v>1787</v>
      </c>
      <c r="V303" s="83"/>
      <c r="W303" s="84"/>
      <c r="X303" s="84"/>
      <c r="Y303" s="84"/>
      <c r="Z303" s="84"/>
      <c r="AA303" s="84"/>
      <c r="AB303" s="84"/>
      <c r="AC303" s="84"/>
      <c r="AD303" s="84"/>
      <c r="AE303" s="84"/>
      <c r="AF303" s="84"/>
      <c r="AG303" s="113" t="s">
        <v>1814</v>
      </c>
      <c r="AH303" s="84"/>
    </row>
    <row r="304" spans="1:34" s="87" customFormat="1" ht="109.2" customHeight="1" x14ac:dyDescent="0.25">
      <c r="A304" s="83">
        <v>440</v>
      </c>
      <c r="B304" s="118" t="str">
        <f t="shared" si="21"/>
        <v>467</v>
      </c>
      <c r="C304" s="84" t="s">
        <v>1041</v>
      </c>
      <c r="D304" s="84" t="s">
        <v>654</v>
      </c>
      <c r="E304" s="84" t="s">
        <v>1338</v>
      </c>
      <c r="F304" s="97" t="str">
        <f t="shared" si="19"/>
        <v xml:space="preserve">Trần Đình Huy </v>
      </c>
      <c r="G304" s="100" t="str">
        <f t="shared" si="20"/>
        <v>23144015</v>
      </c>
      <c r="H304" s="100" t="str">
        <f>VLOOKUP(C304,'[1]DM Đề tài SV ký HĐ (thay đổi)'!$B$1:$Q$475,15,0)</f>
        <v>23144015@student.hcmute.edu.vn</v>
      </c>
      <c r="I304" s="107">
        <f>VLOOKUP(C304,'[1]DM Đề tài SV ký HĐ (thay đổi)'!$B$1:$Q$475,16,0)</f>
        <v>784326069</v>
      </c>
      <c r="J304" s="97" t="str">
        <f>VLOOKUP(C304,'[2]DM Đề tài SV ký HĐ (thay đổi)'!$B$1:$I$475,8,0)</f>
        <v>Đào tạo tiên tiến</v>
      </c>
      <c r="K304" s="84" t="s">
        <v>1351</v>
      </c>
      <c r="L304" s="84" t="s">
        <v>307</v>
      </c>
      <c r="M304" s="97" t="str">
        <f>VLOOKUP(C304,'[2]DM Đề tài SV ký HĐ (thay đổi)'!$B$1:$O$475,13,0)</f>
        <v>tannt@hcmute.edu.vn</v>
      </c>
      <c r="N304" s="97" t="str">
        <f>VLOOKUP(C304,'[2]DM Đề tài SV ký HĐ (thay đổi)'!$B$1:$M$475,12,0)</f>
        <v>Khoa CKM</v>
      </c>
      <c r="O304" s="84" t="s">
        <v>373</v>
      </c>
      <c r="P304" s="90">
        <v>5000000</v>
      </c>
      <c r="Q304" s="84" t="s">
        <v>1647</v>
      </c>
      <c r="R304" s="84"/>
      <c r="S304" s="84"/>
      <c r="T304" s="101">
        <v>2</v>
      </c>
      <c r="U304" s="103" t="s">
        <v>1787</v>
      </c>
      <c r="V304" s="83"/>
      <c r="W304" s="84"/>
      <c r="X304" s="84"/>
      <c r="Y304" s="84"/>
      <c r="Z304" s="84"/>
      <c r="AA304" s="84"/>
      <c r="AB304" s="84"/>
      <c r="AC304" s="84"/>
      <c r="AD304" s="84"/>
      <c r="AE304" s="84"/>
      <c r="AF304" s="84"/>
      <c r="AG304" s="113" t="s">
        <v>1814</v>
      </c>
      <c r="AH304" s="84"/>
    </row>
    <row r="305" spans="1:34" s="87" customFormat="1" ht="109.2" customHeight="1" x14ac:dyDescent="0.25">
      <c r="A305" s="83">
        <v>441</v>
      </c>
      <c r="B305" s="118" t="str">
        <f t="shared" si="21"/>
        <v>468</v>
      </c>
      <c r="C305" s="84" t="s">
        <v>1042</v>
      </c>
      <c r="D305" s="84" t="s">
        <v>1604</v>
      </c>
      <c r="E305" s="84" t="s">
        <v>1337</v>
      </c>
      <c r="F305" s="97" t="str">
        <f t="shared" si="19"/>
        <v xml:space="preserve">Trần Gia Kiệt </v>
      </c>
      <c r="G305" s="100" t="str">
        <f t="shared" si="20"/>
        <v>24110103</v>
      </c>
      <c r="H305" s="100" t="str">
        <f>VLOOKUP(C305,'[1]DM Đề tài SV ký HĐ (thay đổi)'!$B$1:$Q$475,15,0)</f>
        <v>24110103@student.hcmute.edu.vn</v>
      </c>
      <c r="I305" s="107" t="str">
        <f>VLOOKUP(C305,'[1]DM Đề tài SV ký HĐ (thay đổi)'!$B$1:$Q$475,16,0)</f>
        <v>0839398247</v>
      </c>
      <c r="J305" s="97" t="str">
        <f>VLOOKUP(C305,'[2]DM Đề tài SV ký HĐ (thay đổi)'!$B$1:$I$475,8,0)</f>
        <v>Đào tạo tiên tiến</v>
      </c>
      <c r="K305" s="84"/>
      <c r="L305" s="84" t="s">
        <v>146</v>
      </c>
      <c r="M305" s="97" t="str">
        <f>VLOOKUP(C305,'[2]DM Đề tài SV ký HĐ (thay đổi)'!$B$1:$O$475,13,0)</f>
        <v>khaitq@hcmute.edu.vn</v>
      </c>
      <c r="N305" s="97" t="str">
        <f>VLOOKUP(C305,'[2]DM Đề tài SV ký HĐ (thay đổi)'!$B$1:$M$475,12,0)</f>
        <v>Khoa CNTT</v>
      </c>
      <c r="O305" s="84" t="s">
        <v>1086</v>
      </c>
      <c r="P305" s="90">
        <v>5000000</v>
      </c>
      <c r="Q305" s="84" t="s">
        <v>1647</v>
      </c>
      <c r="R305" s="84"/>
      <c r="S305" s="84"/>
      <c r="T305" s="101">
        <v>2</v>
      </c>
      <c r="U305" s="101" t="s">
        <v>1787</v>
      </c>
      <c r="V305" s="83"/>
      <c r="W305" s="84"/>
      <c r="X305" s="84"/>
      <c r="Y305" s="84"/>
      <c r="Z305" s="84"/>
      <c r="AA305" s="84"/>
      <c r="AB305" s="84"/>
      <c r="AC305" s="84"/>
      <c r="AD305" s="84"/>
      <c r="AE305" s="84"/>
      <c r="AF305" s="84"/>
      <c r="AG305" s="114" t="s">
        <v>1813</v>
      </c>
      <c r="AH305" s="84"/>
    </row>
    <row r="306" spans="1:34" s="87" customFormat="1" ht="109.2" customHeight="1" x14ac:dyDescent="0.25">
      <c r="A306" s="83">
        <v>442</v>
      </c>
      <c r="B306" s="118" t="str">
        <f t="shared" si="21"/>
        <v>469</v>
      </c>
      <c r="C306" s="84" t="s">
        <v>1043</v>
      </c>
      <c r="D306" s="84" t="s">
        <v>657</v>
      </c>
      <c r="E306" s="84" t="s">
        <v>658</v>
      </c>
      <c r="F306" s="97" t="str">
        <f t="shared" si="19"/>
        <v xml:space="preserve">Lê Nhật Tân </v>
      </c>
      <c r="G306" s="100" t="str">
        <f t="shared" si="20"/>
        <v>23119034</v>
      </c>
      <c r="H306" s="100" t="str">
        <f>VLOOKUP(C306,'[1]DM Đề tài SV ký HĐ (thay đổi)'!$B$1:$Q$475,15,0)</f>
        <v>23119034@student.hcmute.edu.vn</v>
      </c>
      <c r="I306" s="107">
        <f>VLOOKUP(C306,'[1]DM Đề tài SV ký HĐ (thay đổi)'!$B$1:$Q$475,16,0)</f>
        <v>908775021</v>
      </c>
      <c r="J306" s="97" t="str">
        <f>VLOOKUP(C306,'[2]DM Đề tài SV ký HĐ (thay đổi)'!$B$1:$I$475,8,0)</f>
        <v>Đào tạo tiên tiến</v>
      </c>
      <c r="K306" s="84" t="s">
        <v>682</v>
      </c>
      <c r="L306" s="84" t="s">
        <v>425</v>
      </c>
      <c r="M306" s="97" t="str">
        <f>VLOOKUP(C306,'[2]DM Đề tài SV ký HĐ (thay đổi)'!$B$1:$O$475,13,0)</f>
        <v>huanvm@hcmute.edu.vn</v>
      </c>
      <c r="N306" s="97" t="str">
        <f>VLOOKUP(C306,'[2]DM Đề tài SV ký HĐ (thay đổi)'!$B$1:$M$475,12,0)</f>
        <v>Khoa Điện - Điện tử</v>
      </c>
      <c r="O306" s="84" t="s">
        <v>1087</v>
      </c>
      <c r="P306" s="90">
        <v>15000000</v>
      </c>
      <c r="Q306" s="85" t="s">
        <v>1649</v>
      </c>
      <c r="R306" s="85"/>
      <c r="S306" s="85"/>
      <c r="T306" s="103">
        <v>2</v>
      </c>
      <c r="U306" s="103" t="s">
        <v>1787</v>
      </c>
      <c r="V306" s="83"/>
      <c r="W306" s="84"/>
      <c r="X306" s="84"/>
      <c r="Y306" s="84"/>
      <c r="Z306" s="84"/>
      <c r="AA306" s="84"/>
      <c r="AB306" s="84"/>
      <c r="AC306" s="84"/>
      <c r="AD306" s="84"/>
      <c r="AE306" s="84"/>
      <c r="AF306" s="84"/>
      <c r="AG306" s="114" t="s">
        <v>1813</v>
      </c>
      <c r="AH306" s="84"/>
    </row>
    <row r="307" spans="1:34" s="87" customFormat="1" ht="109.2" customHeight="1" x14ac:dyDescent="0.25">
      <c r="A307" s="83">
        <v>443</v>
      </c>
      <c r="B307" s="118" t="str">
        <f t="shared" si="21"/>
        <v>470</v>
      </c>
      <c r="C307" s="84" t="s">
        <v>1044</v>
      </c>
      <c r="D307" s="84" t="s">
        <v>659</v>
      </c>
      <c r="E307" s="84" t="s">
        <v>660</v>
      </c>
      <c r="F307" s="97" t="str">
        <f t="shared" si="19"/>
        <v xml:space="preserve">Lê Đình Mạnh </v>
      </c>
      <c r="G307" s="100" t="str">
        <f t="shared" si="20"/>
        <v>22144028</v>
      </c>
      <c r="H307" s="100" t="str">
        <f>VLOOKUP(C307,'[1]DM Đề tài SV ký HĐ (thay đổi)'!$B$1:$Q$475,15,0)</f>
        <v>22144028@student.hcmute.edu.vn</v>
      </c>
      <c r="I307" s="107">
        <f>VLOOKUP(C307,'[1]DM Đề tài SV ký HĐ (thay đổi)'!$B$1:$Q$475,16,0)</f>
        <v>399141699</v>
      </c>
      <c r="J307" s="97" t="str">
        <f>VLOOKUP(C307,'[2]DM Đề tài SV ký HĐ (thay đổi)'!$B$1:$I$475,8,0)</f>
        <v>Đào tạo tiên tiến</v>
      </c>
      <c r="K307" s="84" t="s">
        <v>1336</v>
      </c>
      <c r="L307" s="84" t="s">
        <v>307</v>
      </c>
      <c r="M307" s="97" t="str">
        <f>VLOOKUP(C307,'[2]DM Đề tài SV ký HĐ (thay đổi)'!$B$1:$O$475,13,0)</f>
        <v>tannt@hcmute.edu.vn</v>
      </c>
      <c r="N307" s="97" t="str">
        <f>VLOOKUP(C307,'[2]DM Đề tài SV ký HĐ (thay đổi)'!$B$1:$M$475,12,0)</f>
        <v>Khoa CKM</v>
      </c>
      <c r="O307" s="84" t="s">
        <v>1561</v>
      </c>
      <c r="P307" s="90">
        <v>5000000</v>
      </c>
      <c r="Q307" s="84" t="s">
        <v>1647</v>
      </c>
      <c r="R307" s="84"/>
      <c r="S307" s="84"/>
      <c r="T307" s="103">
        <v>2</v>
      </c>
      <c r="U307" s="103" t="s">
        <v>1787</v>
      </c>
      <c r="V307" s="83"/>
      <c r="W307" s="84"/>
      <c r="X307" s="84"/>
      <c r="Y307" s="84"/>
      <c r="Z307" s="84"/>
      <c r="AA307" s="84"/>
      <c r="AB307" s="84"/>
      <c r="AC307" s="84"/>
      <c r="AD307" s="84"/>
      <c r="AE307" s="84"/>
      <c r="AF307" s="84"/>
      <c r="AG307" s="113" t="s">
        <v>1814</v>
      </c>
      <c r="AH307" s="84"/>
    </row>
    <row r="308" spans="1:34" s="87" customFormat="1" ht="109.2" customHeight="1" x14ac:dyDescent="0.25">
      <c r="A308" s="83">
        <v>445</v>
      </c>
      <c r="B308" s="118" t="str">
        <f t="shared" si="21"/>
        <v>472</v>
      </c>
      <c r="C308" s="84" t="s">
        <v>1045</v>
      </c>
      <c r="D308" s="84" t="s">
        <v>661</v>
      </c>
      <c r="E308" s="84" t="s">
        <v>1334</v>
      </c>
      <c r="F308" s="97" t="str">
        <f t="shared" si="19"/>
        <v xml:space="preserve">Hồ Hoàng Vỹ </v>
      </c>
      <c r="G308" s="100" t="str">
        <f t="shared" si="20"/>
        <v>23142076</v>
      </c>
      <c r="H308" s="100" t="str">
        <f>VLOOKUP(C308,'[1]DM Đề tài SV ký HĐ (thay đổi)'!$B$1:$Q$475,15,0)</f>
        <v>23142076@student.hcmute.edu.vn</v>
      </c>
      <c r="I308" s="107">
        <f>VLOOKUP(C308,'[1]DM Đề tài SV ký HĐ (thay đổi)'!$B$1:$Q$475,16,0)</f>
        <v>939963302</v>
      </c>
      <c r="J308" s="97" t="str">
        <f>VLOOKUP(C308,'[2]DM Đề tài SV ký HĐ (thay đổi)'!$B$1:$I$475,8,0)</f>
        <v>Đào tạo tiên tiến</v>
      </c>
      <c r="K308" s="84" t="s">
        <v>1335</v>
      </c>
      <c r="L308" s="84" t="s">
        <v>697</v>
      </c>
      <c r="M308" s="97" t="str">
        <f>VLOOKUP(C308,'[2]DM Đề tài SV ký HĐ (thay đổi)'!$B$1:$O$475,13,0)</f>
        <v>nhontd@hcmute.edu.vn</v>
      </c>
      <c r="N308" s="97" t="str">
        <f>VLOOKUP(C308,'[2]DM Đề tài SV ký HĐ (thay đổi)'!$B$1:$M$475,12,0)</f>
        <v>Khoa đào tạo tiên tiến</v>
      </c>
      <c r="O308" s="84" t="s">
        <v>1089</v>
      </c>
      <c r="P308" s="90">
        <v>5000000</v>
      </c>
      <c r="Q308" s="84" t="s">
        <v>1647</v>
      </c>
      <c r="R308" s="84"/>
      <c r="S308" s="84"/>
      <c r="T308" s="101">
        <v>2</v>
      </c>
      <c r="U308" s="101" t="s">
        <v>1787</v>
      </c>
      <c r="V308" s="83"/>
      <c r="W308" s="84"/>
      <c r="X308" s="84"/>
      <c r="Y308" s="84"/>
      <c r="Z308" s="84"/>
      <c r="AA308" s="84"/>
      <c r="AB308" s="84"/>
      <c r="AC308" s="84"/>
      <c r="AD308" s="84"/>
      <c r="AE308" s="84"/>
      <c r="AF308" s="84"/>
      <c r="AG308" s="114" t="s">
        <v>1813</v>
      </c>
      <c r="AH308" s="84"/>
    </row>
    <row r="309" spans="1:34" s="87" customFormat="1" ht="109.2" customHeight="1" x14ac:dyDescent="0.25">
      <c r="A309" s="83">
        <v>446</v>
      </c>
      <c r="B309" s="118" t="str">
        <f t="shared" si="21"/>
        <v>473</v>
      </c>
      <c r="C309" s="84" t="s">
        <v>1046</v>
      </c>
      <c r="D309" s="84" t="s">
        <v>662</v>
      </c>
      <c r="E309" s="84" t="s">
        <v>663</v>
      </c>
      <c r="F309" s="97" t="str">
        <f t="shared" si="19"/>
        <v xml:space="preserve">Huỳnh Cao Tiến </v>
      </c>
      <c r="G309" s="100" t="str">
        <f t="shared" si="20"/>
        <v>20142248</v>
      </c>
      <c r="H309" s="100" t="str">
        <f>VLOOKUP(C309,'[1]DM Đề tài SV ký HĐ (thay đổi)'!$B$1:$Q$475,15,0)</f>
        <v>20142248@student.hcmute.edu.vn</v>
      </c>
      <c r="I309" s="107">
        <f>VLOOKUP(C309,'[1]DM Đề tài SV ký HĐ (thay đổi)'!$B$1:$Q$475,16,0)</f>
        <v>384968291</v>
      </c>
      <c r="J309" s="97" t="str">
        <f>VLOOKUP(C309,'[2]DM Đề tài SV ký HĐ (thay đổi)'!$B$1:$I$475,8,0)</f>
        <v>Đào tạo tiên tiến</v>
      </c>
      <c r="K309" s="84" t="s">
        <v>683</v>
      </c>
      <c r="L309" s="84" t="s">
        <v>438</v>
      </c>
      <c r="M309" s="97" t="str">
        <f>VLOOKUP(C309,'[2]DM Đề tài SV ký HĐ (thay đổi)'!$B$1:$O$475,13,0)</f>
        <v>nghiant@hcmute.edu.vn</v>
      </c>
      <c r="N309" s="97" t="str">
        <f>VLOOKUP(C309,'[2]DM Đề tài SV ký HĐ (thay đổi)'!$B$1:$M$475,12,0)</f>
        <v>Khoa Điện - Điện tử</v>
      </c>
      <c r="O309" s="84" t="s">
        <v>1088</v>
      </c>
      <c r="P309" s="90">
        <v>10000000</v>
      </c>
      <c r="Q309" s="84" t="s">
        <v>1648</v>
      </c>
      <c r="R309" s="84"/>
      <c r="S309" s="84"/>
      <c r="T309" s="101">
        <v>2</v>
      </c>
      <c r="U309" s="101" t="s">
        <v>1787</v>
      </c>
      <c r="V309" s="83"/>
      <c r="W309" s="84"/>
      <c r="X309" s="84"/>
      <c r="Y309" s="84"/>
      <c r="Z309" s="84"/>
      <c r="AA309" s="84"/>
      <c r="AB309" s="84"/>
      <c r="AC309" s="84"/>
      <c r="AD309" s="84"/>
      <c r="AE309" s="84"/>
      <c r="AF309" s="84"/>
      <c r="AG309" s="114" t="s">
        <v>1813</v>
      </c>
      <c r="AH309" s="84"/>
    </row>
    <row r="310" spans="1:34" s="87" customFormat="1" ht="109.2" customHeight="1" x14ac:dyDescent="0.25">
      <c r="A310" s="83">
        <v>447</v>
      </c>
      <c r="B310" s="118" t="str">
        <f t="shared" si="21"/>
        <v>474</v>
      </c>
      <c r="C310" s="84" t="s">
        <v>1047</v>
      </c>
      <c r="D310" s="84" t="s">
        <v>664</v>
      </c>
      <c r="E310" s="84" t="s">
        <v>1332</v>
      </c>
      <c r="F310" s="97" t="str">
        <f t="shared" si="19"/>
        <v xml:space="preserve">Huỳnh Lê Thành Nhân </v>
      </c>
      <c r="G310" s="100" t="str">
        <f t="shared" si="20"/>
        <v>24119068</v>
      </c>
      <c r="H310" s="100" t="str">
        <f>VLOOKUP(C310,'[1]DM Đề tài SV ký HĐ (thay đổi)'!$B$1:$Q$475,15,0)</f>
        <v>24119068@student.hcmute.edu.vn</v>
      </c>
      <c r="I310" s="107">
        <f>VLOOKUP(C310,'[1]DM Đề tài SV ký HĐ (thay đổi)'!$B$1:$Q$475,16,0)</f>
        <v>937395656</v>
      </c>
      <c r="J310" s="97" t="str">
        <f>VLOOKUP(C310,'[2]DM Đề tài SV ký HĐ (thay đổi)'!$B$1:$I$475,8,0)</f>
        <v>Đào tạo tiên tiến</v>
      </c>
      <c r="K310" s="84" t="s">
        <v>1333</v>
      </c>
      <c r="L310" s="84" t="s">
        <v>281</v>
      </c>
      <c r="M310" s="97" t="str">
        <f>VLOOKUP(C310,'[2]DM Đề tài SV ký HĐ (thay đổi)'!$B$1:$O$475,13,0)</f>
        <v>halm@hcmute.edu.vn</v>
      </c>
      <c r="N310" s="97" t="str">
        <f>VLOOKUP(C310,'[2]DM Đề tài SV ký HĐ (thay đổi)'!$B$1:$M$475,12,0)</f>
        <v>Khoa Điện - Điện tử</v>
      </c>
      <c r="O310" s="84" t="s">
        <v>1090</v>
      </c>
      <c r="P310" s="90">
        <v>5000000</v>
      </c>
      <c r="Q310" s="84" t="s">
        <v>1647</v>
      </c>
      <c r="R310" s="84"/>
      <c r="S310" s="84"/>
      <c r="T310" s="101">
        <v>2</v>
      </c>
      <c r="U310" s="103" t="s">
        <v>1787</v>
      </c>
      <c r="V310" s="83"/>
      <c r="W310" s="84"/>
      <c r="X310" s="84"/>
      <c r="Y310" s="84"/>
      <c r="Z310" s="84"/>
      <c r="AA310" s="84"/>
      <c r="AB310" s="84"/>
      <c r="AC310" s="84"/>
      <c r="AD310" s="84"/>
      <c r="AE310" s="84"/>
      <c r="AF310" s="84"/>
      <c r="AG310" s="114" t="s">
        <v>1813</v>
      </c>
      <c r="AH310" s="84"/>
    </row>
    <row r="311" spans="1:34" s="87" customFormat="1" ht="109.2" customHeight="1" x14ac:dyDescent="0.25">
      <c r="A311" s="83">
        <v>450</v>
      </c>
      <c r="B311" s="118" t="str">
        <f t="shared" si="21"/>
        <v>477</v>
      </c>
      <c r="C311" s="84" t="s">
        <v>1048</v>
      </c>
      <c r="D311" s="84" t="s">
        <v>665</v>
      </c>
      <c r="E311" s="84" t="s">
        <v>666</v>
      </c>
      <c r="F311" s="97" t="str">
        <f t="shared" ref="F311:F333" si="22">LEFT(E311,LEN(E311)-LEN(G311))</f>
        <v xml:space="preserve">Trương Minh Quân </v>
      </c>
      <c r="G311" s="100" t="str">
        <f t="shared" ref="G311:G333" si="23">RIGHT(E311,8)</f>
        <v>21161262</v>
      </c>
      <c r="H311" s="100" t="str">
        <f>VLOOKUP(C311,'[1]DM Đề tài SV ký HĐ (thay đổi)'!$B$1:$Q$475,15,0)</f>
        <v>21161262@student.hcmute.edu.vn</v>
      </c>
      <c r="I311" s="107">
        <f>VLOOKUP(C311,'[1]DM Đề tài SV ký HĐ (thay đổi)'!$B$1:$Q$475,16,0)</f>
        <v>908091607</v>
      </c>
      <c r="J311" s="97" t="str">
        <f>VLOOKUP(C311,'[2]DM Đề tài SV ký HĐ (thay đổi)'!$B$1:$I$475,8,0)</f>
        <v>Đào tạo tiên tiến</v>
      </c>
      <c r="K311" s="84" t="s">
        <v>1331</v>
      </c>
      <c r="L311" s="84" t="s">
        <v>723</v>
      </c>
      <c r="M311" s="97" t="str">
        <f>VLOOKUP(C311,'[2]DM Đề tài SV ký HĐ (thay đổi)'!$B$1:$O$475,13,0)</f>
        <v>nguyenvanthai@hcmute.edu.vn</v>
      </c>
      <c r="N311" s="97" t="str">
        <f>VLOOKUP(C311,'[2]DM Đề tài SV ký HĐ (thay đổi)'!$B$1:$M$475,12,0)</f>
        <v>Khoa Điện - Điện tử</v>
      </c>
      <c r="O311" s="84" t="s">
        <v>1091</v>
      </c>
      <c r="P311" s="90">
        <v>5000000</v>
      </c>
      <c r="Q311" s="84" t="s">
        <v>1647</v>
      </c>
      <c r="R311" s="84"/>
      <c r="S311" s="84"/>
      <c r="T311" s="103">
        <v>2</v>
      </c>
      <c r="U311" s="103" t="s">
        <v>1787</v>
      </c>
      <c r="V311" s="83"/>
      <c r="W311" s="84"/>
      <c r="X311" s="84"/>
      <c r="Y311" s="84"/>
      <c r="Z311" s="84"/>
      <c r="AA311" s="84"/>
      <c r="AB311" s="84"/>
      <c r="AC311" s="84"/>
      <c r="AD311" s="84"/>
      <c r="AE311" s="84"/>
      <c r="AF311" s="84"/>
      <c r="AG311" s="114" t="s">
        <v>1813</v>
      </c>
      <c r="AH311" s="84"/>
    </row>
    <row r="312" spans="1:34" s="87" customFormat="1" ht="109.2" customHeight="1" x14ac:dyDescent="0.25">
      <c r="A312" s="83">
        <v>451</v>
      </c>
      <c r="B312" s="118" t="str">
        <f t="shared" si="21"/>
        <v>478</v>
      </c>
      <c r="C312" s="84" t="s">
        <v>1049</v>
      </c>
      <c r="D312" s="84" t="s">
        <v>667</v>
      </c>
      <c r="E312" s="84" t="s">
        <v>1330</v>
      </c>
      <c r="F312" s="97" t="str">
        <f t="shared" si="22"/>
        <v xml:space="preserve">Nguyễn Nhật Phát </v>
      </c>
      <c r="G312" s="100" t="str">
        <f t="shared" si="23"/>
        <v>23110053</v>
      </c>
      <c r="H312" s="100" t="str">
        <f>VLOOKUP(C312,'[1]DM Đề tài SV ký HĐ (thay đổi)'!$B$1:$Q$475,15,0)</f>
        <v>23110053@student.hcmute.edu.vn</v>
      </c>
      <c r="I312" s="107" t="str">
        <f>VLOOKUP(C312,'[1]DM Đề tài SV ký HĐ (thay đổi)'!$B$1:$Q$475,16,0)</f>
        <v>0336243277</v>
      </c>
      <c r="J312" s="97" t="str">
        <f>VLOOKUP(C312,'[2]DM Đề tài SV ký HĐ (thay đổi)'!$B$1:$I$475,8,0)</f>
        <v>Đào tạo tiên tiến</v>
      </c>
      <c r="K312" s="84" t="s">
        <v>1329</v>
      </c>
      <c r="L312" s="84" t="s">
        <v>122</v>
      </c>
      <c r="M312" s="97" t="str">
        <f>VLOOKUP(C312,'[2]DM Đề tài SV ký HĐ (thay đổi)'!$B$1:$O$475,13,0)</f>
        <v>dunghv@hcmute.edu.vn</v>
      </c>
      <c r="N312" s="97" t="str">
        <f>VLOOKUP(C312,'[2]DM Đề tài SV ký HĐ (thay đổi)'!$B$1:$M$475,12,0)</f>
        <v>Khoa CNTT</v>
      </c>
      <c r="O312" s="84" t="s">
        <v>686</v>
      </c>
      <c r="P312" s="86">
        <v>10000000</v>
      </c>
      <c r="Q312" s="84" t="s">
        <v>1648</v>
      </c>
      <c r="R312" s="84"/>
      <c r="S312" s="84"/>
      <c r="T312" s="101">
        <v>2</v>
      </c>
      <c r="U312" s="101" t="s">
        <v>1787</v>
      </c>
      <c r="V312" s="83"/>
      <c r="W312" s="84"/>
      <c r="X312" s="84"/>
      <c r="Y312" s="84"/>
      <c r="Z312" s="84"/>
      <c r="AA312" s="84"/>
      <c r="AB312" s="84"/>
      <c r="AC312" s="84"/>
      <c r="AD312" s="84"/>
      <c r="AE312" s="84"/>
      <c r="AF312" s="84"/>
      <c r="AG312" s="114" t="s">
        <v>1813</v>
      </c>
      <c r="AH312" s="84"/>
    </row>
    <row r="313" spans="1:34" s="87" customFormat="1" ht="109.2" customHeight="1" x14ac:dyDescent="0.25">
      <c r="A313" s="83">
        <v>452</v>
      </c>
      <c r="B313" s="109" t="str">
        <f t="shared" si="21"/>
        <v>479</v>
      </c>
      <c r="C313" s="84" t="s">
        <v>1050</v>
      </c>
      <c r="D313" s="84" t="s">
        <v>1295</v>
      </c>
      <c r="E313" s="84" t="s">
        <v>1327</v>
      </c>
      <c r="F313" s="97" t="str">
        <f t="shared" si="22"/>
        <v xml:space="preserve">Nguyễn Hồng Tiên </v>
      </c>
      <c r="G313" s="100" t="str">
        <f t="shared" si="23"/>
        <v>24116080</v>
      </c>
      <c r="H313" s="100" t="str">
        <f>VLOOKUP(C313,'[1]DM Đề tài SV ký HĐ (thay đổi)'!$B$1:$Q$475,15,0)</f>
        <v>24116080@student.hcmute.edu.vn</v>
      </c>
      <c r="I313" s="107">
        <f>VLOOKUP(C313,'[1]DM Đề tài SV ký HĐ (thay đổi)'!$B$1:$Q$475,16,0)</f>
        <v>338850126</v>
      </c>
      <c r="J313" s="97" t="str">
        <f>VLOOKUP(C313,'[2]DM Đề tài SV ký HĐ (thay đổi)'!$B$1:$I$475,8,0)</f>
        <v>Đào tạo tiên tiến</v>
      </c>
      <c r="K313" s="84" t="s">
        <v>1328</v>
      </c>
      <c r="L313" s="84" t="s">
        <v>706</v>
      </c>
      <c r="M313" s="97" t="str">
        <f>VLOOKUP(C313,'[2]DM Đề tài SV ký HĐ (thay đổi)'!$B$1:$O$475,13,0)</f>
        <v xml:space="preserve">chuyenhv@hcmute.edu.vn </v>
      </c>
      <c r="N313" s="97" t="str">
        <f>VLOOKUP(C313,'[2]DM Đề tài SV ký HĐ (thay đổi)'!$B$1:$M$475,12,0)</f>
        <v>Khoa đào tạo tiên tiến</v>
      </c>
      <c r="O313" s="84" t="s">
        <v>687</v>
      </c>
      <c r="P313" s="90">
        <v>15000000</v>
      </c>
      <c r="Q313" s="85" t="s">
        <v>1649</v>
      </c>
      <c r="R313" s="85"/>
      <c r="S313" s="85"/>
      <c r="T313" s="101">
        <v>2</v>
      </c>
      <c r="U313" s="101" t="s">
        <v>1787</v>
      </c>
      <c r="V313" s="83"/>
      <c r="W313" s="84"/>
      <c r="X313" s="84"/>
      <c r="Y313" s="84"/>
      <c r="Z313" s="84"/>
      <c r="AA313" s="84"/>
      <c r="AB313" s="84"/>
      <c r="AC313" s="84"/>
      <c r="AD313" s="84"/>
      <c r="AE313" s="84"/>
      <c r="AF313" s="84"/>
      <c r="AG313" s="114" t="s">
        <v>1813</v>
      </c>
      <c r="AH313" s="84"/>
    </row>
    <row r="314" spans="1:34" s="87" customFormat="1" ht="109.2" customHeight="1" x14ac:dyDescent="0.25">
      <c r="A314" s="83">
        <v>453</v>
      </c>
      <c r="B314" s="118" t="str">
        <f t="shared" si="21"/>
        <v>480</v>
      </c>
      <c r="C314" s="84" t="s">
        <v>1051</v>
      </c>
      <c r="D314" s="84" t="s">
        <v>668</v>
      </c>
      <c r="E314" s="84" t="s">
        <v>1325</v>
      </c>
      <c r="F314" s="97" t="str">
        <f t="shared" si="22"/>
        <v xml:space="preserve">Đào Hà Vy </v>
      </c>
      <c r="G314" s="100" t="str">
        <f t="shared" si="23"/>
        <v>24116092</v>
      </c>
      <c r="H314" s="100" t="str">
        <f>VLOOKUP(C314,'[1]DM Đề tài SV ký HĐ (thay đổi)'!$B$1:$Q$475,15,0)</f>
        <v>24116092@student.hcmute.edu.vn</v>
      </c>
      <c r="I314" s="107">
        <f>VLOOKUP(C314,'[1]DM Đề tài SV ký HĐ (thay đổi)'!$B$1:$Q$475,16,0)</f>
        <v>937829421</v>
      </c>
      <c r="J314" s="97" t="str">
        <f>VLOOKUP(C314,'[2]DM Đề tài SV ký HĐ (thay đổi)'!$B$1:$I$475,8,0)</f>
        <v>Đào tạo tiên tiến</v>
      </c>
      <c r="K314" s="84" t="s">
        <v>1326</v>
      </c>
      <c r="L314" s="84" t="s">
        <v>706</v>
      </c>
      <c r="M314" s="97" t="str">
        <f>VLOOKUP(C314,'[2]DM Đề tài SV ký HĐ (thay đổi)'!$B$1:$O$475,13,0)</f>
        <v xml:space="preserve">chuyenhv@ hcmute.edu.vn </v>
      </c>
      <c r="N314" s="97" t="str">
        <f>VLOOKUP(C314,'[2]DM Đề tài SV ký HĐ (thay đổi)'!$B$1:$M$475,12,0)</f>
        <v>Khoa đào tạo tiên tiến</v>
      </c>
      <c r="O314" s="84" t="s">
        <v>373</v>
      </c>
      <c r="P314" s="90">
        <v>5000000</v>
      </c>
      <c r="Q314" s="84" t="s">
        <v>1647</v>
      </c>
      <c r="R314" s="84"/>
      <c r="S314" s="84"/>
      <c r="T314" s="101">
        <v>2</v>
      </c>
      <c r="U314" s="101" t="s">
        <v>1787</v>
      </c>
      <c r="V314" s="83"/>
      <c r="W314" s="84"/>
      <c r="X314" s="84"/>
      <c r="Y314" s="84"/>
      <c r="Z314" s="84"/>
      <c r="AA314" s="84"/>
      <c r="AB314" s="84"/>
      <c r="AC314" s="84"/>
      <c r="AD314" s="84"/>
      <c r="AE314" s="84"/>
      <c r="AF314" s="84"/>
      <c r="AG314" s="114" t="s">
        <v>1813</v>
      </c>
      <c r="AH314" s="84"/>
    </row>
    <row r="315" spans="1:34" s="87" customFormat="1" ht="109.2" customHeight="1" x14ac:dyDescent="0.25">
      <c r="A315" s="83">
        <v>455</v>
      </c>
      <c r="B315" s="118" t="str">
        <f t="shared" si="21"/>
        <v>482</v>
      </c>
      <c r="C315" s="84" t="s">
        <v>1052</v>
      </c>
      <c r="D315" s="84" t="s">
        <v>1651</v>
      </c>
      <c r="E315" s="84" t="s">
        <v>1324</v>
      </c>
      <c r="F315" s="97" t="str">
        <f t="shared" si="22"/>
        <v xml:space="preserve">Nguyễn Tiến Cường </v>
      </c>
      <c r="G315" s="100" t="str">
        <f t="shared" si="23"/>
        <v>23110007</v>
      </c>
      <c r="H315" s="100" t="str">
        <f>VLOOKUP(C315,'[1]DM Đề tài SV ký HĐ (thay đổi)'!$B$1:$Q$475,15,0)</f>
        <v>23110007@student.hcmute.edu.vn</v>
      </c>
      <c r="I315" s="107">
        <f>VLOOKUP(C315,'[1]DM Đề tài SV ký HĐ (thay đổi)'!$B$1:$Q$475,16,0)</f>
        <v>786230344</v>
      </c>
      <c r="J315" s="97" t="str">
        <f>VLOOKUP(C315,'[2]DM Đề tài SV ký HĐ (thay đổi)'!$B$1:$I$475,8,0)</f>
        <v>Đào tạo tiên tiến</v>
      </c>
      <c r="K315" s="84" t="s">
        <v>1323</v>
      </c>
      <c r="L315" s="84" t="s">
        <v>146</v>
      </c>
      <c r="M315" s="97" t="str">
        <f>VLOOKUP(C315,'[2]DM Đề tài SV ký HĐ (thay đổi)'!$B$1:$O$475,13,0)</f>
        <v>khaitq@hcmute.edu.vn</v>
      </c>
      <c r="N315" s="97" t="str">
        <f>VLOOKUP(C315,'[2]DM Đề tài SV ký HĐ (thay đổi)'!$B$1:$M$475,12,0)</f>
        <v>Khoa CNTT</v>
      </c>
      <c r="O315" s="84" t="s">
        <v>1092</v>
      </c>
      <c r="P315" s="90">
        <v>5000000</v>
      </c>
      <c r="Q315" s="84" t="s">
        <v>1647</v>
      </c>
      <c r="R315" s="84"/>
      <c r="S315" s="84"/>
      <c r="T315" s="101">
        <v>2</v>
      </c>
      <c r="U315" s="101" t="s">
        <v>1787</v>
      </c>
      <c r="V315" s="83"/>
      <c r="W315" s="84"/>
      <c r="X315" s="84"/>
      <c r="Y315" s="84"/>
      <c r="Z315" s="84"/>
      <c r="AA315" s="84"/>
      <c r="AB315" s="84"/>
      <c r="AC315" s="84"/>
      <c r="AD315" s="84"/>
      <c r="AE315" s="84"/>
      <c r="AF315" s="84"/>
      <c r="AG315" s="114" t="s">
        <v>1813</v>
      </c>
      <c r="AH315" s="84"/>
    </row>
    <row r="316" spans="1:34" s="87" customFormat="1" ht="109.2" customHeight="1" x14ac:dyDescent="0.25">
      <c r="A316" s="83">
        <v>456</v>
      </c>
      <c r="B316" s="118" t="str">
        <f t="shared" si="21"/>
        <v>483</v>
      </c>
      <c r="C316" s="84" t="s">
        <v>1053</v>
      </c>
      <c r="D316" s="84" t="s">
        <v>669</v>
      </c>
      <c r="E316" s="84" t="s">
        <v>1321</v>
      </c>
      <c r="F316" s="97" t="str">
        <f t="shared" si="22"/>
        <v xml:space="preserve">Trần Minh Nhật </v>
      </c>
      <c r="G316" s="100" t="str">
        <f t="shared" si="23"/>
        <v>23146022</v>
      </c>
      <c r="H316" s="100" t="str">
        <f>VLOOKUP(C316,'[1]DM Đề tài SV ký HĐ (thay đổi)'!$B$1:$Q$475,15,0)</f>
        <v>23146022@student.hcmute.edu.vn</v>
      </c>
      <c r="I316" s="107">
        <f>VLOOKUP(C316,'[1]DM Đề tài SV ký HĐ (thay đổi)'!$B$1:$Q$475,16,0)</f>
        <v>845514789</v>
      </c>
      <c r="J316" s="97" t="str">
        <f>VLOOKUP(C316,'[2]DM Đề tài SV ký HĐ (thay đổi)'!$B$1:$I$475,8,0)</f>
        <v>Đào tạo tiên tiến</v>
      </c>
      <c r="K316" s="84" t="s">
        <v>1322</v>
      </c>
      <c r="L316" s="88" t="s">
        <v>260</v>
      </c>
      <c r="M316" s="97" t="str">
        <f>VLOOKUP(C316,'[2]DM Đề tài SV ký HĐ (thay đổi)'!$B$1:$O$475,13,0)</f>
        <v>huonghv@hcmute.edu.vn</v>
      </c>
      <c r="N316" s="97" t="str">
        <f>VLOOKUP(C316,'[2]DM Đề tài SV ký HĐ (thay đổi)'!$B$1:$M$475,12,0)</f>
        <v>Khoa CKM</v>
      </c>
      <c r="O316" s="84" t="s">
        <v>1679</v>
      </c>
      <c r="P316" s="90">
        <v>10000000</v>
      </c>
      <c r="Q316" s="84" t="s">
        <v>1648</v>
      </c>
      <c r="R316" s="84"/>
      <c r="S316" s="84"/>
      <c r="T316" s="103">
        <v>2</v>
      </c>
      <c r="U316" s="103" t="s">
        <v>1787</v>
      </c>
      <c r="V316" s="83"/>
      <c r="W316" s="84"/>
      <c r="X316" s="84"/>
      <c r="Y316" s="84"/>
      <c r="Z316" s="84"/>
      <c r="AA316" s="84"/>
      <c r="AB316" s="84"/>
      <c r="AC316" s="84"/>
      <c r="AD316" s="84"/>
      <c r="AE316" s="84"/>
      <c r="AF316" s="84"/>
      <c r="AG316" s="113" t="s">
        <v>1815</v>
      </c>
      <c r="AH316" s="84"/>
    </row>
    <row r="317" spans="1:34" s="87" customFormat="1" ht="109.2" customHeight="1" x14ac:dyDescent="0.25">
      <c r="A317" s="83">
        <v>458</v>
      </c>
      <c r="B317" s="118" t="str">
        <f t="shared" si="21"/>
        <v>485</v>
      </c>
      <c r="C317" s="84" t="s">
        <v>1054</v>
      </c>
      <c r="D317" s="84" t="s">
        <v>670</v>
      </c>
      <c r="E317" s="84" t="s">
        <v>1319</v>
      </c>
      <c r="F317" s="97" t="str">
        <f t="shared" si="22"/>
        <v xml:space="preserve">Trịnh Minh Trí </v>
      </c>
      <c r="G317" s="100" t="str">
        <f t="shared" si="23"/>
        <v>23146039</v>
      </c>
      <c r="H317" s="100" t="str">
        <f>VLOOKUP(C317,'[1]DM Đề tài SV ký HĐ (thay đổi)'!$B$1:$Q$475,15,0)</f>
        <v>23146039@student.hcmute.edu.vn</v>
      </c>
      <c r="I317" s="107">
        <f>VLOOKUP(C317,'[1]DM Đề tài SV ký HĐ (thay đổi)'!$B$1:$Q$475,16,0)</f>
        <v>774296961</v>
      </c>
      <c r="J317" s="97" t="str">
        <f>VLOOKUP(C317,'[2]DM Đề tài SV ký HĐ (thay đổi)'!$B$1:$I$475,8,0)</f>
        <v>Đào tạo tiên tiến</v>
      </c>
      <c r="K317" s="84" t="s">
        <v>1320</v>
      </c>
      <c r="L317" s="84" t="s">
        <v>363</v>
      </c>
      <c r="M317" s="97" t="str">
        <f>VLOOKUP(C317,'[2]DM Đề tài SV ký HĐ (thay đổi)'!$B$1:$O$475,13,0)</f>
        <v>thientd@hcmute.edu.vn</v>
      </c>
      <c r="N317" s="97" t="str">
        <f>VLOOKUP(C317,'[2]DM Đề tài SV ký HĐ (thay đổi)'!$B$1:$M$475,12,0)</f>
        <v>Khoa Điện - Điện tử</v>
      </c>
      <c r="O317" s="84" t="s">
        <v>1093</v>
      </c>
      <c r="P317" s="90">
        <v>10000000</v>
      </c>
      <c r="Q317" s="84" t="s">
        <v>1648</v>
      </c>
      <c r="R317" s="84"/>
      <c r="S317" s="84"/>
      <c r="T317" s="101">
        <v>2</v>
      </c>
      <c r="U317" s="101" t="s">
        <v>1787</v>
      </c>
      <c r="V317" s="83"/>
      <c r="W317" s="84"/>
      <c r="X317" s="84"/>
      <c r="Y317" s="84"/>
      <c r="Z317" s="84"/>
      <c r="AA317" s="84"/>
      <c r="AB317" s="84"/>
      <c r="AC317" s="84"/>
      <c r="AD317" s="84"/>
      <c r="AE317" s="84"/>
      <c r="AF317" s="84"/>
      <c r="AG317" s="114" t="s">
        <v>1813</v>
      </c>
      <c r="AH317" s="84"/>
    </row>
    <row r="318" spans="1:34" s="87" customFormat="1" ht="109.2" customHeight="1" x14ac:dyDescent="0.25">
      <c r="A318" s="83">
        <v>459</v>
      </c>
      <c r="B318" s="118" t="str">
        <f t="shared" si="21"/>
        <v>486</v>
      </c>
      <c r="C318" s="84" t="s">
        <v>1055</v>
      </c>
      <c r="D318" s="84" t="s">
        <v>671</v>
      </c>
      <c r="E318" s="84" t="s">
        <v>1318</v>
      </c>
      <c r="F318" s="97" t="str">
        <f t="shared" si="22"/>
        <v xml:space="preserve">Nguyễn Hoàng Trung Sơn </v>
      </c>
      <c r="G318" s="100" t="str">
        <f t="shared" si="23"/>
        <v>23151028</v>
      </c>
      <c r="H318" s="100" t="str">
        <f>VLOOKUP(C318,'[1]DM Đề tài SV ký HĐ (thay đổi)'!$B$1:$Q$475,15,0)</f>
        <v>23151028@student.hcmute.edu.vn</v>
      </c>
      <c r="I318" s="107">
        <f>VLOOKUP(C318,'[1]DM Đề tài SV ký HĐ (thay đổi)'!$B$1:$Q$475,16,0)</f>
        <v>868682600</v>
      </c>
      <c r="J318" s="97" t="str">
        <f>VLOOKUP(C318,'[2]DM Đề tài SV ký HĐ (thay đổi)'!$B$1:$I$475,8,0)</f>
        <v>Đào tạo tiên tiến</v>
      </c>
      <c r="K318" s="84" t="s">
        <v>1317</v>
      </c>
      <c r="L318" s="84" t="s">
        <v>411</v>
      </c>
      <c r="M318" s="97" t="str">
        <f>VLOOKUP(C318,'[2]DM Đề tài SV ký HĐ (thay đổi)'!$B$1:$O$475,13,0)</f>
        <v>minhthien@hcmute.edu.vn</v>
      </c>
      <c r="N318" s="97" t="str">
        <f>VLOOKUP(C318,'[2]DM Đề tài SV ký HĐ (thay đổi)'!$B$1:$M$475,12,0)</f>
        <v>Khoa Điện - Điện tử</v>
      </c>
      <c r="O318" s="84" t="s">
        <v>1094</v>
      </c>
      <c r="P318" s="90">
        <v>10000000</v>
      </c>
      <c r="Q318" s="84" t="s">
        <v>1648</v>
      </c>
      <c r="R318" s="84"/>
      <c r="S318" s="84"/>
      <c r="T318" s="101">
        <v>2</v>
      </c>
      <c r="U318" s="101" t="s">
        <v>1787</v>
      </c>
      <c r="V318" s="83"/>
      <c r="W318" s="84"/>
      <c r="X318" s="84"/>
      <c r="Y318" s="84"/>
      <c r="Z318" s="84"/>
      <c r="AA318" s="84"/>
      <c r="AB318" s="84"/>
      <c r="AC318" s="84"/>
      <c r="AD318" s="84"/>
      <c r="AE318" s="84"/>
      <c r="AF318" s="84"/>
      <c r="AG318" s="114" t="s">
        <v>1813</v>
      </c>
      <c r="AH318" s="84"/>
    </row>
    <row r="319" spans="1:34" s="87" customFormat="1" ht="109.2" customHeight="1" x14ac:dyDescent="0.25">
      <c r="A319" s="83">
        <v>460</v>
      </c>
      <c r="B319" s="118" t="str">
        <f t="shared" si="21"/>
        <v>487</v>
      </c>
      <c r="C319" s="84" t="s">
        <v>1056</v>
      </c>
      <c r="D319" s="84" t="s">
        <v>1355</v>
      </c>
      <c r="E319" s="84" t="s">
        <v>1300</v>
      </c>
      <c r="F319" s="97" t="str">
        <f t="shared" si="22"/>
        <v xml:space="preserve">Bùi Đức Tân </v>
      </c>
      <c r="G319" s="100" t="str">
        <f t="shared" si="23"/>
        <v>23151030</v>
      </c>
      <c r="H319" s="100" t="str">
        <f>VLOOKUP(C319,'[1]DM Đề tài SV ký HĐ (thay đổi)'!$B$1:$Q$475,15,0)</f>
        <v>23151030@student.hcmute.edu.vn</v>
      </c>
      <c r="I319" s="107">
        <f>VLOOKUP(C319,'[1]DM Đề tài SV ký HĐ (thay đổi)'!$B$1:$Q$475,16,0)</f>
        <v>908672227</v>
      </c>
      <c r="J319" s="97" t="str">
        <f>VLOOKUP(C319,'[2]DM Đề tài SV ký HĐ (thay đổi)'!$B$1:$I$475,8,0)</f>
        <v>Đào tạo tiên tiến</v>
      </c>
      <c r="K319" s="84" t="s">
        <v>1316</v>
      </c>
      <c r="L319" s="84" t="s">
        <v>729</v>
      </c>
      <c r="M319" s="97" t="str">
        <f>VLOOKUP(C319,'[2]DM Đề tài SV ký HĐ (thay đổi)'!$B$1:$O$475,13,0)</f>
        <v>sontm@hcmute.edu.vn</v>
      </c>
      <c r="N319" s="97" t="str">
        <f>VLOOKUP(C319,'[2]DM Đề tài SV ký HĐ (thay đổi)'!$B$1:$M$475,12,0)</f>
        <v>Khoa Điện - Điện tử</v>
      </c>
      <c r="O319" s="84" t="s">
        <v>688</v>
      </c>
      <c r="P319" s="86">
        <v>5000000</v>
      </c>
      <c r="Q319" s="84" t="s">
        <v>1647</v>
      </c>
      <c r="R319" s="84"/>
      <c r="S319" s="84"/>
      <c r="T319" s="103">
        <v>2</v>
      </c>
      <c r="U319" s="103" t="s">
        <v>1787</v>
      </c>
      <c r="V319" s="83"/>
      <c r="W319" s="84"/>
      <c r="X319" s="84"/>
      <c r="Y319" s="84"/>
      <c r="Z319" s="84"/>
      <c r="AA319" s="84"/>
      <c r="AB319" s="84"/>
      <c r="AC319" s="84"/>
      <c r="AD319" s="84"/>
      <c r="AE319" s="84"/>
      <c r="AF319" s="84"/>
      <c r="AG319" s="114" t="s">
        <v>1813</v>
      </c>
      <c r="AH319" s="84"/>
    </row>
    <row r="320" spans="1:34" s="87" customFormat="1" ht="109.2" customHeight="1" x14ac:dyDescent="0.25">
      <c r="A320" s="83">
        <v>461</v>
      </c>
      <c r="B320" s="118" t="str">
        <f t="shared" si="21"/>
        <v>488</v>
      </c>
      <c r="C320" s="84" t="s">
        <v>1057</v>
      </c>
      <c r="D320" s="84" t="s">
        <v>672</v>
      </c>
      <c r="E320" s="84" t="s">
        <v>1314</v>
      </c>
      <c r="F320" s="97" t="str">
        <f t="shared" si="22"/>
        <v xml:space="preserve">Nguyễn Quỳnh Như </v>
      </c>
      <c r="G320" s="100" t="str">
        <f t="shared" si="23"/>
        <v>23110050</v>
      </c>
      <c r="H320" s="100" t="str">
        <f>VLOOKUP(C320,'[1]DM Đề tài SV ký HĐ (thay đổi)'!$B$1:$Q$475,15,0)</f>
        <v>23110050@student.hcmute.edu.vn</v>
      </c>
      <c r="I320" s="107">
        <f>VLOOKUP(C320,'[1]DM Đề tài SV ký HĐ (thay đổi)'!$B$1:$Q$475,16,0)</f>
        <v>933173745</v>
      </c>
      <c r="J320" s="97" t="str">
        <f>VLOOKUP(C320,'[2]DM Đề tài SV ký HĐ (thay đổi)'!$B$1:$I$475,8,0)</f>
        <v>Đào tạo tiên tiến</v>
      </c>
      <c r="K320" s="84" t="s">
        <v>1315</v>
      </c>
      <c r="L320" s="84" t="s">
        <v>137</v>
      </c>
      <c r="M320" s="97" t="str">
        <f>VLOOKUP(C320,'[2]DM Đề tài SV ký HĐ (thay đổi)'!$B$1:$O$475,13,0)</f>
        <v>tuannt@hcmute.edu.vn</v>
      </c>
      <c r="N320" s="97" t="str">
        <f>VLOOKUP(C320,'[2]DM Đề tài SV ký HĐ (thay đổi)'!$B$1:$M$475,12,0)</f>
        <v>Khoa CNTT</v>
      </c>
      <c r="O320" s="84" t="s">
        <v>689</v>
      </c>
      <c r="P320" s="86">
        <v>5000000</v>
      </c>
      <c r="Q320" s="84" t="s">
        <v>1647</v>
      </c>
      <c r="R320" s="84"/>
      <c r="S320" s="84"/>
      <c r="T320" s="101">
        <v>2</v>
      </c>
      <c r="U320" s="101" t="s">
        <v>1787</v>
      </c>
      <c r="V320" s="83"/>
      <c r="W320" s="84"/>
      <c r="X320" s="84"/>
      <c r="Y320" s="84"/>
      <c r="Z320" s="84"/>
      <c r="AA320" s="84"/>
      <c r="AB320" s="84"/>
      <c r="AC320" s="84"/>
      <c r="AD320" s="84"/>
      <c r="AE320" s="84"/>
      <c r="AF320" s="84"/>
      <c r="AG320" s="113" t="s">
        <v>1814</v>
      </c>
      <c r="AH320" s="84"/>
    </row>
    <row r="321" spans="1:34" s="87" customFormat="1" ht="109.2" customHeight="1" x14ac:dyDescent="0.25">
      <c r="A321" s="83">
        <v>462</v>
      </c>
      <c r="B321" s="118" t="str">
        <f t="shared" si="21"/>
        <v>489</v>
      </c>
      <c r="C321" s="84" t="s">
        <v>1058</v>
      </c>
      <c r="D321" s="84" t="s">
        <v>1354</v>
      </c>
      <c r="E321" s="84" t="s">
        <v>1313</v>
      </c>
      <c r="F321" s="97" t="str">
        <f t="shared" si="22"/>
        <v xml:space="preserve">Nguyễn Hoàng Quân </v>
      </c>
      <c r="G321" s="100" t="str">
        <f t="shared" si="23"/>
        <v>23143078</v>
      </c>
      <c r="H321" s="100" t="str">
        <f>VLOOKUP(C321,'[1]DM Đề tài SV ký HĐ (thay đổi)'!$B$1:$Q$475,15,0)</f>
        <v>23143078@student.hcmute.edu.vn</v>
      </c>
      <c r="I321" s="107">
        <f>VLOOKUP(C321,'[1]DM Đề tài SV ký HĐ (thay đổi)'!$B$1:$Q$475,16,0)</f>
        <v>368235283</v>
      </c>
      <c r="J321" s="97" t="str">
        <f>VLOOKUP(C321,'[2]DM Đề tài SV ký HĐ (thay đổi)'!$B$1:$I$475,8,0)</f>
        <v>Đào tạo tiên tiến</v>
      </c>
      <c r="K321" s="84" t="s">
        <v>1750</v>
      </c>
      <c r="L321" s="84" t="s">
        <v>1613</v>
      </c>
      <c r="M321" s="97" t="str">
        <f>VLOOKUP(C321,'[2]DM Đề tài SV ký HĐ (thay đổi)'!$B$1:$O$475,13,0)</f>
        <v>phtuan@hcmute.edu.vn</v>
      </c>
      <c r="N321" s="97" t="str">
        <f>VLOOKUP(C321,'[2]DM Đề tài SV ký HĐ (thay đổi)'!$B$1:$M$475,12,0)</f>
        <v>Khoa CKM</v>
      </c>
      <c r="O321" s="84" t="s">
        <v>1095</v>
      </c>
      <c r="P321" s="86">
        <v>10000000</v>
      </c>
      <c r="Q321" s="84" t="s">
        <v>1648</v>
      </c>
      <c r="R321" s="84"/>
      <c r="S321" s="84"/>
      <c r="T321" s="101">
        <v>2</v>
      </c>
      <c r="U321" s="101" t="s">
        <v>1787</v>
      </c>
      <c r="V321" s="83"/>
      <c r="W321" s="84"/>
      <c r="X321" s="84"/>
      <c r="Y321" s="84"/>
      <c r="Z321" s="84"/>
      <c r="AA321" s="84"/>
      <c r="AB321" s="84"/>
      <c r="AC321" s="84"/>
      <c r="AD321" s="84"/>
      <c r="AE321" s="84"/>
      <c r="AF321" s="84"/>
      <c r="AG321" s="113" t="s">
        <v>1814</v>
      </c>
      <c r="AH321" s="84"/>
    </row>
    <row r="322" spans="1:34" s="87" customFormat="1" ht="109.2" customHeight="1" x14ac:dyDescent="0.25">
      <c r="A322" s="83">
        <v>463</v>
      </c>
      <c r="B322" s="118" t="str">
        <f t="shared" si="21"/>
        <v>491</v>
      </c>
      <c r="C322" s="84" t="s">
        <v>1059</v>
      </c>
      <c r="D322" s="84" t="s">
        <v>1541</v>
      </c>
      <c r="E322" s="84" t="s">
        <v>1312</v>
      </c>
      <c r="F322" s="97" t="str">
        <f t="shared" si="22"/>
        <v xml:space="preserve">Đào Duy Phong </v>
      </c>
      <c r="G322" s="100" t="str">
        <f t="shared" si="23"/>
        <v>22143064</v>
      </c>
      <c r="H322" s="110" t="s">
        <v>1808</v>
      </c>
      <c r="I322" s="107">
        <f>VLOOKUP(C322,'[1]DM Đề tài SV ký HĐ (thay đổi)'!$B$1:$Q$475,16,0)</f>
        <v>339709844</v>
      </c>
      <c r="J322" s="97" t="str">
        <f>VLOOKUP(C322,'[2]DM Đề tài SV ký HĐ (thay đổi)'!$B$1:$I$475,8,0)</f>
        <v>Đào tạo tiên tiến</v>
      </c>
      <c r="K322" s="84" t="s">
        <v>1683</v>
      </c>
      <c r="L322" s="84" t="s">
        <v>260</v>
      </c>
      <c r="M322" s="97" t="str">
        <f>VLOOKUP(C322,'[2]DM Đề tài SV ký HĐ (thay đổi)'!$B$1:$O$475,13,0)</f>
        <v>huonghv@
hcmute.edu.vn</v>
      </c>
      <c r="N322" s="97" t="str">
        <f>VLOOKUP(C322,'[2]DM Đề tài SV ký HĐ (thay đổi)'!$B$1:$M$475,12,0)</f>
        <v>Khoa CKM</v>
      </c>
      <c r="O322" s="84" t="s">
        <v>690</v>
      </c>
      <c r="P322" s="86">
        <v>10000000</v>
      </c>
      <c r="Q322" s="84" t="s">
        <v>1648</v>
      </c>
      <c r="R322" s="84"/>
      <c r="S322" s="84"/>
      <c r="T322" s="101">
        <v>2</v>
      </c>
      <c r="U322" s="103" t="s">
        <v>1787</v>
      </c>
      <c r="V322" s="83"/>
      <c r="W322" s="84"/>
      <c r="X322" s="84"/>
      <c r="Y322" s="84"/>
      <c r="Z322" s="84"/>
      <c r="AA322" s="84"/>
      <c r="AB322" s="84"/>
      <c r="AC322" s="84"/>
      <c r="AD322" s="84"/>
      <c r="AE322" s="84"/>
      <c r="AF322" s="84"/>
      <c r="AG322" s="114" t="s">
        <v>1813</v>
      </c>
      <c r="AH322" s="84"/>
    </row>
    <row r="323" spans="1:34" s="87" customFormat="1" ht="109.2" customHeight="1" x14ac:dyDescent="0.25">
      <c r="A323" s="83">
        <v>464</v>
      </c>
      <c r="B323" s="118" t="str">
        <f t="shared" si="21"/>
        <v>492</v>
      </c>
      <c r="C323" s="84" t="s">
        <v>1060</v>
      </c>
      <c r="D323" s="84" t="s">
        <v>1352</v>
      </c>
      <c r="E323" s="84" t="s">
        <v>1645</v>
      </c>
      <c r="F323" s="97" t="str">
        <f t="shared" si="22"/>
        <v xml:space="preserve">Lê Phương Thành </v>
      </c>
      <c r="G323" s="100" t="str">
        <f t="shared" si="23"/>
        <v>22145065</v>
      </c>
      <c r="H323" s="100" t="str">
        <f>VLOOKUP(C323,'[1]DM Đề tài SV ký HĐ (thay đổi)'!$B$1:$Q$475,15,0)</f>
        <v xml:space="preserve">22145065@student.hcmute.edu.vn
</v>
      </c>
      <c r="I323" s="107" t="str">
        <f>VLOOKUP(C323,'[1]DM Đề tài SV ký HĐ (thay đổi)'!$B$1:$Q$475,16,0)</f>
        <v>0936831827</v>
      </c>
      <c r="J323" s="97" t="str">
        <f>VLOOKUP(C323,'[2]DM Đề tài SV ký HĐ (thay đổi)'!$B$1:$I$475,8,0)</f>
        <v>Đào tạo tiên tiến</v>
      </c>
      <c r="K323" s="84" t="s">
        <v>1581</v>
      </c>
      <c r="L323" s="84" t="s">
        <v>728</v>
      </c>
      <c r="M323" s="97" t="str">
        <f>VLOOKUP(C323,'[2]DM Đề tài SV ký HĐ (thay đổi)'!$B$1:$O$475,13,0)</f>
        <v xml:space="preserve">phatth@hcmute.edu.vn
</v>
      </c>
      <c r="N323" s="97" t="str">
        <f>VLOOKUP(C323,'[2]DM Đề tài SV ký HĐ (thay đổi)'!$B$1:$M$475,12,0)</f>
        <v>Khoa Giao thông và Năng lượng</v>
      </c>
      <c r="O323" s="84" t="s">
        <v>691</v>
      </c>
      <c r="P323" s="90">
        <v>10000000</v>
      </c>
      <c r="Q323" s="84" t="s">
        <v>1648</v>
      </c>
      <c r="R323" s="84"/>
      <c r="S323" s="84"/>
      <c r="T323" s="101">
        <v>2</v>
      </c>
      <c r="U323" s="101" t="s">
        <v>1787</v>
      </c>
      <c r="V323" s="83"/>
      <c r="W323" s="84"/>
      <c r="X323" s="84"/>
      <c r="Y323" s="84"/>
      <c r="Z323" s="84"/>
      <c r="AA323" s="84"/>
      <c r="AB323" s="84"/>
      <c r="AC323" s="84"/>
      <c r="AD323" s="84"/>
      <c r="AE323" s="84"/>
      <c r="AF323" s="84"/>
      <c r="AG323" s="114" t="s">
        <v>1813</v>
      </c>
      <c r="AH323" s="84"/>
    </row>
    <row r="324" spans="1:34" s="87" customFormat="1" ht="109.2" customHeight="1" x14ac:dyDescent="0.25">
      <c r="A324" s="83">
        <v>465</v>
      </c>
      <c r="B324" s="83" t="str">
        <f t="shared" si="21"/>
        <v>493</v>
      </c>
      <c r="C324" s="84" t="s">
        <v>1061</v>
      </c>
      <c r="D324" s="84" t="s">
        <v>1353</v>
      </c>
      <c r="E324" s="84" t="s">
        <v>1311</v>
      </c>
      <c r="F324" s="97" t="str">
        <f t="shared" si="22"/>
        <v xml:space="preserve">Lê Huy Minh </v>
      </c>
      <c r="G324" s="100" t="str">
        <f t="shared" si="23"/>
        <v>24151052</v>
      </c>
      <c r="H324" s="100" t="str">
        <f>VLOOKUP(C324,'[1]DM Đề tài SV ký HĐ (thay đổi)'!$B$1:$Q$475,15,0)</f>
        <v xml:space="preserve">24151052@student.hcmute.edu.vn
</v>
      </c>
      <c r="I324" s="107" t="str">
        <f>VLOOKUP(C324,'[1]DM Đề tài SV ký HĐ (thay đổi)'!$B$1:$Q$475,16,0)</f>
        <v xml:space="preserve">0938701206
</v>
      </c>
      <c r="J324" s="97" t="str">
        <f>VLOOKUP(C324,'[2]DM Đề tài SV ký HĐ (thay đổi)'!$B$1:$I$475,8,0)</f>
        <v>Đào tạo tiên tiến</v>
      </c>
      <c r="K324" s="84" t="s">
        <v>1511</v>
      </c>
      <c r="L324" s="84" t="s">
        <v>1509</v>
      </c>
      <c r="M324" s="97" t="str">
        <f>VLOOKUP(C324,'[2]DM Đề tài SV ký HĐ (thay đổi)'!$B$1:$O$475,13,0)</f>
        <v xml:space="preserve">phuongtv@.hcmute.edu.vn </v>
      </c>
      <c r="N324" s="97" t="str">
        <f>VLOOKUP(C324,'[2]DM Đề tài SV ký HĐ (thay đổi)'!$B$1:$M$475,12,0)</f>
        <v>Khoa đào tạo tiên tiến</v>
      </c>
      <c r="O324" s="84" t="s">
        <v>1778</v>
      </c>
      <c r="P324" s="90">
        <v>10000000</v>
      </c>
      <c r="Q324" s="84" t="s">
        <v>1648</v>
      </c>
      <c r="R324" s="84"/>
      <c r="S324" s="84"/>
      <c r="T324" s="101">
        <v>2</v>
      </c>
      <c r="U324" s="103" t="s">
        <v>1827</v>
      </c>
      <c r="V324" s="83"/>
      <c r="W324" s="84"/>
      <c r="X324" s="84"/>
      <c r="Y324" s="84"/>
      <c r="Z324" s="84"/>
      <c r="AA324" s="84"/>
      <c r="AB324" s="84"/>
      <c r="AC324" s="84"/>
      <c r="AD324" s="84"/>
      <c r="AE324" s="84"/>
      <c r="AF324" s="84"/>
      <c r="AG324" s="85"/>
      <c r="AH324" s="96" t="s">
        <v>1818</v>
      </c>
    </row>
    <row r="325" spans="1:34" s="87" customFormat="1" ht="109.2" customHeight="1" x14ac:dyDescent="0.25">
      <c r="A325" s="83">
        <v>466</v>
      </c>
      <c r="B325" s="118" t="str">
        <f t="shared" si="21"/>
        <v>494</v>
      </c>
      <c r="C325" s="84" t="s">
        <v>1062</v>
      </c>
      <c r="D325" s="84" t="s">
        <v>673</v>
      </c>
      <c r="E325" s="84" t="s">
        <v>674</v>
      </c>
      <c r="F325" s="97" t="str">
        <f t="shared" si="22"/>
        <v xml:space="preserve">Nguyễn Thị Thanh Kiều </v>
      </c>
      <c r="G325" s="100" t="str">
        <f t="shared" si="23"/>
        <v>20142222</v>
      </c>
      <c r="H325" s="100" t="str">
        <f>VLOOKUP(C325,'[1]DM Đề tài SV ký HĐ (thay đổi)'!$B$1:$Q$475,15,0)</f>
        <v>20142222@student.hcmute.edu.vn</v>
      </c>
      <c r="I325" s="107">
        <f>VLOOKUP(C325,'[1]DM Đề tài SV ký HĐ (thay đổi)'!$B$1:$Q$475,16,0)</f>
        <v>20142222</v>
      </c>
      <c r="J325" s="97" t="str">
        <f>VLOOKUP(C325,'[2]DM Đề tài SV ký HĐ (thay đổi)'!$B$1:$I$475,8,0)</f>
        <v>Đào tạo tiên tiến</v>
      </c>
      <c r="K325" s="84"/>
      <c r="L325" s="84" t="s">
        <v>343</v>
      </c>
      <c r="M325" s="97" t="str">
        <f>VLOOKUP(C325,'[2]DM Đề tài SV ký HĐ (thay đổi)'!$B$1:$O$475,13,0)</f>
        <v>theph@hcmute.edu.vn</v>
      </c>
      <c r="N325" s="97" t="str">
        <f>VLOOKUP(C325,'[2]DM Đề tài SV ký HĐ (thay đổi)'!$B$1:$M$475,12,0)</f>
        <v>Khoa Điện - Điện tử</v>
      </c>
      <c r="O325" s="84" t="s">
        <v>688</v>
      </c>
      <c r="P325" s="86">
        <v>5000000</v>
      </c>
      <c r="Q325" s="84" t="s">
        <v>1647</v>
      </c>
      <c r="R325" s="84"/>
      <c r="S325" s="84"/>
      <c r="T325" s="103"/>
      <c r="U325" s="103" t="s">
        <v>1787</v>
      </c>
      <c r="V325" s="83"/>
      <c r="W325" s="84"/>
      <c r="X325" s="84"/>
      <c r="Y325" s="84"/>
      <c r="Z325" s="84"/>
      <c r="AA325" s="84"/>
      <c r="AB325" s="84"/>
      <c r="AC325" s="84"/>
      <c r="AD325" s="84"/>
      <c r="AE325" s="84"/>
      <c r="AF325" s="84"/>
      <c r="AG325" s="114" t="s">
        <v>1813</v>
      </c>
      <c r="AH325" s="84"/>
    </row>
    <row r="326" spans="1:34" s="87" customFormat="1" ht="109.2" customHeight="1" x14ac:dyDescent="0.25">
      <c r="A326" s="83">
        <v>467</v>
      </c>
      <c r="B326" s="118" t="str">
        <f t="shared" si="21"/>
        <v>495</v>
      </c>
      <c r="C326" s="84" t="s">
        <v>1063</v>
      </c>
      <c r="D326" s="84" t="s">
        <v>675</v>
      </c>
      <c r="E326" s="84" t="s">
        <v>1308</v>
      </c>
      <c r="F326" s="97" t="str">
        <f t="shared" si="22"/>
        <v xml:space="preserve">Trần Tú Anh </v>
      </c>
      <c r="G326" s="100" t="str">
        <f t="shared" si="23"/>
        <v>22145004</v>
      </c>
      <c r="H326" s="100" t="str">
        <f>VLOOKUP(C326,'[1]DM Đề tài SV ký HĐ (thay đổi)'!$B$1:$Q$475,15,0)</f>
        <v>22145004@student.hcmute.edu.vn</v>
      </c>
      <c r="I326" s="107">
        <f>VLOOKUP(C326,'[1]DM Đề tài SV ký HĐ (thay đổi)'!$B$1:$Q$475,16,0)</f>
        <v>327927937</v>
      </c>
      <c r="J326" s="97" t="str">
        <f>VLOOKUP(C326,'[2]DM Đề tài SV ký HĐ (thay đổi)'!$B$1:$I$475,8,0)</f>
        <v>Đào tạo tiên tiến</v>
      </c>
      <c r="K326" s="84" t="s">
        <v>1310</v>
      </c>
      <c r="L326" s="96" t="s">
        <v>711</v>
      </c>
      <c r="M326" s="97" t="str">
        <f>VLOOKUP(C326,'[2]DM Đề tài SV ký HĐ (thay đổi)'!$B$1:$O$475,13,0)</f>
        <v>tungdt@hcmute.edu.vn</v>
      </c>
      <c r="N326" s="97" t="s">
        <v>1179</v>
      </c>
      <c r="O326" s="84" t="s">
        <v>692</v>
      </c>
      <c r="P326" s="90">
        <v>10000000</v>
      </c>
      <c r="Q326" s="84" t="s">
        <v>1648</v>
      </c>
      <c r="R326" s="84"/>
      <c r="S326" s="84"/>
      <c r="T326" s="105">
        <v>2</v>
      </c>
      <c r="U326" s="115" t="s">
        <v>1787</v>
      </c>
      <c r="V326" s="96"/>
      <c r="W326" s="96" t="s">
        <v>1798</v>
      </c>
      <c r="X326" s="84"/>
      <c r="Y326" s="84"/>
      <c r="Z326" s="84"/>
      <c r="AA326" s="84"/>
      <c r="AB326" s="84"/>
      <c r="AC326" s="84"/>
      <c r="AD326" s="84"/>
      <c r="AE326" s="84"/>
      <c r="AF326" s="84"/>
      <c r="AG326" s="114" t="s">
        <v>1813</v>
      </c>
      <c r="AH326" s="84"/>
    </row>
    <row r="327" spans="1:34" s="87" customFormat="1" ht="109.2" customHeight="1" x14ac:dyDescent="0.25">
      <c r="A327" s="83">
        <v>468</v>
      </c>
      <c r="B327" s="118" t="str">
        <f t="shared" si="21"/>
        <v>496</v>
      </c>
      <c r="C327" s="84" t="s">
        <v>1064</v>
      </c>
      <c r="D327" s="84" t="s">
        <v>676</v>
      </c>
      <c r="E327" s="84" t="s">
        <v>1307</v>
      </c>
      <c r="F327" s="97" t="str">
        <f t="shared" si="22"/>
        <v xml:space="preserve">Huỳnh Quốc Bảo </v>
      </c>
      <c r="G327" s="100" t="str">
        <f t="shared" si="23"/>
        <v>22145006</v>
      </c>
      <c r="H327" s="100" t="str">
        <f>VLOOKUP(C327,'[1]DM Đề tài SV ký HĐ (thay đổi)'!$B$1:$Q$475,15,0)</f>
        <v>22145006@student.hcmute.edu.vn</v>
      </c>
      <c r="I327" s="107">
        <f>VLOOKUP(C327,'[1]DM Đề tài SV ký HĐ (thay đổi)'!$B$1:$Q$475,16,0)</f>
        <v>937990333</v>
      </c>
      <c r="J327" s="97" t="str">
        <f>VLOOKUP(C327,'[2]DM Đề tài SV ký HĐ (thay đổi)'!$B$1:$I$475,8,0)</f>
        <v>Đào tạo tiên tiến</v>
      </c>
      <c r="K327" s="84" t="s">
        <v>1306</v>
      </c>
      <c r="L327" s="84" t="s">
        <v>703</v>
      </c>
      <c r="M327" s="97" t="str">
        <f>VLOOKUP(C327,'[2]DM Đề tài SV ký HĐ (thay đổi)'!$B$1:$O$475,13,0)</f>
        <v>tungdt@hcmute.edu.vn
thanhnq@hcmute.edu.vn</v>
      </c>
      <c r="N327" s="97" t="str">
        <f>VLOOKUP(C327,'[2]DM Đề tài SV ký HĐ (thay đổi)'!$B$1:$M$475,12,0)</f>
        <v>Khoa Đào tạo tiên tiến</v>
      </c>
      <c r="O327" s="84" t="s">
        <v>1678</v>
      </c>
      <c r="P327" s="90">
        <v>5000000</v>
      </c>
      <c r="Q327" s="84" t="s">
        <v>1647</v>
      </c>
      <c r="R327" s="84"/>
      <c r="S327" s="84"/>
      <c r="T327" s="101">
        <v>2</v>
      </c>
      <c r="U327" s="103" t="s">
        <v>1787</v>
      </c>
      <c r="V327" s="83"/>
      <c r="W327" s="84"/>
      <c r="X327" s="84"/>
      <c r="Y327" s="84"/>
      <c r="Z327" s="84"/>
      <c r="AA327" s="84"/>
      <c r="AB327" s="84"/>
      <c r="AC327" s="84"/>
      <c r="AD327" s="84"/>
      <c r="AE327" s="84"/>
      <c r="AF327" s="84"/>
      <c r="AG327" s="114" t="s">
        <v>1813</v>
      </c>
      <c r="AH327" s="84"/>
    </row>
    <row r="328" spans="1:34" s="87" customFormat="1" ht="109.2" customHeight="1" x14ac:dyDescent="0.25">
      <c r="A328" s="83">
        <v>469</v>
      </c>
      <c r="B328" s="83" t="str">
        <f t="shared" si="21"/>
        <v>497</v>
      </c>
      <c r="C328" s="84" t="s">
        <v>1065</v>
      </c>
      <c r="D328" s="84" t="s">
        <v>1748</v>
      </c>
      <c r="E328" s="84" t="s">
        <v>1642</v>
      </c>
      <c r="F328" s="97" t="str">
        <f t="shared" si="22"/>
        <v xml:space="preserve">Đoàn Minh Tuyển </v>
      </c>
      <c r="G328" s="100" t="str">
        <f t="shared" si="23"/>
        <v>22145084</v>
      </c>
      <c r="H328" s="100" t="str">
        <f>VLOOKUP(C328,'[1]DM Đề tài SV ký HĐ (thay đổi)'!$B$1:$Q$475,15,0)</f>
        <v>22145084@student.hcmute.edu.vn</v>
      </c>
      <c r="I328" s="107" t="str">
        <f>VLOOKUP(C328,'[1]DM Đề tài SV ký HĐ (thay đổi)'!$B$1:$Q$475,16,0)</f>
        <v>0396040367</v>
      </c>
      <c r="J328" s="97" t="str">
        <f>VLOOKUP(C328,'[2]DM Đề tài SV ký HĐ (thay đổi)'!$B$1:$I$475,8,0)</f>
        <v>Đào tạo tiên tiến</v>
      </c>
      <c r="K328" s="84" t="s">
        <v>1309</v>
      </c>
      <c r="L328" s="84" t="s">
        <v>704</v>
      </c>
      <c r="M328" s="97" t="str">
        <f>VLOOKUP(C328,'[2]DM Đề tài SV ký HĐ (thay đổi)'!$B$1:$O$475,13,0)</f>
        <v>tungdt@hcmute.edu.vn</v>
      </c>
      <c r="N328" s="97" t="str">
        <f>VLOOKUP(C328,'[2]DM Đề tài SV ký HĐ (thay đổi)'!$B$1:$M$475,12,0)</f>
        <v>Khoa Đào tạo tiên tiến</v>
      </c>
      <c r="O328" s="84" t="s">
        <v>693</v>
      </c>
      <c r="P328" s="90">
        <v>10000000</v>
      </c>
      <c r="Q328" s="84" t="s">
        <v>1648</v>
      </c>
      <c r="R328" s="84"/>
      <c r="S328" s="84"/>
      <c r="T328" s="101">
        <v>2</v>
      </c>
      <c r="U328" s="103" t="s">
        <v>1827</v>
      </c>
      <c r="V328" s="83"/>
      <c r="W328" s="84"/>
      <c r="X328" s="84"/>
      <c r="Y328" s="84"/>
      <c r="Z328" s="84"/>
      <c r="AA328" s="84"/>
      <c r="AB328" s="84"/>
      <c r="AC328" s="84"/>
      <c r="AD328" s="84"/>
      <c r="AE328" s="84"/>
      <c r="AF328" s="84"/>
      <c r="AG328" s="85"/>
      <c r="AH328" s="96" t="s">
        <v>1818</v>
      </c>
    </row>
    <row r="329" spans="1:34" s="87" customFormat="1" ht="109.2" customHeight="1" x14ac:dyDescent="0.25">
      <c r="A329" s="83">
        <v>470</v>
      </c>
      <c r="B329" s="83" t="str">
        <f t="shared" si="21"/>
        <v>498</v>
      </c>
      <c r="C329" s="84" t="s">
        <v>1066</v>
      </c>
      <c r="D329" s="84" t="s">
        <v>677</v>
      </c>
      <c r="E329" s="84" t="s">
        <v>1643</v>
      </c>
      <c r="F329" s="97" t="str">
        <f t="shared" si="22"/>
        <v xml:space="preserve">Ngô Tuấn Anh </v>
      </c>
      <c r="G329" s="100" t="str">
        <f t="shared" si="23"/>
        <v>23142003</v>
      </c>
      <c r="H329" s="100" t="str">
        <f>VLOOKUP(C329,'[1]DM Đề tài SV ký HĐ (thay đổi)'!$B$1:$Q$475,15,0)</f>
        <v>23142003@student.hcmute.edu.vn</v>
      </c>
      <c r="I329" s="107">
        <f>VLOOKUP(C329,'[1]DM Đề tài SV ký HĐ (thay đổi)'!$B$1:$Q$475,16,0)</f>
        <v>356393223</v>
      </c>
      <c r="J329" s="97" t="str">
        <f>VLOOKUP(C329,'[2]DM Đề tài SV ký HĐ (thay đổi)'!$B$1:$I$475,8,0)</f>
        <v>Đào tạo tiên tiến</v>
      </c>
      <c r="K329" s="84" t="s">
        <v>1687</v>
      </c>
      <c r="L329" s="84" t="s">
        <v>698</v>
      </c>
      <c r="M329" s="97" t="str">
        <f>VLOOKUP(C329,'[2]DM Đề tài SV ký HĐ (thay đổi)'!$B$1:$O$475,13,0)</f>
        <v>phuongtv@hcmute.edu.vn</v>
      </c>
      <c r="N329" s="97" t="str">
        <f>VLOOKUP(C329,'[2]DM Đề tài SV ký HĐ (thay đổi)'!$B$1:$M$475,12,0)</f>
        <v>Khoa Đào tạo tiên tiến</v>
      </c>
      <c r="O329" s="84" t="s">
        <v>688</v>
      </c>
      <c r="P329" s="86">
        <v>5000000</v>
      </c>
      <c r="Q329" s="84" t="s">
        <v>1647</v>
      </c>
      <c r="R329" s="84"/>
      <c r="S329" s="84"/>
      <c r="T329" s="101">
        <v>2</v>
      </c>
      <c r="U329" s="101" t="s">
        <v>1827</v>
      </c>
      <c r="V329" s="83"/>
      <c r="W329" s="84"/>
      <c r="X329" s="84"/>
      <c r="Y329" s="84"/>
      <c r="Z329" s="84"/>
      <c r="AA329" s="84"/>
      <c r="AB329" s="84"/>
      <c r="AC329" s="84"/>
      <c r="AD329" s="84"/>
      <c r="AE329" s="84"/>
      <c r="AF329" s="84"/>
      <c r="AG329" s="85"/>
      <c r="AH329" s="96" t="s">
        <v>1818</v>
      </c>
    </row>
    <row r="330" spans="1:34" s="87" customFormat="1" ht="109.2" customHeight="1" x14ac:dyDescent="0.25">
      <c r="A330" s="83">
        <v>471</v>
      </c>
      <c r="B330" s="118" t="str">
        <f t="shared" si="21"/>
        <v>499</v>
      </c>
      <c r="C330" s="84" t="s">
        <v>1067</v>
      </c>
      <c r="D330" s="84" t="s">
        <v>1745</v>
      </c>
      <c r="E330" s="84" t="s">
        <v>1305</v>
      </c>
      <c r="F330" s="97" t="str">
        <f t="shared" si="22"/>
        <v xml:space="preserve">Hoàng Vũ Hà </v>
      </c>
      <c r="G330" s="100" t="str">
        <f t="shared" si="23"/>
        <v>22145021</v>
      </c>
      <c r="H330" s="100" t="str">
        <f>VLOOKUP(C330,'[1]DM Đề tài SV ký HĐ (thay đổi)'!$B$1:$Q$475,15,0)</f>
        <v>22145021@student.hcmute.edu.vn</v>
      </c>
      <c r="I330" s="107">
        <f>VLOOKUP(C330,'[1]DM Đề tài SV ký HĐ (thay đổi)'!$B$1:$Q$475,16,0)</f>
        <v>775716322</v>
      </c>
      <c r="J330" s="97" t="str">
        <f>VLOOKUP(C330,'[2]DM Đề tài SV ký HĐ (thay đổi)'!$B$1:$I$475,8,0)</f>
        <v>Đào tạo tiên tiến</v>
      </c>
      <c r="K330" s="84"/>
      <c r="L330" s="96" t="s">
        <v>1512</v>
      </c>
      <c r="M330" s="97" t="str">
        <f>VLOOKUP(C330,'[2]DM Đề tài SV ký HĐ (thay đổi)'!$B$1:$O$475,13,0)</f>
        <v>dodzung@hcmute.edu.vn</v>
      </c>
      <c r="N330" s="98" t="s">
        <v>1179</v>
      </c>
      <c r="O330" s="84" t="s">
        <v>1517</v>
      </c>
      <c r="P330" s="86">
        <v>10000000</v>
      </c>
      <c r="Q330" s="84" t="s">
        <v>1648</v>
      </c>
      <c r="R330" s="84"/>
      <c r="S330" s="84"/>
      <c r="T330" s="101">
        <v>2</v>
      </c>
      <c r="U330" s="101" t="s">
        <v>1787</v>
      </c>
      <c r="V330" s="83"/>
      <c r="W330" s="84"/>
      <c r="X330" s="84"/>
      <c r="Y330" s="84"/>
      <c r="Z330" s="84"/>
      <c r="AA330" s="84"/>
      <c r="AB330" s="84"/>
      <c r="AC330" s="84"/>
      <c r="AD330" s="84"/>
      <c r="AE330" s="84"/>
      <c r="AF330" s="84"/>
      <c r="AG330" s="113" t="s">
        <v>1815</v>
      </c>
      <c r="AH330" s="84"/>
    </row>
    <row r="331" spans="1:34" s="87" customFormat="1" ht="109.2" customHeight="1" x14ac:dyDescent="0.25">
      <c r="A331" s="83">
        <v>472</v>
      </c>
      <c r="B331" s="118" t="str">
        <f t="shared" si="21"/>
        <v>500</v>
      </c>
      <c r="C331" s="84" t="s">
        <v>1068</v>
      </c>
      <c r="D331" s="84" t="s">
        <v>678</v>
      </c>
      <c r="E331" s="84" t="s">
        <v>1304</v>
      </c>
      <c r="F331" s="97" t="str">
        <f t="shared" si="22"/>
        <v xml:space="preserve">Danh Quang Huy </v>
      </c>
      <c r="G331" s="100" t="str">
        <f>RIGHT(E331,9)</f>
        <v>23KT14211</v>
      </c>
      <c r="H331" s="100" t="str">
        <f>VLOOKUP(C331,'[1]DM Đề tài SV ký HĐ (thay đổi)'!$B$1:$Q$475,15,0)</f>
        <v>23KT14211@student.hcmute.edu.vn</v>
      </c>
      <c r="I331" s="107">
        <f>VLOOKUP(C331,'[1]DM Đề tài SV ký HĐ (thay đổi)'!$B$1:$Q$475,16,0)</f>
        <v>325851419</v>
      </c>
      <c r="J331" s="97" t="str">
        <f>VLOOKUP(C331,'[2]DM Đề tài SV ký HĐ (thay đổi)'!$B$1:$I$475,8,0)</f>
        <v>Đào tạo tiên tiến</v>
      </c>
      <c r="K331" s="84"/>
      <c r="L331" s="84" t="s">
        <v>695</v>
      </c>
      <c r="M331" s="97" t="str">
        <f>VLOOKUP(C331,'[2]DM Đề tài SV ký HĐ (thay đổi)'!$B$1:$O$475,13,0)</f>
        <v>tridd@hcmute.edu.vn</v>
      </c>
      <c r="N331" s="97" t="str">
        <f>VLOOKUP(C331,'[2]DM Đề tài SV ký HĐ (thay đổi)'!$B$1:$M$475,12,0)</f>
        <v>Khoa Điện - Điện tử</v>
      </c>
      <c r="O331" s="84" t="s">
        <v>1779</v>
      </c>
      <c r="P331" s="86">
        <v>15000000</v>
      </c>
      <c r="Q331" s="85" t="s">
        <v>1649</v>
      </c>
      <c r="R331" s="85"/>
      <c r="S331" s="85"/>
      <c r="T331" s="101">
        <v>2</v>
      </c>
      <c r="U331" s="101" t="s">
        <v>1787</v>
      </c>
      <c r="V331" s="83"/>
      <c r="W331" s="84"/>
      <c r="X331" s="84"/>
      <c r="Y331" s="84"/>
      <c r="Z331" s="84"/>
      <c r="AA331" s="84"/>
      <c r="AB331" s="84"/>
      <c r="AC331" s="84"/>
      <c r="AD331" s="84"/>
      <c r="AE331" s="84"/>
      <c r="AF331" s="84"/>
      <c r="AG331" s="114" t="s">
        <v>1813</v>
      </c>
      <c r="AH331" s="84"/>
    </row>
    <row r="332" spans="1:34" s="87" customFormat="1" ht="109.2" customHeight="1" x14ac:dyDescent="0.25">
      <c r="A332" s="83">
        <v>473</v>
      </c>
      <c r="B332" s="118" t="str">
        <f t="shared" si="21"/>
        <v>501</v>
      </c>
      <c r="C332" s="84" t="s">
        <v>1069</v>
      </c>
      <c r="D332" s="84" t="s">
        <v>679</v>
      </c>
      <c r="E332" s="84" t="s">
        <v>1303</v>
      </c>
      <c r="F332" s="97" t="str">
        <f t="shared" si="22"/>
        <v xml:space="preserve">Nguyễn Phi Long </v>
      </c>
      <c r="G332" s="100" t="str">
        <f t="shared" si="23"/>
        <v>23110037</v>
      </c>
      <c r="H332" s="100" t="str">
        <f>VLOOKUP(C332,'[1]DM Đề tài SV ký HĐ (thay đổi)'!$B$1:$Q$475,15,0)</f>
        <v>23110037@student.hcmute.edu.vn</v>
      </c>
      <c r="I332" s="107">
        <f>VLOOKUP(C332,'[1]DM Đề tài SV ký HĐ (thay đổi)'!$B$1:$Q$475,16,0)</f>
        <v>363300905</v>
      </c>
      <c r="J332" s="97" t="str">
        <f>VLOOKUP(C332,'[2]DM Đề tài SV ký HĐ (thay đổi)'!$B$1:$I$475,8,0)</f>
        <v>Đào tạo tiên tiến</v>
      </c>
      <c r="K332" s="84" t="s">
        <v>1302</v>
      </c>
      <c r="L332" s="84" t="s">
        <v>137</v>
      </c>
      <c r="M332" s="97" t="str">
        <f>VLOOKUP(C332,'[2]DM Đề tài SV ký HĐ (thay đổi)'!$B$1:$O$475,13,0)</f>
        <v>tuannt@hcmute.edu.vn</v>
      </c>
      <c r="N332" s="97" t="str">
        <f>VLOOKUP(C332,'[2]DM Đề tài SV ký HĐ (thay đổi)'!$B$1:$M$475,12,0)</f>
        <v>Khoa CNTT</v>
      </c>
      <c r="O332" s="84" t="s">
        <v>1500</v>
      </c>
      <c r="P332" s="86">
        <v>5000000</v>
      </c>
      <c r="Q332" s="84" t="s">
        <v>1647</v>
      </c>
      <c r="R332" s="84"/>
      <c r="S332" s="84"/>
      <c r="T332" s="103">
        <v>2</v>
      </c>
      <c r="U332" s="103" t="s">
        <v>1787</v>
      </c>
      <c r="V332" s="83"/>
      <c r="W332" s="84"/>
      <c r="X332" s="84"/>
      <c r="Y332" s="84"/>
      <c r="Z332" s="84"/>
      <c r="AA332" s="84"/>
      <c r="AB332" s="84"/>
      <c r="AC332" s="84"/>
      <c r="AD332" s="84"/>
      <c r="AE332" s="84"/>
      <c r="AF332" s="84"/>
      <c r="AG332" s="114" t="s">
        <v>1813</v>
      </c>
      <c r="AH332" s="84"/>
    </row>
    <row r="333" spans="1:34" s="87" customFormat="1" ht="109.2" customHeight="1" x14ac:dyDescent="0.25">
      <c r="A333" s="83">
        <v>474</v>
      </c>
      <c r="B333" s="118" t="str">
        <f t="shared" si="21"/>
        <v>502</v>
      </c>
      <c r="C333" s="84" t="s">
        <v>1070</v>
      </c>
      <c r="D333" s="84" t="s">
        <v>680</v>
      </c>
      <c r="E333" s="84" t="s">
        <v>1301</v>
      </c>
      <c r="F333" s="97" t="str">
        <f t="shared" si="22"/>
        <v xml:space="preserve">Cao Viết Khoa </v>
      </c>
      <c r="G333" s="100" t="str">
        <f t="shared" si="23"/>
        <v>24143102</v>
      </c>
      <c r="H333" s="100" t="str">
        <f>VLOOKUP(C333,'[1]DM Đề tài SV ký HĐ (thay đổi)'!$B$1:$Q$475,15,0)</f>
        <v>24143102@student.hcmute.edu.vn</v>
      </c>
      <c r="I333" s="107">
        <f>VLOOKUP(C333,'[1]DM Đề tài SV ký HĐ (thay đổi)'!$B$1:$Q$475,16,0)</f>
        <v>976903672</v>
      </c>
      <c r="J333" s="97" t="str">
        <f>VLOOKUP(C333,'[2]DM Đề tài SV ký HĐ (thay đổi)'!$B$1:$I$475,8,0)</f>
        <v>Đào tạo tiên tiến</v>
      </c>
      <c r="K333" s="84" t="s">
        <v>1674</v>
      </c>
      <c r="L333" s="84" t="s">
        <v>241</v>
      </c>
      <c r="M333" s="97" t="str">
        <f>VLOOKUP(C333,'[2]DM Đề tài SV ký HĐ (thay đổi)'!$B$1:$O$475,13,0)</f>
        <v>tienvx@hcmute.edu.vn</v>
      </c>
      <c r="N333" s="97" t="str">
        <f>VLOOKUP(C333,'[2]DM Đề tài SV ký HĐ (thay đổi)'!$B$1:$M$475,12,0)</f>
        <v>Khoa CKM</v>
      </c>
      <c r="O333" s="84" t="s">
        <v>1594</v>
      </c>
      <c r="P333" s="86">
        <v>5000000</v>
      </c>
      <c r="Q333" s="84" t="s">
        <v>1647</v>
      </c>
      <c r="R333" s="84"/>
      <c r="S333" s="84"/>
      <c r="T333" s="101">
        <v>2</v>
      </c>
      <c r="U333" s="101" t="s">
        <v>1787</v>
      </c>
      <c r="V333" s="83"/>
      <c r="W333" s="84"/>
      <c r="X333" s="84"/>
      <c r="Y333" s="84"/>
      <c r="Z333" s="84"/>
      <c r="AA333" s="84"/>
      <c r="AB333" s="84"/>
      <c r="AC333" s="84"/>
      <c r="AD333" s="84"/>
      <c r="AE333" s="84"/>
      <c r="AF333" s="84"/>
      <c r="AG333" s="114" t="s">
        <v>1813</v>
      </c>
      <c r="AH333" s="84"/>
    </row>
    <row r="334" spans="1:34" ht="109.2" customHeight="1" x14ac:dyDescent="0.25">
      <c r="A334" s="122"/>
      <c r="B334" s="122"/>
      <c r="C334" s="122"/>
      <c r="D334" s="122"/>
      <c r="E334" s="122"/>
      <c r="F334" s="122"/>
      <c r="G334" s="122"/>
      <c r="H334" s="122"/>
      <c r="I334" s="122"/>
      <c r="J334" s="122"/>
      <c r="K334" s="122"/>
      <c r="P334" s="94"/>
    </row>
  </sheetData>
  <autoFilter ref="A1:AH333"/>
  <mergeCells count="1">
    <mergeCell ref="A334:K334"/>
  </mergeCells>
  <conditionalFormatting sqref="E7:E8">
    <cfRule type="duplicateValues" dxfId="9" priority="6"/>
  </conditionalFormatting>
  <conditionalFormatting sqref="K44">
    <cfRule type="duplicateValues" dxfId="8" priority="9"/>
  </conditionalFormatting>
  <conditionalFormatting sqref="K63">
    <cfRule type="duplicateValues" dxfId="7" priority="11"/>
  </conditionalFormatting>
  <conditionalFormatting sqref="K77">
    <cfRule type="duplicateValues" dxfId="6" priority="10"/>
  </conditionalFormatting>
  <conditionalFormatting sqref="K209">
    <cfRule type="duplicateValues" dxfId="5" priority="7"/>
  </conditionalFormatting>
  <conditionalFormatting sqref="E1:I1">
    <cfRule type="duplicateValues" dxfId="4" priority="5"/>
  </conditionalFormatting>
  <conditionalFormatting sqref="N22:N333 N2:N20">
    <cfRule type="duplicateValues" dxfId="3" priority="2046"/>
  </conditionalFormatting>
  <conditionalFormatting sqref="E9:E333 J1:J333 E2:F4 E5:E6 F5:F333">
    <cfRule type="duplicateValues" dxfId="2" priority="2049"/>
  </conditionalFormatting>
  <conditionalFormatting sqref="G2:I333">
    <cfRule type="duplicateValues" dxfId="1" priority="2057"/>
  </conditionalFormatting>
  <conditionalFormatting sqref="M2:M333">
    <cfRule type="duplicateValues" dxfId="0" priority="2059"/>
  </conditionalFormatting>
  <hyperlinks>
    <hyperlink ref="H144" r:id="rId1"/>
    <hyperlink ref="H322" r:id="rId2"/>
  </hyperlinks>
  <pageMargins left="0.36" right="0.24" top="0.26" bottom="0.23" header="0.22" footer="0.21"/>
  <pageSetup paperSize="9" fitToWidth="0" orientation="landscape"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opLeftCell="A25" workbookViewId="0">
      <selection activeCell="A26" sqref="A26:I27"/>
    </sheetView>
  </sheetViews>
  <sheetFormatPr defaultColWidth="12.44140625" defaultRowHeight="15.6" x14ac:dyDescent="0.3"/>
  <cols>
    <col min="1" max="1" width="5.6640625" style="13" customWidth="1"/>
    <col min="2" max="2" width="25.109375" style="8" customWidth="1"/>
    <col min="3" max="3" width="17.109375" style="8" customWidth="1"/>
    <col min="4" max="4" width="24.44140625" style="8" customWidth="1"/>
    <col min="5" max="5" width="11.109375" style="8" customWidth="1"/>
    <col min="6" max="6" width="16.6640625" style="8" customWidth="1"/>
    <col min="7" max="7" width="40.44140625" style="8" customWidth="1"/>
    <col min="8" max="8" width="35.109375" style="8" customWidth="1"/>
    <col min="9" max="9" width="12.77734375" style="13" customWidth="1"/>
    <col min="10" max="10" width="6.44140625" style="13" customWidth="1"/>
    <col min="11" max="16384" width="12.44140625" style="13"/>
  </cols>
  <sheetData>
    <row r="1" spans="1:26" ht="18" customHeight="1" x14ac:dyDescent="0.3">
      <c r="A1" s="138" t="s">
        <v>0</v>
      </c>
      <c r="B1" s="133"/>
      <c r="C1" s="133"/>
      <c r="D1" s="9"/>
      <c r="E1" s="9"/>
      <c r="F1" s="9"/>
      <c r="G1" s="10"/>
      <c r="H1" s="139" t="s">
        <v>1</v>
      </c>
      <c r="I1" s="133"/>
      <c r="J1" s="133"/>
      <c r="O1" s="13" t="s">
        <v>11</v>
      </c>
    </row>
    <row r="2" spans="1:26" ht="18" customHeight="1" x14ac:dyDescent="0.3">
      <c r="A2" s="138" t="s">
        <v>2</v>
      </c>
      <c r="B2" s="133"/>
      <c r="C2" s="133"/>
      <c r="D2" s="9"/>
      <c r="E2" s="9"/>
      <c r="F2" s="9"/>
      <c r="G2" s="10"/>
      <c r="H2" s="140" t="s">
        <v>3</v>
      </c>
      <c r="I2" s="133"/>
      <c r="J2" s="133"/>
    </row>
    <row r="3" spans="1:26" ht="18" customHeight="1" x14ac:dyDescent="0.3">
      <c r="A3" s="141" t="s">
        <v>4</v>
      </c>
      <c r="B3" s="133"/>
      <c r="C3" s="133"/>
      <c r="D3" s="9"/>
      <c r="E3" s="9"/>
      <c r="F3" s="9"/>
      <c r="G3" s="10"/>
      <c r="H3" s="10"/>
      <c r="I3" s="11"/>
      <c r="J3" s="12"/>
    </row>
    <row r="4" spans="1:26" ht="15.75" customHeight="1" x14ac:dyDescent="0.3">
      <c r="A4" s="6"/>
      <c r="B4" s="7"/>
      <c r="D4" s="9"/>
      <c r="E4" s="9"/>
      <c r="F4" s="9"/>
      <c r="G4" s="10"/>
      <c r="H4" s="10"/>
      <c r="I4" s="11"/>
      <c r="J4" s="12"/>
    </row>
    <row r="5" spans="1:26" ht="30.75" customHeight="1" x14ac:dyDescent="0.35">
      <c r="A5" s="136" t="s">
        <v>12</v>
      </c>
      <c r="B5" s="137"/>
      <c r="C5" s="137"/>
      <c r="D5" s="137"/>
      <c r="E5" s="137"/>
      <c r="F5" s="137"/>
      <c r="G5" s="137"/>
      <c r="H5" s="137"/>
      <c r="I5" s="137"/>
      <c r="J5" s="137"/>
    </row>
    <row r="6" spans="1:26" ht="15.75" customHeight="1" x14ac:dyDescent="0.3">
      <c r="A6" s="14"/>
      <c r="B6" s="15"/>
      <c r="C6" s="16"/>
      <c r="D6" s="16"/>
      <c r="E6" s="16"/>
      <c r="F6" s="16"/>
      <c r="G6" s="16"/>
      <c r="H6" s="16"/>
      <c r="I6" s="17"/>
      <c r="J6" s="18"/>
    </row>
    <row r="7" spans="1:26" ht="31.2" x14ac:dyDescent="0.3">
      <c r="A7" s="19" t="s">
        <v>5</v>
      </c>
      <c r="B7" s="20" t="s">
        <v>6</v>
      </c>
      <c r="C7" s="20" t="s">
        <v>13</v>
      </c>
      <c r="D7" s="20" t="s">
        <v>14</v>
      </c>
      <c r="E7" s="21" t="s">
        <v>15</v>
      </c>
      <c r="F7" s="20" t="s">
        <v>16</v>
      </c>
      <c r="G7" s="20" t="s">
        <v>7</v>
      </c>
      <c r="H7" s="20" t="s">
        <v>17</v>
      </c>
      <c r="I7" s="22" t="s">
        <v>8</v>
      </c>
      <c r="J7" s="20" t="s">
        <v>9</v>
      </c>
      <c r="K7" s="23"/>
      <c r="L7" s="23"/>
      <c r="M7" s="23"/>
      <c r="N7" s="23"/>
      <c r="O7" s="23"/>
      <c r="P7" s="23"/>
      <c r="Q7" s="23"/>
      <c r="R7" s="23"/>
      <c r="S7" s="23"/>
      <c r="T7" s="23"/>
      <c r="U7" s="23"/>
      <c r="V7" s="23"/>
      <c r="W7" s="23"/>
      <c r="X7" s="23"/>
      <c r="Y7" s="23"/>
      <c r="Z7" s="23"/>
    </row>
    <row r="8" spans="1:26" ht="26.25" customHeight="1" x14ac:dyDescent="0.3">
      <c r="A8" s="126" t="s">
        <v>18</v>
      </c>
      <c r="B8" s="127"/>
      <c r="C8" s="127"/>
      <c r="D8" s="127"/>
      <c r="E8" s="127"/>
      <c r="F8" s="127"/>
      <c r="G8" s="127"/>
      <c r="H8" s="128"/>
      <c r="I8" s="24"/>
      <c r="J8" s="25"/>
    </row>
    <row r="9" spans="1:26" ht="138" customHeight="1" x14ac:dyDescent="0.3">
      <c r="A9" s="26">
        <v>1</v>
      </c>
      <c r="B9" s="27" t="s">
        <v>19</v>
      </c>
      <c r="C9" s="27" t="s">
        <v>20</v>
      </c>
      <c r="D9" s="28" t="s">
        <v>21</v>
      </c>
      <c r="E9" s="28" t="s">
        <v>22</v>
      </c>
      <c r="F9" s="28" t="s">
        <v>23</v>
      </c>
      <c r="G9" s="29" t="s">
        <v>24</v>
      </c>
      <c r="H9" s="30" t="s">
        <v>25</v>
      </c>
      <c r="I9" s="31">
        <v>15000000</v>
      </c>
      <c r="J9" s="26"/>
      <c r="K9" s="32"/>
      <c r="L9" s="32"/>
      <c r="M9" s="32"/>
      <c r="N9" s="32"/>
      <c r="O9" s="32"/>
      <c r="P9" s="32"/>
      <c r="Q9" s="32"/>
      <c r="R9" s="32"/>
      <c r="S9" s="32"/>
      <c r="T9" s="32"/>
      <c r="U9" s="32"/>
      <c r="V9" s="32"/>
      <c r="W9" s="32"/>
      <c r="X9" s="32"/>
      <c r="Y9" s="32"/>
      <c r="Z9" s="32"/>
    </row>
    <row r="10" spans="1:26" ht="87.75" customHeight="1" x14ac:dyDescent="0.3">
      <c r="A10" s="26">
        <v>2</v>
      </c>
      <c r="B10" s="29" t="s">
        <v>26</v>
      </c>
      <c r="C10" s="29" t="s">
        <v>27</v>
      </c>
      <c r="D10" s="28" t="s">
        <v>28</v>
      </c>
      <c r="E10" s="28" t="s">
        <v>22</v>
      </c>
      <c r="F10" s="28" t="s">
        <v>29</v>
      </c>
      <c r="G10" s="28" t="s">
        <v>30</v>
      </c>
      <c r="H10" s="30" t="s">
        <v>25</v>
      </c>
      <c r="I10" s="31">
        <v>15000000</v>
      </c>
      <c r="J10" s="28"/>
      <c r="K10" s="32"/>
      <c r="L10" s="32"/>
      <c r="M10" s="32"/>
      <c r="N10" s="32"/>
      <c r="O10" s="32"/>
      <c r="P10" s="32"/>
      <c r="Q10" s="32"/>
      <c r="R10" s="32"/>
      <c r="S10" s="32"/>
      <c r="T10" s="32"/>
      <c r="U10" s="32"/>
      <c r="V10" s="32"/>
      <c r="W10" s="32"/>
      <c r="X10" s="32"/>
      <c r="Y10" s="32"/>
      <c r="Z10" s="32"/>
    </row>
    <row r="11" spans="1:26" ht="138" customHeight="1" x14ac:dyDescent="0.3">
      <c r="A11" s="26">
        <v>3</v>
      </c>
      <c r="B11" s="29" t="s">
        <v>31</v>
      </c>
      <c r="C11" s="29" t="s">
        <v>32</v>
      </c>
      <c r="D11" s="28" t="s">
        <v>33</v>
      </c>
      <c r="E11" s="28" t="s">
        <v>34</v>
      </c>
      <c r="F11" s="28" t="s">
        <v>23</v>
      </c>
      <c r="G11" s="29" t="s">
        <v>35</v>
      </c>
      <c r="H11" s="30" t="s">
        <v>25</v>
      </c>
      <c r="I11" s="31">
        <v>15000000</v>
      </c>
      <c r="J11" s="26"/>
      <c r="K11" s="32"/>
      <c r="L11" s="32"/>
      <c r="M11" s="32"/>
      <c r="N11" s="32"/>
      <c r="O11" s="32"/>
      <c r="P11" s="32"/>
      <c r="Q11" s="32"/>
      <c r="R11" s="32"/>
      <c r="S11" s="32"/>
      <c r="T11" s="32"/>
      <c r="U11" s="32"/>
      <c r="V11" s="32"/>
      <c r="W11" s="32"/>
      <c r="X11" s="32"/>
      <c r="Y11" s="32"/>
      <c r="Z11" s="32"/>
    </row>
    <row r="12" spans="1:26" ht="132.75" customHeight="1" x14ac:dyDescent="0.3">
      <c r="A12" s="26">
        <v>4</v>
      </c>
      <c r="B12" s="27" t="s">
        <v>36</v>
      </c>
      <c r="C12" s="1" t="s">
        <v>37</v>
      </c>
      <c r="D12" s="1" t="s">
        <v>38</v>
      </c>
      <c r="E12" s="1" t="s">
        <v>39</v>
      </c>
      <c r="F12" s="1" t="s">
        <v>40</v>
      </c>
      <c r="G12" s="1" t="s">
        <v>41</v>
      </c>
      <c r="H12" s="33" t="s">
        <v>25</v>
      </c>
      <c r="I12" s="31">
        <v>15000000</v>
      </c>
      <c r="J12" s="28"/>
      <c r="K12" s="32"/>
      <c r="L12" s="32"/>
      <c r="M12" s="32"/>
      <c r="N12" s="32"/>
      <c r="O12" s="32"/>
      <c r="P12" s="32"/>
      <c r="Q12" s="32"/>
      <c r="R12" s="32"/>
      <c r="S12" s="32"/>
      <c r="T12" s="32"/>
      <c r="U12" s="32"/>
      <c r="V12" s="32"/>
      <c r="W12" s="32"/>
      <c r="X12" s="32"/>
      <c r="Y12" s="32"/>
      <c r="Z12" s="32"/>
    </row>
    <row r="13" spans="1:26" ht="113.25" customHeight="1" x14ac:dyDescent="0.3">
      <c r="A13" s="26">
        <v>5</v>
      </c>
      <c r="B13" s="29" t="s">
        <v>42</v>
      </c>
      <c r="C13" s="29" t="s">
        <v>43</v>
      </c>
      <c r="D13" s="28" t="s">
        <v>44</v>
      </c>
      <c r="E13" s="28" t="s">
        <v>22</v>
      </c>
      <c r="F13" s="28" t="s">
        <v>29</v>
      </c>
      <c r="G13" s="28" t="s">
        <v>45</v>
      </c>
      <c r="H13" s="30" t="s">
        <v>25</v>
      </c>
      <c r="I13" s="31">
        <v>15000000</v>
      </c>
      <c r="J13" s="28"/>
      <c r="K13" s="32"/>
      <c r="L13" s="32"/>
      <c r="M13" s="32"/>
      <c r="N13" s="32"/>
      <c r="O13" s="32"/>
      <c r="P13" s="32"/>
      <c r="Q13" s="32"/>
      <c r="R13" s="32"/>
      <c r="S13" s="32"/>
      <c r="T13" s="32"/>
      <c r="U13" s="32"/>
      <c r="V13" s="32"/>
      <c r="W13" s="32"/>
      <c r="X13" s="32"/>
      <c r="Y13" s="32"/>
      <c r="Z13" s="32"/>
    </row>
    <row r="14" spans="1:26" ht="101.25" customHeight="1" x14ac:dyDescent="0.3">
      <c r="A14" s="26">
        <v>6</v>
      </c>
      <c r="B14" s="29" t="s">
        <v>46</v>
      </c>
      <c r="C14" s="29" t="s">
        <v>47</v>
      </c>
      <c r="D14" s="28" t="s">
        <v>48</v>
      </c>
      <c r="E14" s="28" t="s">
        <v>22</v>
      </c>
      <c r="F14" s="28" t="s">
        <v>23</v>
      </c>
      <c r="G14" s="28" t="s">
        <v>49</v>
      </c>
      <c r="H14" s="30" t="s">
        <v>25</v>
      </c>
      <c r="I14" s="31">
        <v>15000000</v>
      </c>
      <c r="J14" s="1"/>
      <c r="K14" s="32"/>
      <c r="L14" s="32"/>
      <c r="M14" s="32"/>
      <c r="N14" s="32"/>
      <c r="O14" s="32"/>
      <c r="P14" s="32"/>
      <c r="Q14" s="32"/>
      <c r="R14" s="32"/>
      <c r="S14" s="32"/>
      <c r="T14" s="32"/>
      <c r="U14" s="32"/>
      <c r="V14" s="32"/>
      <c r="W14" s="32"/>
      <c r="X14" s="32"/>
      <c r="Y14" s="32"/>
      <c r="Z14" s="32"/>
    </row>
    <row r="15" spans="1:26" ht="164.25" customHeight="1" x14ac:dyDescent="0.3">
      <c r="A15" s="26">
        <v>7</v>
      </c>
      <c r="B15" s="27" t="s">
        <v>50</v>
      </c>
      <c r="C15" s="1" t="s">
        <v>51</v>
      </c>
      <c r="D15" s="1" t="s">
        <v>52</v>
      </c>
      <c r="E15" s="1" t="s">
        <v>53</v>
      </c>
      <c r="F15" s="28" t="s">
        <v>23</v>
      </c>
      <c r="G15" s="1" t="s">
        <v>54</v>
      </c>
      <c r="H15" s="1" t="s">
        <v>55</v>
      </c>
      <c r="I15" s="31">
        <v>15000000</v>
      </c>
      <c r="J15" s="28"/>
      <c r="K15" s="32"/>
      <c r="L15" s="32"/>
      <c r="M15" s="32"/>
      <c r="N15" s="32"/>
      <c r="O15" s="32"/>
      <c r="P15" s="32"/>
      <c r="Q15" s="32"/>
      <c r="R15" s="32"/>
      <c r="S15" s="32"/>
      <c r="T15" s="32"/>
      <c r="U15" s="32"/>
      <c r="V15" s="32"/>
      <c r="W15" s="32"/>
      <c r="X15" s="32"/>
      <c r="Y15" s="32"/>
      <c r="Z15" s="32"/>
    </row>
    <row r="16" spans="1:26" ht="152.25" customHeight="1" x14ac:dyDescent="0.3">
      <c r="A16" s="26">
        <v>8</v>
      </c>
      <c r="B16" s="29" t="s">
        <v>56</v>
      </c>
      <c r="C16" s="29" t="s">
        <v>57</v>
      </c>
      <c r="D16" s="46" t="s">
        <v>58</v>
      </c>
      <c r="E16" s="1" t="s">
        <v>53</v>
      </c>
      <c r="F16" s="28" t="s">
        <v>23</v>
      </c>
      <c r="G16" s="2" t="s">
        <v>117</v>
      </c>
      <c r="H16" s="27" t="s">
        <v>59</v>
      </c>
      <c r="I16" s="35">
        <v>5000000</v>
      </c>
      <c r="J16" s="28"/>
      <c r="K16" s="32"/>
      <c r="L16" s="32"/>
      <c r="M16" s="32"/>
      <c r="N16" s="32"/>
      <c r="O16" s="32"/>
      <c r="P16" s="32"/>
      <c r="Q16" s="32"/>
      <c r="R16" s="32"/>
      <c r="S16" s="32"/>
      <c r="T16" s="32"/>
      <c r="U16" s="32"/>
      <c r="V16" s="32"/>
      <c r="W16" s="32"/>
      <c r="X16" s="32"/>
      <c r="Y16" s="32"/>
      <c r="Z16" s="32"/>
    </row>
    <row r="17" spans="1:26" ht="112.5" customHeight="1" x14ac:dyDescent="0.3">
      <c r="A17" s="26">
        <v>9</v>
      </c>
      <c r="B17" s="29" t="s">
        <v>60</v>
      </c>
      <c r="C17" s="29" t="s">
        <v>61</v>
      </c>
      <c r="D17" s="28" t="s">
        <v>62</v>
      </c>
      <c r="E17" s="1" t="s">
        <v>53</v>
      </c>
      <c r="F17" s="28" t="s">
        <v>23</v>
      </c>
      <c r="G17" s="2" t="s">
        <v>118</v>
      </c>
      <c r="H17" s="1" t="s">
        <v>55</v>
      </c>
      <c r="I17" s="31">
        <v>15000000</v>
      </c>
      <c r="J17" s="28"/>
      <c r="K17" s="32"/>
      <c r="L17" s="32"/>
      <c r="M17" s="32"/>
      <c r="N17" s="32"/>
      <c r="O17" s="32"/>
      <c r="P17" s="32"/>
      <c r="Q17" s="32"/>
      <c r="R17" s="32"/>
      <c r="S17" s="32"/>
      <c r="T17" s="32"/>
      <c r="U17" s="32"/>
      <c r="V17" s="32"/>
      <c r="W17" s="32"/>
      <c r="X17" s="32"/>
      <c r="Y17" s="32"/>
      <c r="Z17" s="32"/>
    </row>
    <row r="18" spans="1:26" ht="90.75" customHeight="1" x14ac:dyDescent="0.3">
      <c r="A18" s="26">
        <v>10</v>
      </c>
      <c r="B18" s="29" t="s">
        <v>63</v>
      </c>
      <c r="C18" s="29" t="s">
        <v>64</v>
      </c>
      <c r="D18" s="28" t="s">
        <v>65</v>
      </c>
      <c r="E18" s="1" t="s">
        <v>53</v>
      </c>
      <c r="F18" s="28" t="s">
        <v>23</v>
      </c>
      <c r="G18" s="28" t="s">
        <v>66</v>
      </c>
      <c r="H18" s="27" t="s">
        <v>59</v>
      </c>
      <c r="I18" s="35">
        <v>5000000</v>
      </c>
      <c r="J18" s="28"/>
      <c r="K18" s="32"/>
      <c r="L18" s="32"/>
      <c r="M18" s="32"/>
      <c r="N18" s="32"/>
      <c r="O18" s="32"/>
      <c r="P18" s="32"/>
      <c r="Q18" s="32"/>
      <c r="R18" s="32"/>
      <c r="S18" s="32"/>
      <c r="T18" s="32"/>
      <c r="U18" s="32"/>
      <c r="V18" s="32"/>
      <c r="W18" s="32"/>
      <c r="X18" s="32"/>
      <c r="Y18" s="32"/>
      <c r="Z18" s="32"/>
    </row>
    <row r="19" spans="1:26" ht="102.75" customHeight="1" x14ac:dyDescent="0.3">
      <c r="A19" s="26">
        <v>11</v>
      </c>
      <c r="B19" s="27" t="s">
        <v>67</v>
      </c>
      <c r="C19" s="29" t="s">
        <v>68</v>
      </c>
      <c r="D19" s="1" t="s">
        <v>69</v>
      </c>
      <c r="E19" s="1" t="s">
        <v>70</v>
      </c>
      <c r="F19" s="28" t="s">
        <v>29</v>
      </c>
      <c r="G19" s="28" t="s">
        <v>71</v>
      </c>
      <c r="H19" s="1" t="s">
        <v>55</v>
      </c>
      <c r="I19" s="31">
        <v>15000000</v>
      </c>
      <c r="J19" s="28"/>
      <c r="K19" s="32"/>
      <c r="L19" s="32"/>
      <c r="M19" s="32"/>
      <c r="N19" s="32"/>
      <c r="O19" s="32"/>
      <c r="P19" s="32"/>
      <c r="Q19" s="32"/>
      <c r="R19" s="32"/>
      <c r="S19" s="32"/>
      <c r="T19" s="32"/>
      <c r="U19" s="32"/>
      <c r="V19" s="32"/>
      <c r="W19" s="32"/>
      <c r="X19" s="32"/>
      <c r="Y19" s="32"/>
      <c r="Z19" s="32"/>
    </row>
    <row r="20" spans="1:26" ht="111" customHeight="1" x14ac:dyDescent="0.3">
      <c r="A20" s="26">
        <v>12</v>
      </c>
      <c r="B20" s="29" t="s">
        <v>72</v>
      </c>
      <c r="C20" s="29" t="s">
        <v>73</v>
      </c>
      <c r="D20" s="28" t="s">
        <v>74</v>
      </c>
      <c r="E20" s="28" t="s">
        <v>70</v>
      </c>
      <c r="F20" s="28" t="s">
        <v>29</v>
      </c>
      <c r="G20" s="29" t="s">
        <v>75</v>
      </c>
      <c r="H20" s="1" t="s">
        <v>55</v>
      </c>
      <c r="I20" s="31">
        <v>15000000</v>
      </c>
      <c r="J20" s="28"/>
      <c r="K20" s="32"/>
      <c r="L20" s="32"/>
      <c r="M20" s="32"/>
      <c r="N20" s="32"/>
      <c r="O20" s="32"/>
      <c r="P20" s="32"/>
      <c r="Q20" s="32"/>
      <c r="R20" s="32"/>
      <c r="S20" s="32"/>
      <c r="T20" s="32"/>
      <c r="U20" s="32"/>
      <c r="V20" s="32"/>
      <c r="W20" s="32"/>
      <c r="X20" s="32"/>
      <c r="Y20" s="32"/>
      <c r="Z20" s="32"/>
    </row>
    <row r="21" spans="1:26" ht="142.5" customHeight="1" x14ac:dyDescent="0.3">
      <c r="A21" s="36">
        <v>13</v>
      </c>
      <c r="B21" s="37" t="s">
        <v>76</v>
      </c>
      <c r="C21" s="37" t="s">
        <v>77</v>
      </c>
      <c r="D21" s="33" t="s">
        <v>78</v>
      </c>
      <c r="E21" s="33" t="s">
        <v>34</v>
      </c>
      <c r="F21" s="33" t="s">
        <v>29</v>
      </c>
      <c r="G21" s="37" t="s">
        <v>79</v>
      </c>
      <c r="H21" s="38" t="s">
        <v>55</v>
      </c>
      <c r="I21" s="39">
        <v>15000000</v>
      </c>
      <c r="J21" s="33"/>
      <c r="K21" s="40"/>
      <c r="L21" s="40"/>
      <c r="M21" s="40"/>
      <c r="N21" s="40"/>
      <c r="O21" s="40"/>
      <c r="P21" s="40"/>
      <c r="Q21" s="40"/>
      <c r="R21" s="40"/>
      <c r="S21" s="40"/>
      <c r="T21" s="40"/>
      <c r="U21" s="40"/>
      <c r="V21" s="40"/>
      <c r="W21" s="40"/>
      <c r="X21" s="40"/>
      <c r="Y21" s="40"/>
      <c r="Z21" s="40"/>
    </row>
    <row r="22" spans="1:26" ht="144" customHeight="1" x14ac:dyDescent="0.3">
      <c r="A22" s="26">
        <v>14</v>
      </c>
      <c r="B22" s="29" t="s">
        <v>80</v>
      </c>
      <c r="C22" s="29" t="s">
        <v>81</v>
      </c>
      <c r="D22" s="1" t="s">
        <v>82</v>
      </c>
      <c r="E22" s="28" t="s">
        <v>70</v>
      </c>
      <c r="F22" s="28" t="s">
        <v>23</v>
      </c>
      <c r="G22" s="29" t="s">
        <v>83</v>
      </c>
      <c r="H22" s="1" t="s">
        <v>55</v>
      </c>
      <c r="I22" s="35">
        <v>15000000</v>
      </c>
      <c r="J22" s="28"/>
      <c r="K22" s="32"/>
      <c r="L22" s="32"/>
      <c r="M22" s="32"/>
      <c r="N22" s="32"/>
      <c r="O22" s="32"/>
      <c r="P22" s="32"/>
      <c r="Q22" s="32"/>
      <c r="R22" s="32"/>
      <c r="S22" s="32"/>
      <c r="T22" s="32"/>
      <c r="U22" s="32"/>
      <c r="V22" s="32"/>
      <c r="W22" s="32"/>
      <c r="X22" s="32"/>
      <c r="Y22" s="32"/>
      <c r="Z22" s="32"/>
    </row>
    <row r="23" spans="1:26" ht="173.25" customHeight="1" x14ac:dyDescent="0.3">
      <c r="A23" s="26">
        <v>15</v>
      </c>
      <c r="B23" s="29" t="s">
        <v>84</v>
      </c>
      <c r="C23" s="29" t="s">
        <v>85</v>
      </c>
      <c r="D23" s="1" t="s">
        <v>86</v>
      </c>
      <c r="E23" s="28" t="s">
        <v>34</v>
      </c>
      <c r="F23" s="28" t="s">
        <v>87</v>
      </c>
      <c r="G23" s="10" t="s">
        <v>88</v>
      </c>
      <c r="H23" s="1" t="s">
        <v>55</v>
      </c>
      <c r="I23" s="35">
        <v>15000000</v>
      </c>
      <c r="J23" s="28"/>
      <c r="K23" s="32"/>
      <c r="L23" s="32"/>
      <c r="M23" s="32"/>
      <c r="N23" s="32"/>
      <c r="O23" s="32"/>
      <c r="P23" s="32"/>
      <c r="Q23" s="32"/>
      <c r="R23" s="32"/>
      <c r="S23" s="32"/>
      <c r="T23" s="32"/>
      <c r="U23" s="32"/>
      <c r="V23" s="32"/>
      <c r="W23" s="32"/>
      <c r="X23" s="32"/>
      <c r="Y23" s="32"/>
      <c r="Z23" s="32"/>
    </row>
    <row r="24" spans="1:26" ht="215.25" customHeight="1" x14ac:dyDescent="0.3">
      <c r="A24" s="26">
        <v>16</v>
      </c>
      <c r="B24" s="27" t="s">
        <v>89</v>
      </c>
      <c r="C24" s="1" t="s">
        <v>90</v>
      </c>
      <c r="D24" s="1" t="s">
        <v>91</v>
      </c>
      <c r="E24" s="1" t="s">
        <v>34</v>
      </c>
      <c r="F24" s="28" t="s">
        <v>29</v>
      </c>
      <c r="G24" s="55" t="s">
        <v>92</v>
      </c>
      <c r="H24" s="1" t="s">
        <v>55</v>
      </c>
      <c r="I24" s="31">
        <v>15000000</v>
      </c>
      <c r="J24" s="28"/>
      <c r="K24" s="32"/>
      <c r="L24" s="32"/>
      <c r="M24" s="32"/>
      <c r="N24" s="32"/>
      <c r="O24" s="32"/>
      <c r="P24" s="32"/>
      <c r="Q24" s="32"/>
      <c r="R24" s="32"/>
      <c r="S24" s="32"/>
      <c r="T24" s="32"/>
      <c r="U24" s="32"/>
      <c r="V24" s="32"/>
      <c r="W24" s="32"/>
      <c r="X24" s="32"/>
      <c r="Y24" s="32"/>
      <c r="Z24" s="32"/>
    </row>
    <row r="25" spans="1:26" ht="170.25" customHeight="1" x14ac:dyDescent="0.3">
      <c r="A25" s="60">
        <v>17</v>
      </c>
      <c r="B25" s="61" t="s">
        <v>93</v>
      </c>
      <c r="C25" s="62" t="s">
        <v>94</v>
      </c>
      <c r="D25" s="62" t="s">
        <v>95</v>
      </c>
      <c r="E25" s="62" t="s">
        <v>70</v>
      </c>
      <c r="F25" s="63" t="s">
        <v>29</v>
      </c>
      <c r="G25" s="64" t="s">
        <v>119</v>
      </c>
      <c r="H25" s="62" t="s">
        <v>55</v>
      </c>
      <c r="I25" s="65">
        <v>15000000</v>
      </c>
      <c r="J25" s="63"/>
      <c r="K25" s="32"/>
      <c r="L25" s="32"/>
      <c r="M25" s="32"/>
      <c r="N25" s="32"/>
      <c r="O25" s="32"/>
      <c r="P25" s="32"/>
      <c r="Q25" s="32"/>
      <c r="R25" s="32"/>
      <c r="S25" s="32"/>
      <c r="T25" s="32"/>
      <c r="U25" s="32"/>
      <c r="V25" s="32"/>
      <c r="W25" s="32"/>
      <c r="X25" s="32"/>
      <c r="Y25" s="32"/>
      <c r="Z25" s="32"/>
    </row>
    <row r="26" spans="1:26" ht="103.5" customHeight="1" x14ac:dyDescent="0.3">
      <c r="A26" s="68">
        <v>18</v>
      </c>
      <c r="B26" s="69" t="s">
        <v>96</v>
      </c>
      <c r="C26" s="70" t="s">
        <v>97</v>
      </c>
      <c r="D26" s="70" t="s">
        <v>98</v>
      </c>
      <c r="E26" s="70" t="s">
        <v>70</v>
      </c>
      <c r="F26" s="70" t="s">
        <v>23</v>
      </c>
      <c r="G26" s="71" t="s">
        <v>99</v>
      </c>
      <c r="H26" s="70" t="s">
        <v>55</v>
      </c>
      <c r="I26" s="72">
        <v>15000000</v>
      </c>
      <c r="J26" s="74"/>
      <c r="K26" s="32"/>
      <c r="L26" s="32"/>
      <c r="M26" s="32"/>
      <c r="N26" s="32"/>
      <c r="O26" s="32"/>
      <c r="P26" s="32"/>
      <c r="Q26" s="32"/>
      <c r="R26" s="32"/>
      <c r="S26" s="32"/>
      <c r="T26" s="32"/>
      <c r="U26" s="32"/>
      <c r="V26" s="32"/>
      <c r="W26" s="32"/>
      <c r="X26" s="32"/>
      <c r="Y26" s="32"/>
      <c r="Z26" s="32"/>
    </row>
    <row r="27" spans="1:26" ht="79.5" customHeight="1" x14ac:dyDescent="0.3">
      <c r="A27" s="68">
        <v>19</v>
      </c>
      <c r="B27" s="69" t="s">
        <v>100</v>
      </c>
      <c r="C27" s="77" t="s">
        <v>101</v>
      </c>
      <c r="D27" s="73" t="s">
        <v>102</v>
      </c>
      <c r="E27" s="73" t="s">
        <v>103</v>
      </c>
      <c r="F27" s="73" t="s">
        <v>23</v>
      </c>
      <c r="G27" s="78" t="s">
        <v>120</v>
      </c>
      <c r="H27" s="73" t="s">
        <v>55</v>
      </c>
      <c r="I27" s="72">
        <v>15000000</v>
      </c>
      <c r="J27" s="75"/>
      <c r="K27" s="32"/>
      <c r="L27" s="32"/>
      <c r="M27" s="32"/>
      <c r="N27" s="32"/>
      <c r="O27" s="32"/>
      <c r="P27" s="32"/>
      <c r="Q27" s="32"/>
      <c r="R27" s="32"/>
      <c r="S27" s="32"/>
      <c r="T27" s="32"/>
      <c r="U27" s="32"/>
      <c r="V27" s="32"/>
      <c r="W27" s="32"/>
      <c r="X27" s="32"/>
      <c r="Y27" s="32"/>
      <c r="Z27" s="32"/>
    </row>
    <row r="28" spans="1:26" ht="97.5" customHeight="1" x14ac:dyDescent="0.3">
      <c r="A28" s="66">
        <v>20</v>
      </c>
      <c r="B28" s="67" t="s">
        <v>104</v>
      </c>
      <c r="C28" s="67" t="s">
        <v>105</v>
      </c>
      <c r="D28" s="41" t="s">
        <v>106</v>
      </c>
      <c r="E28" s="41" t="s">
        <v>103</v>
      </c>
      <c r="F28" s="41" t="s">
        <v>40</v>
      </c>
      <c r="G28" s="41" t="s">
        <v>107</v>
      </c>
      <c r="H28" s="41" t="s">
        <v>55</v>
      </c>
      <c r="I28" s="76">
        <v>15000000</v>
      </c>
      <c r="J28" s="28"/>
      <c r="K28" s="32"/>
      <c r="L28" s="32"/>
      <c r="M28" s="32"/>
      <c r="N28" s="32"/>
      <c r="O28" s="32"/>
      <c r="P28" s="32"/>
      <c r="Q28" s="32"/>
      <c r="R28" s="32"/>
      <c r="S28" s="32"/>
      <c r="T28" s="32"/>
      <c r="U28" s="32"/>
      <c r="V28" s="32"/>
      <c r="W28" s="32"/>
      <c r="X28" s="32"/>
      <c r="Y28" s="32"/>
      <c r="Z28" s="32"/>
    </row>
    <row r="29" spans="1:26" ht="110.25" customHeight="1" x14ac:dyDescent="0.3">
      <c r="A29" s="26">
        <v>21</v>
      </c>
      <c r="B29" s="29" t="s">
        <v>108</v>
      </c>
      <c r="C29" s="28" t="s">
        <v>106</v>
      </c>
      <c r="D29" s="28" t="s">
        <v>109</v>
      </c>
      <c r="E29" s="28" t="s">
        <v>103</v>
      </c>
      <c r="F29" s="28" t="s">
        <v>40</v>
      </c>
      <c r="G29" s="28" t="s">
        <v>110</v>
      </c>
      <c r="H29" s="28" t="s">
        <v>55</v>
      </c>
      <c r="I29" s="35">
        <v>15000000</v>
      </c>
      <c r="J29" s="1"/>
      <c r="K29" s="32"/>
      <c r="L29" s="32"/>
      <c r="M29" s="32"/>
      <c r="N29" s="32"/>
      <c r="O29" s="32"/>
      <c r="P29" s="32"/>
      <c r="Q29" s="32"/>
      <c r="R29" s="32"/>
      <c r="S29" s="32"/>
      <c r="T29" s="32"/>
      <c r="U29" s="32"/>
      <c r="V29" s="32"/>
      <c r="W29" s="32"/>
      <c r="X29" s="32"/>
      <c r="Y29" s="32"/>
      <c r="Z29" s="32"/>
    </row>
    <row r="30" spans="1:26" ht="89.25" customHeight="1" x14ac:dyDescent="0.3">
      <c r="A30" s="26">
        <v>22</v>
      </c>
      <c r="B30" s="27" t="s">
        <v>111</v>
      </c>
      <c r="C30" s="28" t="s">
        <v>102</v>
      </c>
      <c r="D30" s="29" t="s">
        <v>105</v>
      </c>
      <c r="E30" s="28" t="s">
        <v>103</v>
      </c>
      <c r="F30" s="28" t="s">
        <v>40</v>
      </c>
      <c r="G30" s="1" t="s">
        <v>112</v>
      </c>
      <c r="H30" s="28" t="s">
        <v>55</v>
      </c>
      <c r="I30" s="35">
        <v>15000000</v>
      </c>
      <c r="J30" s="1"/>
      <c r="K30" s="32"/>
      <c r="L30" s="32"/>
      <c r="M30" s="32"/>
      <c r="N30" s="32"/>
      <c r="O30" s="32"/>
      <c r="P30" s="32"/>
      <c r="Q30" s="32"/>
      <c r="R30" s="32"/>
      <c r="S30" s="32"/>
      <c r="T30" s="32"/>
      <c r="U30" s="32"/>
      <c r="V30" s="32"/>
      <c r="W30" s="32"/>
      <c r="X30" s="32"/>
      <c r="Y30" s="32"/>
      <c r="Z30" s="32"/>
    </row>
    <row r="31" spans="1:26" ht="28.5" customHeight="1" x14ac:dyDescent="0.3">
      <c r="A31" s="129" t="s">
        <v>113</v>
      </c>
      <c r="B31" s="130"/>
      <c r="C31" s="130"/>
      <c r="D31" s="130"/>
      <c r="E31" s="131"/>
      <c r="F31" s="41"/>
      <c r="G31" s="41"/>
      <c r="H31" s="41"/>
      <c r="I31" s="42">
        <f>SUM(I9:I30)</f>
        <v>310000000</v>
      </c>
      <c r="J31" s="43"/>
      <c r="K31" s="44"/>
      <c r="L31" s="44"/>
      <c r="M31" s="44"/>
      <c r="N31" s="44"/>
      <c r="O31" s="44"/>
      <c r="P31" s="44"/>
      <c r="Q31" s="44"/>
      <c r="R31" s="44"/>
      <c r="S31" s="44"/>
      <c r="T31" s="44"/>
      <c r="U31" s="44"/>
      <c r="V31" s="44"/>
      <c r="W31" s="44"/>
      <c r="X31" s="44"/>
      <c r="Y31" s="44"/>
      <c r="Z31" s="44"/>
    </row>
    <row r="32" spans="1:26" ht="15.75" customHeight="1" x14ac:dyDescent="0.3">
      <c r="A32" s="45"/>
      <c r="B32" s="46"/>
      <c r="C32" s="10"/>
      <c r="D32" s="10"/>
      <c r="E32" s="10"/>
      <c r="F32" s="10"/>
      <c r="G32" s="10"/>
      <c r="H32" s="132" t="s">
        <v>114</v>
      </c>
      <c r="I32" s="133"/>
      <c r="J32" s="133"/>
      <c r="K32" s="44"/>
      <c r="L32" s="44"/>
      <c r="M32" s="44"/>
      <c r="N32" s="44"/>
      <c r="O32" s="44"/>
      <c r="P32" s="44"/>
      <c r="Q32" s="44"/>
      <c r="R32" s="44"/>
      <c r="S32" s="44"/>
      <c r="T32" s="44"/>
      <c r="U32" s="44"/>
      <c r="V32" s="44"/>
      <c r="W32" s="44"/>
      <c r="X32" s="44"/>
      <c r="Y32" s="44"/>
      <c r="Z32" s="44"/>
    </row>
    <row r="33" spans="1:26" ht="15.75" customHeight="1" x14ac:dyDescent="0.3">
      <c r="A33" s="47"/>
      <c r="B33" s="32"/>
      <c r="C33" s="32"/>
      <c r="D33" s="32"/>
      <c r="E33" s="32"/>
      <c r="F33" s="10"/>
      <c r="G33" s="10"/>
      <c r="H33" s="10"/>
      <c r="I33" s="48"/>
      <c r="J33" s="44"/>
      <c r="K33" s="44"/>
      <c r="L33" s="44"/>
      <c r="M33" s="44"/>
      <c r="N33" s="44"/>
      <c r="O33" s="44"/>
      <c r="P33" s="44"/>
      <c r="Q33" s="44"/>
      <c r="R33" s="44"/>
      <c r="S33" s="44"/>
      <c r="T33" s="44"/>
      <c r="U33" s="44"/>
      <c r="V33" s="44"/>
      <c r="W33" s="44"/>
      <c r="X33" s="44"/>
      <c r="Y33" s="44"/>
      <c r="Z33" s="44"/>
    </row>
    <row r="34" spans="1:26" s="4" customFormat="1" ht="21.75" customHeight="1" x14ac:dyDescent="0.3">
      <c r="A34" s="56"/>
      <c r="B34" s="34"/>
      <c r="C34" s="125"/>
      <c r="D34" s="134"/>
      <c r="E34" s="134"/>
      <c r="F34" s="134"/>
      <c r="G34" s="3"/>
      <c r="H34" s="135" t="s">
        <v>115</v>
      </c>
      <c r="I34" s="124"/>
      <c r="J34" s="124"/>
      <c r="K34" s="57"/>
      <c r="L34" s="57"/>
      <c r="M34" s="57"/>
      <c r="N34" s="57"/>
      <c r="O34" s="57"/>
      <c r="P34" s="57"/>
      <c r="Q34" s="57"/>
      <c r="R34" s="57"/>
      <c r="S34" s="57"/>
      <c r="T34" s="57"/>
      <c r="U34" s="57"/>
      <c r="V34" s="57"/>
      <c r="W34" s="57"/>
      <c r="X34" s="57"/>
      <c r="Y34" s="57"/>
      <c r="Z34" s="57"/>
    </row>
    <row r="35" spans="1:26" s="4" customFormat="1" ht="27.75" customHeight="1" x14ac:dyDescent="0.3">
      <c r="A35" s="56"/>
      <c r="B35" s="34"/>
      <c r="C35" s="125" t="s">
        <v>10</v>
      </c>
      <c r="D35" s="134"/>
      <c r="E35" s="134"/>
      <c r="F35" s="134"/>
      <c r="G35" s="3"/>
      <c r="H35" s="125" t="s">
        <v>4</v>
      </c>
      <c r="I35" s="124"/>
      <c r="J35" s="124"/>
      <c r="K35" s="57"/>
      <c r="L35" s="57"/>
      <c r="M35" s="57"/>
      <c r="N35" s="57"/>
      <c r="O35" s="57"/>
      <c r="P35" s="57"/>
      <c r="Q35" s="57"/>
      <c r="R35" s="57"/>
      <c r="S35" s="57"/>
      <c r="T35" s="57"/>
      <c r="U35" s="57"/>
      <c r="V35" s="57"/>
      <c r="W35" s="57"/>
      <c r="X35" s="57"/>
      <c r="Y35" s="57"/>
      <c r="Z35" s="57"/>
    </row>
    <row r="36" spans="1:26" s="4" customFormat="1" ht="15.75" customHeight="1" x14ac:dyDescent="0.3">
      <c r="A36" s="56"/>
      <c r="B36" s="34"/>
      <c r="C36" s="34"/>
      <c r="D36" s="3"/>
      <c r="E36" s="3"/>
      <c r="F36" s="3"/>
      <c r="G36" s="3"/>
      <c r="H36" s="3"/>
      <c r="I36" s="58"/>
      <c r="J36" s="59"/>
      <c r="K36" s="57"/>
      <c r="L36" s="57"/>
      <c r="M36" s="57"/>
      <c r="N36" s="57"/>
      <c r="O36" s="57"/>
      <c r="P36" s="57"/>
      <c r="Q36" s="57"/>
      <c r="R36" s="57"/>
      <c r="S36" s="57"/>
      <c r="T36" s="57"/>
      <c r="U36" s="57"/>
      <c r="V36" s="57"/>
      <c r="W36" s="57"/>
      <c r="X36" s="57"/>
      <c r="Y36" s="57"/>
      <c r="Z36" s="57"/>
    </row>
    <row r="37" spans="1:26" s="4" customFormat="1" ht="15.75" customHeight="1" x14ac:dyDescent="0.3">
      <c r="A37" s="56"/>
      <c r="B37" s="34"/>
      <c r="C37" s="34"/>
      <c r="D37" s="3"/>
      <c r="E37" s="3"/>
      <c r="F37" s="3"/>
      <c r="G37" s="3"/>
      <c r="H37" s="123"/>
      <c r="I37" s="124"/>
      <c r="J37" s="124"/>
      <c r="K37" s="57"/>
      <c r="L37" s="57"/>
      <c r="M37" s="57"/>
      <c r="N37" s="57"/>
      <c r="O37" s="57"/>
      <c r="P37" s="57"/>
      <c r="Q37" s="57"/>
      <c r="R37" s="57"/>
      <c r="S37" s="57"/>
      <c r="T37" s="57"/>
      <c r="U37" s="57"/>
      <c r="V37" s="57"/>
      <c r="W37" s="57"/>
      <c r="X37" s="57"/>
      <c r="Y37" s="57"/>
      <c r="Z37" s="57"/>
    </row>
    <row r="38" spans="1:26" s="4" customFormat="1" ht="15.75" customHeight="1" x14ac:dyDescent="0.3">
      <c r="A38" s="56"/>
      <c r="B38" s="34"/>
      <c r="C38" s="34"/>
      <c r="D38" s="3"/>
      <c r="E38" s="3"/>
      <c r="F38" s="3"/>
      <c r="G38" s="3"/>
      <c r="H38" s="3"/>
      <c r="I38" s="5"/>
      <c r="J38" s="59"/>
      <c r="K38" s="57"/>
      <c r="L38" s="57"/>
      <c r="M38" s="57"/>
      <c r="N38" s="57"/>
      <c r="O38" s="57"/>
      <c r="P38" s="57"/>
      <c r="Q38" s="57"/>
      <c r="R38" s="57"/>
      <c r="S38" s="57"/>
      <c r="T38" s="57"/>
      <c r="U38" s="57"/>
      <c r="V38" s="57"/>
      <c r="W38" s="57"/>
      <c r="X38" s="57"/>
      <c r="Y38" s="57"/>
      <c r="Z38" s="57"/>
    </row>
    <row r="39" spans="1:26" s="4" customFormat="1" ht="15.75" customHeight="1" x14ac:dyDescent="0.3">
      <c r="A39" s="56"/>
      <c r="B39" s="34"/>
      <c r="C39" s="34"/>
      <c r="D39" s="3"/>
      <c r="E39" s="3"/>
      <c r="F39" s="3"/>
      <c r="G39" s="3"/>
      <c r="H39" s="3"/>
      <c r="I39" s="5"/>
      <c r="J39" s="59"/>
      <c r="K39" s="57"/>
      <c r="L39" s="57"/>
      <c r="M39" s="57"/>
      <c r="N39" s="57"/>
      <c r="O39" s="57"/>
      <c r="P39" s="57"/>
      <c r="Q39" s="57"/>
      <c r="R39" s="57"/>
      <c r="S39" s="57"/>
      <c r="T39" s="57"/>
      <c r="U39" s="57"/>
      <c r="V39" s="57"/>
      <c r="W39" s="57"/>
      <c r="X39" s="57"/>
      <c r="Y39" s="57"/>
      <c r="Z39" s="57"/>
    </row>
    <row r="40" spans="1:26" s="4" customFormat="1" ht="15.75" customHeight="1" x14ac:dyDescent="0.3">
      <c r="A40" s="56"/>
      <c r="B40" s="34"/>
      <c r="C40" s="34"/>
      <c r="D40" s="3"/>
      <c r="E40" s="3"/>
      <c r="F40" s="3"/>
      <c r="G40" s="3"/>
      <c r="H40" s="3"/>
      <c r="I40" s="5"/>
      <c r="J40" s="59"/>
      <c r="K40" s="57"/>
      <c r="L40" s="57"/>
      <c r="M40" s="57"/>
      <c r="N40" s="57"/>
      <c r="O40" s="57"/>
      <c r="P40" s="57"/>
      <c r="Q40" s="57"/>
      <c r="R40" s="57"/>
      <c r="S40" s="57"/>
      <c r="T40" s="57"/>
      <c r="U40" s="57"/>
      <c r="V40" s="57"/>
      <c r="W40" s="57"/>
      <c r="X40" s="57"/>
      <c r="Y40" s="57"/>
      <c r="Z40" s="57"/>
    </row>
    <row r="41" spans="1:26" s="4" customFormat="1" ht="15.75" customHeight="1" x14ac:dyDescent="0.3">
      <c r="A41" s="56"/>
      <c r="B41" s="34"/>
      <c r="C41" s="34"/>
      <c r="D41" s="3"/>
      <c r="E41" s="3"/>
      <c r="F41" s="3"/>
      <c r="G41" s="3"/>
      <c r="H41" s="125" t="s">
        <v>116</v>
      </c>
      <c r="I41" s="124"/>
      <c r="J41" s="124"/>
      <c r="K41" s="57"/>
      <c r="L41" s="57"/>
      <c r="M41" s="57"/>
      <c r="N41" s="57"/>
      <c r="O41" s="57"/>
      <c r="P41" s="57"/>
      <c r="Q41" s="57"/>
      <c r="R41" s="57"/>
      <c r="S41" s="57"/>
      <c r="T41" s="57"/>
      <c r="U41" s="57"/>
      <c r="V41" s="57"/>
      <c r="W41" s="57"/>
      <c r="X41" s="57"/>
      <c r="Y41" s="57"/>
      <c r="Z41" s="57"/>
    </row>
    <row r="42" spans="1:26" ht="15.75" customHeight="1" x14ac:dyDescent="0.3">
      <c r="A42" s="47"/>
      <c r="B42" s="46"/>
      <c r="C42" s="46"/>
      <c r="D42" s="10"/>
      <c r="E42" s="10"/>
      <c r="F42" s="10"/>
      <c r="G42" s="10"/>
      <c r="H42" s="10"/>
      <c r="I42" s="11"/>
      <c r="J42" s="49"/>
      <c r="K42" s="44"/>
      <c r="L42" s="44"/>
      <c r="M42" s="44"/>
      <c r="N42" s="44"/>
      <c r="O42" s="44"/>
      <c r="P42" s="44"/>
      <c r="Q42" s="44"/>
      <c r="R42" s="44"/>
      <c r="S42" s="44"/>
      <c r="T42" s="44"/>
      <c r="U42" s="44"/>
      <c r="V42" s="44"/>
      <c r="W42" s="44"/>
      <c r="X42" s="44"/>
      <c r="Y42" s="44"/>
      <c r="Z42" s="44"/>
    </row>
    <row r="43" spans="1:26" ht="15.75" customHeight="1" x14ac:dyDescent="0.3">
      <c r="A43" s="47"/>
      <c r="B43" s="46"/>
      <c r="C43" s="46"/>
      <c r="D43" s="10"/>
      <c r="E43" s="10"/>
      <c r="F43" s="10"/>
      <c r="G43" s="10"/>
      <c r="H43" s="10"/>
      <c r="I43" s="11"/>
      <c r="J43" s="49"/>
      <c r="K43" s="44"/>
      <c r="L43" s="44"/>
      <c r="M43" s="44"/>
      <c r="N43" s="44"/>
      <c r="O43" s="44"/>
      <c r="P43" s="44"/>
      <c r="Q43" s="44"/>
      <c r="R43" s="44"/>
      <c r="S43" s="44"/>
      <c r="T43" s="44"/>
      <c r="U43" s="44"/>
      <c r="V43" s="44"/>
      <c r="W43" s="44"/>
      <c r="X43" s="44"/>
      <c r="Y43" s="44"/>
      <c r="Z43" s="44"/>
    </row>
    <row r="44" spans="1:26" ht="15.75" customHeight="1" x14ac:dyDescent="0.3">
      <c r="A44" s="47"/>
      <c r="B44" s="46"/>
      <c r="C44" s="46"/>
      <c r="D44" s="10"/>
      <c r="E44" s="10"/>
      <c r="F44" s="10"/>
      <c r="G44" s="10"/>
      <c r="H44" s="10"/>
      <c r="I44" s="11"/>
      <c r="J44" s="49"/>
      <c r="K44" s="44"/>
      <c r="L44" s="44"/>
      <c r="M44" s="44"/>
      <c r="N44" s="44"/>
      <c r="O44" s="44"/>
      <c r="P44" s="44"/>
      <c r="Q44" s="44"/>
      <c r="R44" s="44"/>
      <c r="S44" s="44"/>
      <c r="T44" s="44"/>
      <c r="U44" s="44"/>
      <c r="V44" s="44"/>
      <c r="W44" s="44"/>
      <c r="X44" s="44"/>
      <c r="Y44" s="44"/>
      <c r="Z44" s="44"/>
    </row>
    <row r="45" spans="1:26" ht="15.75" customHeight="1" x14ac:dyDescent="0.3">
      <c r="A45" s="47"/>
      <c r="B45" s="46"/>
      <c r="C45" s="46"/>
      <c r="D45" s="10"/>
      <c r="E45" s="10"/>
      <c r="F45" s="10"/>
      <c r="G45" s="10"/>
      <c r="H45" s="10"/>
      <c r="I45" s="11"/>
      <c r="J45" s="49"/>
      <c r="K45" s="44"/>
      <c r="L45" s="44"/>
      <c r="M45" s="44"/>
      <c r="N45" s="44"/>
      <c r="O45" s="44"/>
      <c r="P45" s="44"/>
      <c r="Q45" s="44"/>
      <c r="R45" s="44"/>
      <c r="S45" s="44"/>
      <c r="T45" s="44"/>
      <c r="U45" s="44"/>
      <c r="V45" s="44"/>
      <c r="W45" s="44"/>
      <c r="X45" s="44"/>
      <c r="Y45" s="44"/>
      <c r="Z45" s="44"/>
    </row>
    <row r="46" spans="1:26" ht="15.75" customHeight="1" x14ac:dyDescent="0.3">
      <c r="A46" s="47"/>
      <c r="B46" s="46"/>
      <c r="C46" s="46"/>
      <c r="D46" s="10"/>
      <c r="E46" s="10"/>
      <c r="F46" s="10"/>
      <c r="G46" s="10"/>
      <c r="H46" s="10"/>
      <c r="I46" s="11"/>
      <c r="J46" s="49"/>
      <c r="K46" s="44"/>
      <c r="L46" s="44"/>
      <c r="M46" s="44"/>
      <c r="N46" s="44"/>
      <c r="O46" s="44"/>
      <c r="P46" s="44"/>
      <c r="Q46" s="44"/>
      <c r="R46" s="44"/>
      <c r="S46" s="44"/>
      <c r="T46" s="44"/>
      <c r="U46" s="44"/>
      <c r="V46" s="44"/>
      <c r="W46" s="44"/>
      <c r="X46" s="44"/>
      <c r="Y46" s="44"/>
      <c r="Z46" s="44"/>
    </row>
    <row r="47" spans="1:26" ht="15.75" customHeight="1" x14ac:dyDescent="0.3">
      <c r="A47" s="47"/>
      <c r="B47" s="46"/>
      <c r="C47" s="46"/>
      <c r="D47" s="10"/>
      <c r="E47" s="10"/>
      <c r="F47" s="10"/>
      <c r="G47" s="10"/>
      <c r="H47" s="10"/>
      <c r="I47" s="11"/>
      <c r="J47" s="49"/>
      <c r="K47" s="44"/>
      <c r="L47" s="44"/>
      <c r="M47" s="44"/>
      <c r="N47" s="44"/>
      <c r="O47" s="44"/>
      <c r="P47" s="44"/>
      <c r="Q47" s="44"/>
      <c r="R47" s="44"/>
      <c r="S47" s="44"/>
      <c r="T47" s="44"/>
      <c r="U47" s="44"/>
      <c r="V47" s="44"/>
      <c r="W47" s="44"/>
      <c r="X47" s="44"/>
      <c r="Y47" s="44"/>
      <c r="Z47" s="44"/>
    </row>
    <row r="48" spans="1:26" ht="15.75" customHeight="1" x14ac:dyDescent="0.3">
      <c r="A48" s="47"/>
      <c r="B48" s="46"/>
      <c r="C48" s="46"/>
      <c r="D48" s="10"/>
      <c r="E48" s="10"/>
      <c r="F48" s="10"/>
      <c r="G48" s="10"/>
      <c r="H48" s="10"/>
      <c r="I48" s="11"/>
      <c r="J48" s="49"/>
      <c r="K48" s="44"/>
      <c r="L48" s="44"/>
      <c r="M48" s="44"/>
      <c r="N48" s="44"/>
      <c r="O48" s="44"/>
      <c r="P48" s="44"/>
      <c r="Q48" s="44"/>
      <c r="R48" s="44"/>
      <c r="S48" s="44"/>
      <c r="T48" s="44"/>
      <c r="U48" s="44"/>
      <c r="V48" s="44"/>
      <c r="W48" s="44"/>
      <c r="X48" s="44"/>
      <c r="Y48" s="44"/>
      <c r="Z48" s="44"/>
    </row>
    <row r="49" spans="1:26" ht="15.75" customHeight="1" x14ac:dyDescent="0.3">
      <c r="A49" s="47"/>
      <c r="B49" s="46"/>
      <c r="C49" s="46"/>
      <c r="D49" s="10"/>
      <c r="E49" s="10"/>
      <c r="F49" s="10"/>
      <c r="G49" s="10"/>
      <c r="H49" s="10"/>
      <c r="I49" s="11"/>
      <c r="J49" s="49"/>
      <c r="K49" s="44"/>
      <c r="L49" s="44"/>
      <c r="M49" s="44"/>
      <c r="N49" s="44"/>
      <c r="O49" s="44"/>
      <c r="P49" s="44"/>
      <c r="Q49" s="44"/>
      <c r="R49" s="44"/>
      <c r="S49" s="44"/>
      <c r="T49" s="44"/>
      <c r="U49" s="44"/>
      <c r="V49" s="44"/>
      <c r="W49" s="44"/>
      <c r="X49" s="44"/>
      <c r="Y49" s="44"/>
      <c r="Z49" s="44"/>
    </row>
    <row r="50" spans="1:26" ht="15.75" customHeight="1" x14ac:dyDescent="0.3">
      <c r="A50" s="47"/>
      <c r="B50" s="46"/>
      <c r="C50" s="46"/>
      <c r="D50" s="10"/>
      <c r="E50" s="10"/>
      <c r="F50" s="10"/>
      <c r="G50" s="10"/>
      <c r="H50" s="10"/>
      <c r="I50" s="11"/>
      <c r="J50" s="49"/>
      <c r="K50" s="44"/>
      <c r="L50" s="44"/>
      <c r="M50" s="44"/>
      <c r="N50" s="44"/>
      <c r="O50" s="44"/>
      <c r="P50" s="44"/>
      <c r="Q50" s="44"/>
      <c r="R50" s="44"/>
      <c r="S50" s="44"/>
      <c r="T50" s="44"/>
      <c r="U50" s="44"/>
      <c r="V50" s="44"/>
      <c r="W50" s="44"/>
      <c r="X50" s="44"/>
      <c r="Y50" s="44"/>
      <c r="Z50" s="44"/>
    </row>
    <row r="51" spans="1:26" ht="15.75" customHeight="1" x14ac:dyDescent="0.3">
      <c r="A51" s="50"/>
      <c r="B51" s="46"/>
      <c r="C51" s="51"/>
      <c r="D51" s="9"/>
      <c r="E51" s="9"/>
      <c r="F51" s="9"/>
      <c r="G51" s="10"/>
      <c r="H51" s="10"/>
      <c r="I51" s="11"/>
      <c r="J51" s="52"/>
    </row>
    <row r="52" spans="1:26" ht="15.75" customHeight="1" x14ac:dyDescent="0.3">
      <c r="A52" s="50"/>
      <c r="B52" s="46"/>
      <c r="C52" s="51"/>
      <c r="D52" s="9"/>
      <c r="E52" s="9"/>
      <c r="F52" s="9"/>
      <c r="G52" s="10"/>
      <c r="H52" s="10"/>
      <c r="I52" s="11"/>
      <c r="J52" s="52"/>
    </row>
    <row r="53" spans="1:26" ht="15.75" customHeight="1" x14ac:dyDescent="0.3">
      <c r="A53" s="50"/>
      <c r="B53" s="46"/>
      <c r="C53" s="51"/>
      <c r="D53" s="9"/>
      <c r="E53" s="9"/>
      <c r="F53" s="9"/>
      <c r="G53" s="10"/>
      <c r="H53" s="10"/>
      <c r="I53" s="11"/>
      <c r="J53" s="52"/>
    </row>
    <row r="54" spans="1:26" ht="15.75" customHeight="1" x14ac:dyDescent="0.3">
      <c r="A54" s="50"/>
      <c r="B54" s="46"/>
      <c r="C54" s="51"/>
      <c r="D54" s="9"/>
      <c r="E54" s="9"/>
      <c r="F54" s="9"/>
      <c r="G54" s="10"/>
      <c r="H54" s="10"/>
      <c r="I54" s="11"/>
      <c r="J54" s="52"/>
    </row>
    <row r="55" spans="1:26" ht="15.75" customHeight="1" x14ac:dyDescent="0.3">
      <c r="A55" s="50"/>
      <c r="B55" s="46"/>
      <c r="C55" s="51"/>
      <c r="D55" s="9"/>
      <c r="E55" s="9"/>
      <c r="F55" s="9"/>
      <c r="G55" s="10"/>
      <c r="H55" s="10"/>
      <c r="I55" s="11"/>
      <c r="J55" s="52"/>
    </row>
    <row r="56" spans="1:26" ht="15.75" customHeight="1" x14ac:dyDescent="0.3">
      <c r="A56" s="50"/>
      <c r="B56" s="46"/>
      <c r="C56" s="51"/>
      <c r="D56" s="9"/>
      <c r="E56" s="9"/>
      <c r="F56" s="9"/>
      <c r="G56" s="10"/>
      <c r="H56" s="10"/>
      <c r="I56" s="11"/>
      <c r="J56" s="52"/>
    </row>
    <row r="57" spans="1:26" ht="15.75" customHeight="1" x14ac:dyDescent="0.3">
      <c r="A57" s="50"/>
      <c r="B57" s="46"/>
      <c r="C57" s="51"/>
      <c r="D57" s="9"/>
      <c r="E57" s="9"/>
      <c r="F57" s="9"/>
      <c r="G57" s="10"/>
      <c r="H57" s="10"/>
      <c r="I57" s="11"/>
      <c r="J57" s="52"/>
    </row>
    <row r="58" spans="1:26" ht="15.75" customHeight="1" x14ac:dyDescent="0.3">
      <c r="A58" s="50"/>
      <c r="B58" s="46"/>
      <c r="C58" s="51"/>
      <c r="D58" s="9"/>
      <c r="E58" s="9"/>
      <c r="F58" s="9"/>
      <c r="G58" s="10"/>
      <c r="H58" s="10"/>
      <c r="I58" s="11"/>
      <c r="J58" s="52"/>
    </row>
    <row r="59" spans="1:26" ht="15.75" customHeight="1" x14ac:dyDescent="0.3">
      <c r="A59" s="50"/>
      <c r="B59" s="46"/>
      <c r="C59" s="51"/>
      <c r="D59" s="9"/>
      <c r="E59" s="9"/>
      <c r="F59" s="9"/>
      <c r="G59" s="10"/>
      <c r="H59" s="10"/>
      <c r="I59" s="11"/>
      <c r="J59" s="52"/>
    </row>
    <row r="60" spans="1:26" ht="15.75" customHeight="1" x14ac:dyDescent="0.3">
      <c r="A60" s="50"/>
      <c r="B60" s="46"/>
      <c r="C60" s="51"/>
      <c r="D60" s="9"/>
      <c r="E60" s="9"/>
      <c r="F60" s="9"/>
      <c r="G60" s="10"/>
      <c r="H60" s="10"/>
      <c r="I60" s="11"/>
      <c r="J60" s="52"/>
    </row>
    <row r="61" spans="1:26" ht="15.75" customHeight="1" x14ac:dyDescent="0.3">
      <c r="A61" s="50"/>
      <c r="B61" s="46"/>
      <c r="C61" s="51"/>
      <c r="D61" s="9"/>
      <c r="E61" s="9"/>
      <c r="F61" s="9"/>
      <c r="G61" s="10"/>
      <c r="H61" s="10"/>
      <c r="I61" s="11"/>
      <c r="J61" s="52"/>
    </row>
    <row r="62" spans="1:26" ht="15.75" customHeight="1" x14ac:dyDescent="0.3">
      <c r="A62" s="50"/>
      <c r="B62" s="46"/>
      <c r="C62" s="51"/>
      <c r="D62" s="9"/>
      <c r="E62" s="9"/>
      <c r="F62" s="9"/>
      <c r="G62" s="10"/>
      <c r="H62" s="10"/>
      <c r="I62" s="11"/>
      <c r="J62" s="52"/>
    </row>
    <row r="63" spans="1:26" ht="15.75" customHeight="1" x14ac:dyDescent="0.3">
      <c r="A63" s="50"/>
      <c r="B63" s="46"/>
      <c r="C63" s="51"/>
      <c r="D63" s="9"/>
      <c r="E63" s="9"/>
      <c r="F63" s="9"/>
      <c r="G63" s="10"/>
      <c r="H63" s="10"/>
      <c r="I63" s="11"/>
      <c r="J63" s="52"/>
    </row>
    <row r="64" spans="1:26" ht="15.75" customHeight="1" x14ac:dyDescent="0.3">
      <c r="A64" s="50"/>
      <c r="B64" s="46"/>
      <c r="C64" s="51"/>
      <c r="D64" s="9"/>
      <c r="E64" s="9"/>
      <c r="F64" s="9"/>
      <c r="G64" s="10"/>
      <c r="H64" s="10"/>
      <c r="I64" s="11"/>
      <c r="J64" s="52"/>
    </row>
    <row r="65" spans="1:10" ht="15.75" customHeight="1" x14ac:dyDescent="0.3">
      <c r="A65" s="50"/>
      <c r="B65" s="46"/>
      <c r="C65" s="51"/>
      <c r="D65" s="9"/>
      <c r="E65" s="9"/>
      <c r="F65" s="9"/>
      <c r="G65" s="10"/>
      <c r="H65" s="10"/>
      <c r="I65" s="11"/>
      <c r="J65" s="52"/>
    </row>
    <row r="66" spans="1:10" ht="15.75" customHeight="1" x14ac:dyDescent="0.3">
      <c r="A66" s="50"/>
      <c r="B66" s="46"/>
      <c r="C66" s="51"/>
      <c r="D66" s="9"/>
      <c r="E66" s="9"/>
      <c r="F66" s="9"/>
      <c r="G66" s="10"/>
      <c r="H66" s="10"/>
      <c r="I66" s="11"/>
      <c r="J66" s="52"/>
    </row>
    <row r="67" spans="1:10" ht="15.75" customHeight="1" x14ac:dyDescent="0.3">
      <c r="A67" s="50"/>
      <c r="B67" s="46"/>
      <c r="C67" s="51"/>
      <c r="D67" s="9"/>
      <c r="E67" s="9"/>
      <c r="F67" s="9"/>
      <c r="G67" s="10"/>
      <c r="H67" s="10"/>
      <c r="I67" s="11"/>
      <c r="J67" s="52"/>
    </row>
    <row r="68" spans="1:10" ht="15.75" customHeight="1" x14ac:dyDescent="0.3">
      <c r="A68" s="50"/>
      <c r="B68" s="46"/>
      <c r="C68" s="51"/>
      <c r="D68" s="9"/>
      <c r="E68" s="9"/>
      <c r="F68" s="9"/>
      <c r="G68" s="10"/>
      <c r="H68" s="10"/>
      <c r="I68" s="11"/>
      <c r="J68" s="52"/>
    </row>
    <row r="69" spans="1:10" ht="15.75" customHeight="1" x14ac:dyDescent="0.3">
      <c r="A69" s="50"/>
      <c r="B69" s="46"/>
      <c r="C69" s="51"/>
      <c r="D69" s="9"/>
      <c r="E69" s="9"/>
      <c r="F69" s="9"/>
      <c r="G69" s="10"/>
      <c r="H69" s="10"/>
      <c r="I69" s="11"/>
      <c r="J69" s="52"/>
    </row>
    <row r="70" spans="1:10" ht="15.75" customHeight="1" x14ac:dyDescent="0.3">
      <c r="A70" s="50"/>
      <c r="B70" s="46"/>
      <c r="C70" s="51"/>
      <c r="D70" s="9"/>
      <c r="E70" s="9"/>
      <c r="F70" s="9"/>
      <c r="G70" s="10"/>
      <c r="H70" s="10"/>
      <c r="I70" s="11"/>
      <c r="J70" s="52"/>
    </row>
    <row r="71" spans="1:10" ht="15.75" customHeight="1" x14ac:dyDescent="0.3">
      <c r="A71" s="50"/>
      <c r="B71" s="46"/>
      <c r="C71" s="51"/>
      <c r="D71" s="9"/>
      <c r="E71" s="9"/>
      <c r="F71" s="9"/>
      <c r="G71" s="10"/>
      <c r="H71" s="10"/>
      <c r="I71" s="11"/>
      <c r="J71" s="52"/>
    </row>
    <row r="72" spans="1:10" ht="15.75" customHeight="1" x14ac:dyDescent="0.3">
      <c r="A72" s="50"/>
      <c r="B72" s="46"/>
      <c r="C72" s="51"/>
      <c r="D72" s="9"/>
      <c r="E72" s="9"/>
      <c r="F72" s="9"/>
      <c r="G72" s="10"/>
      <c r="H72" s="10"/>
      <c r="I72" s="11"/>
      <c r="J72" s="52"/>
    </row>
    <row r="73" spans="1:10" ht="15.75" customHeight="1" x14ac:dyDescent="0.3">
      <c r="A73" s="50"/>
      <c r="B73" s="46"/>
      <c r="C73" s="51"/>
      <c r="D73" s="9"/>
      <c r="E73" s="9"/>
      <c r="F73" s="9"/>
      <c r="G73" s="10"/>
      <c r="H73" s="10"/>
      <c r="I73" s="11"/>
      <c r="J73" s="52"/>
    </row>
    <row r="74" spans="1:10" ht="15.75" customHeight="1" x14ac:dyDescent="0.3">
      <c r="A74" s="50"/>
      <c r="B74" s="46"/>
      <c r="C74" s="51"/>
      <c r="D74" s="9"/>
      <c r="E74" s="9"/>
      <c r="F74" s="9"/>
      <c r="G74" s="10"/>
      <c r="H74" s="10"/>
      <c r="I74" s="11"/>
      <c r="J74" s="52"/>
    </row>
    <row r="75" spans="1:10" ht="15.75" customHeight="1" x14ac:dyDescent="0.3">
      <c r="A75" s="50"/>
      <c r="B75" s="46"/>
      <c r="C75" s="51"/>
      <c r="D75" s="9"/>
      <c r="E75" s="9"/>
      <c r="F75" s="9"/>
      <c r="G75" s="10"/>
      <c r="H75" s="10"/>
      <c r="I75" s="11"/>
      <c r="J75" s="52"/>
    </row>
    <row r="76" spans="1:10" ht="15.75" customHeight="1" x14ac:dyDescent="0.3">
      <c r="A76" s="50"/>
      <c r="B76" s="46"/>
      <c r="C76" s="51"/>
      <c r="D76" s="9"/>
      <c r="E76" s="9"/>
      <c r="F76" s="9"/>
      <c r="G76" s="10"/>
      <c r="H76" s="10"/>
      <c r="I76" s="11"/>
      <c r="J76" s="52"/>
    </row>
    <row r="77" spans="1:10" ht="15.75" customHeight="1" x14ac:dyDescent="0.3">
      <c r="A77" s="50"/>
      <c r="B77" s="46"/>
      <c r="C77" s="51"/>
      <c r="D77" s="9"/>
      <c r="E77" s="9"/>
      <c r="F77" s="9"/>
      <c r="G77" s="10"/>
      <c r="H77" s="10"/>
      <c r="I77" s="11"/>
      <c r="J77" s="52"/>
    </row>
    <row r="78" spans="1:10" ht="15.75" customHeight="1" x14ac:dyDescent="0.3">
      <c r="A78" s="50"/>
      <c r="B78" s="46"/>
      <c r="C78" s="51"/>
      <c r="D78" s="9"/>
      <c r="E78" s="9"/>
      <c r="F78" s="9"/>
      <c r="G78" s="10"/>
      <c r="H78" s="10"/>
      <c r="I78" s="11"/>
      <c r="J78" s="52"/>
    </row>
    <row r="79" spans="1:10" ht="15.75" customHeight="1" x14ac:dyDescent="0.3">
      <c r="A79" s="50"/>
      <c r="B79" s="46"/>
      <c r="C79" s="51"/>
      <c r="D79" s="9"/>
      <c r="E79" s="9"/>
      <c r="F79" s="9"/>
      <c r="G79" s="10"/>
      <c r="H79" s="10"/>
      <c r="I79" s="11"/>
      <c r="J79" s="52"/>
    </row>
    <row r="80" spans="1:10" ht="15.75" customHeight="1" x14ac:dyDescent="0.3">
      <c r="A80" s="50"/>
      <c r="B80" s="46"/>
      <c r="C80" s="51"/>
      <c r="D80" s="9"/>
      <c r="E80" s="9"/>
      <c r="F80" s="9"/>
      <c r="G80" s="10"/>
      <c r="H80" s="10"/>
      <c r="I80" s="11"/>
      <c r="J80" s="52"/>
    </row>
    <row r="81" spans="1:10" ht="15.75" customHeight="1" x14ac:dyDescent="0.3">
      <c r="A81" s="50"/>
      <c r="B81" s="46"/>
      <c r="C81" s="51"/>
      <c r="D81" s="9"/>
      <c r="E81" s="9"/>
      <c r="F81" s="9"/>
      <c r="G81" s="10"/>
      <c r="H81" s="10"/>
      <c r="I81" s="11"/>
      <c r="J81" s="52"/>
    </row>
    <row r="82" spans="1:10" ht="15.75" customHeight="1" x14ac:dyDescent="0.3">
      <c r="A82" s="50"/>
      <c r="B82" s="46"/>
      <c r="C82" s="51"/>
      <c r="D82" s="9"/>
      <c r="E82" s="9"/>
      <c r="F82" s="9"/>
      <c r="G82" s="10"/>
      <c r="H82" s="10"/>
      <c r="I82" s="11"/>
      <c r="J82" s="52"/>
    </row>
    <row r="83" spans="1:10" ht="15.75" customHeight="1" x14ac:dyDescent="0.3">
      <c r="A83" s="50"/>
      <c r="B83" s="46"/>
      <c r="C83" s="51"/>
      <c r="D83" s="9"/>
      <c r="E83" s="9"/>
      <c r="F83" s="9"/>
      <c r="G83" s="10"/>
      <c r="H83" s="10"/>
      <c r="I83" s="11"/>
      <c r="J83" s="52"/>
    </row>
    <row r="84" spans="1:10" ht="15.75" customHeight="1" x14ac:dyDescent="0.3">
      <c r="A84" s="50"/>
      <c r="B84" s="46"/>
      <c r="C84" s="51"/>
      <c r="D84" s="9"/>
      <c r="E84" s="9"/>
      <c r="F84" s="9"/>
      <c r="G84" s="10"/>
      <c r="H84" s="10"/>
      <c r="I84" s="11"/>
      <c r="J84" s="52"/>
    </row>
    <row r="85" spans="1:10" ht="15.75" customHeight="1" x14ac:dyDescent="0.3">
      <c r="A85" s="50"/>
      <c r="B85" s="46"/>
      <c r="C85" s="51"/>
      <c r="D85" s="9"/>
      <c r="E85" s="9"/>
      <c r="F85" s="9"/>
      <c r="G85" s="10"/>
      <c r="H85" s="10"/>
      <c r="I85" s="11"/>
      <c r="J85" s="52"/>
    </row>
    <row r="86" spans="1:10" ht="15.75" customHeight="1" x14ac:dyDescent="0.3">
      <c r="A86" s="50"/>
      <c r="B86" s="46"/>
      <c r="C86" s="51"/>
      <c r="D86" s="9"/>
      <c r="E86" s="9"/>
      <c r="F86" s="9"/>
      <c r="G86" s="10"/>
      <c r="H86" s="10"/>
      <c r="I86" s="11"/>
      <c r="J86" s="52"/>
    </row>
    <row r="87" spans="1:10" ht="15.75" customHeight="1" x14ac:dyDescent="0.3">
      <c r="A87" s="50"/>
      <c r="B87" s="46"/>
      <c r="C87" s="51"/>
      <c r="D87" s="9"/>
      <c r="E87" s="9"/>
      <c r="F87" s="9"/>
      <c r="G87" s="10"/>
      <c r="H87" s="10"/>
      <c r="I87" s="11"/>
      <c r="J87" s="52"/>
    </row>
    <row r="88" spans="1:10" ht="15.75" customHeight="1" x14ac:dyDescent="0.3">
      <c r="A88" s="50"/>
      <c r="B88" s="46"/>
      <c r="C88" s="51"/>
      <c r="D88" s="9"/>
      <c r="E88" s="9"/>
      <c r="F88" s="9"/>
      <c r="G88" s="10"/>
      <c r="H88" s="10"/>
      <c r="I88" s="11"/>
      <c r="J88" s="52"/>
    </row>
    <row r="89" spans="1:10" ht="15.75" customHeight="1" x14ac:dyDescent="0.3">
      <c r="A89" s="50"/>
      <c r="B89" s="46"/>
      <c r="C89" s="51"/>
      <c r="D89" s="9"/>
      <c r="E89" s="9"/>
      <c r="F89" s="9"/>
      <c r="G89" s="10"/>
      <c r="H89" s="10"/>
      <c r="I89" s="11"/>
      <c r="J89" s="52"/>
    </row>
    <row r="90" spans="1:10" ht="15.75" customHeight="1" x14ac:dyDescent="0.3">
      <c r="A90" s="50"/>
      <c r="B90" s="46"/>
      <c r="C90" s="51"/>
      <c r="D90" s="9"/>
      <c r="E90" s="9"/>
      <c r="F90" s="9"/>
      <c r="G90" s="10"/>
      <c r="H90" s="10"/>
      <c r="I90" s="11"/>
      <c r="J90" s="52"/>
    </row>
    <row r="91" spans="1:10" ht="15.75" customHeight="1" x14ac:dyDescent="0.3">
      <c r="A91" s="50"/>
      <c r="B91" s="46"/>
      <c r="C91" s="51"/>
      <c r="D91" s="9"/>
      <c r="E91" s="9"/>
      <c r="F91" s="9"/>
      <c r="G91" s="10"/>
      <c r="H91" s="10"/>
      <c r="I91" s="11"/>
      <c r="J91" s="52"/>
    </row>
    <row r="92" spans="1:10" ht="15.75" customHeight="1" x14ac:dyDescent="0.3">
      <c r="A92" s="50"/>
      <c r="B92" s="46"/>
      <c r="C92" s="51"/>
      <c r="D92" s="9"/>
      <c r="E92" s="9"/>
      <c r="F92" s="9"/>
      <c r="G92" s="10"/>
      <c r="H92" s="10"/>
      <c r="I92" s="11"/>
      <c r="J92" s="52"/>
    </row>
    <row r="93" spans="1:10" ht="15.75" customHeight="1" x14ac:dyDescent="0.3">
      <c r="A93" s="50"/>
      <c r="B93" s="46"/>
      <c r="C93" s="51"/>
      <c r="D93" s="9"/>
      <c r="E93" s="9"/>
      <c r="F93" s="9"/>
      <c r="G93" s="10"/>
      <c r="H93" s="10"/>
      <c r="I93" s="11"/>
      <c r="J93" s="52"/>
    </row>
    <row r="94" spans="1:10" ht="15.75" customHeight="1" x14ac:dyDescent="0.3">
      <c r="A94" s="50"/>
      <c r="B94" s="46"/>
      <c r="C94" s="51"/>
      <c r="D94" s="9"/>
      <c r="E94" s="9"/>
      <c r="F94" s="9"/>
      <c r="G94" s="10"/>
      <c r="H94" s="10"/>
      <c r="I94" s="11"/>
      <c r="J94" s="52"/>
    </row>
    <row r="95" spans="1:10" ht="15.75" customHeight="1" x14ac:dyDescent="0.3">
      <c r="A95" s="50"/>
      <c r="B95" s="46"/>
      <c r="C95" s="51"/>
      <c r="D95" s="9"/>
      <c r="E95" s="9"/>
      <c r="F95" s="9"/>
      <c r="G95" s="10"/>
      <c r="H95" s="10"/>
      <c r="I95" s="11"/>
      <c r="J95" s="52"/>
    </row>
    <row r="96" spans="1:10" ht="15.75" customHeight="1" x14ac:dyDescent="0.3">
      <c r="A96" s="50"/>
      <c r="B96" s="46"/>
      <c r="C96" s="51"/>
      <c r="D96" s="9"/>
      <c r="E96" s="9"/>
      <c r="F96" s="9"/>
      <c r="G96" s="10"/>
      <c r="H96" s="10"/>
      <c r="I96" s="11"/>
      <c r="J96" s="52"/>
    </row>
    <row r="97" spans="1:10" ht="15.75" customHeight="1" x14ac:dyDescent="0.3">
      <c r="A97" s="50"/>
      <c r="B97" s="46"/>
      <c r="C97" s="51"/>
      <c r="D97" s="9"/>
      <c r="E97" s="9"/>
      <c r="F97" s="9"/>
      <c r="G97" s="10"/>
      <c r="H97" s="10"/>
      <c r="I97" s="11"/>
      <c r="J97" s="52"/>
    </row>
    <row r="98" spans="1:10" ht="15.75" customHeight="1" x14ac:dyDescent="0.3">
      <c r="A98" s="50"/>
      <c r="B98" s="46"/>
      <c r="C98" s="51"/>
      <c r="D98" s="9"/>
      <c r="E98" s="9"/>
      <c r="F98" s="9"/>
      <c r="G98" s="10"/>
      <c r="H98" s="10"/>
      <c r="I98" s="11"/>
      <c r="J98" s="52"/>
    </row>
    <row r="99" spans="1:10" ht="15.75" customHeight="1" x14ac:dyDescent="0.3">
      <c r="A99" s="50"/>
      <c r="B99" s="46"/>
      <c r="C99" s="51"/>
      <c r="D99" s="9"/>
      <c r="E99" s="9"/>
      <c r="F99" s="9"/>
      <c r="G99" s="10"/>
      <c r="H99" s="10"/>
      <c r="I99" s="11"/>
      <c r="J99" s="52"/>
    </row>
    <row r="100" spans="1:10" ht="15.75" customHeight="1" x14ac:dyDescent="0.3">
      <c r="A100" s="50"/>
      <c r="B100" s="46"/>
      <c r="C100" s="51"/>
      <c r="D100" s="9"/>
      <c r="E100" s="9"/>
      <c r="F100" s="9"/>
      <c r="G100" s="10"/>
      <c r="H100" s="10"/>
      <c r="I100" s="11"/>
      <c r="J100" s="52"/>
    </row>
    <row r="101" spans="1:10" ht="15.75" customHeight="1" x14ac:dyDescent="0.3">
      <c r="A101" s="50"/>
      <c r="B101" s="46"/>
      <c r="C101" s="51"/>
      <c r="D101" s="9"/>
      <c r="E101" s="9"/>
      <c r="F101" s="9"/>
      <c r="G101" s="10"/>
      <c r="H101" s="10"/>
      <c r="I101" s="11"/>
      <c r="J101" s="52"/>
    </row>
    <row r="102" spans="1:10" ht="15.75" customHeight="1" x14ac:dyDescent="0.3">
      <c r="A102" s="50"/>
      <c r="B102" s="46"/>
      <c r="C102" s="51"/>
      <c r="D102" s="9"/>
      <c r="E102" s="9"/>
      <c r="F102" s="9"/>
      <c r="G102" s="10"/>
      <c r="H102" s="10"/>
      <c r="I102" s="11"/>
      <c r="J102" s="52"/>
    </row>
    <row r="103" spans="1:10" ht="15.75" customHeight="1" x14ac:dyDescent="0.3">
      <c r="A103" s="50"/>
      <c r="B103" s="46"/>
      <c r="C103" s="51"/>
      <c r="D103" s="9"/>
      <c r="E103" s="9"/>
      <c r="F103" s="9"/>
      <c r="G103" s="10"/>
      <c r="H103" s="10"/>
      <c r="I103" s="11"/>
      <c r="J103" s="52"/>
    </row>
    <row r="104" spans="1:10" ht="15.75" customHeight="1" x14ac:dyDescent="0.3">
      <c r="A104" s="50"/>
      <c r="B104" s="46"/>
      <c r="C104" s="51"/>
      <c r="D104" s="9"/>
      <c r="E104" s="9"/>
      <c r="F104" s="9"/>
      <c r="G104" s="10"/>
      <c r="H104" s="10"/>
      <c r="I104" s="11"/>
      <c r="J104" s="52"/>
    </row>
    <row r="105" spans="1:10" ht="15.75" customHeight="1" x14ac:dyDescent="0.3">
      <c r="A105" s="50"/>
      <c r="B105" s="46"/>
      <c r="C105" s="51"/>
      <c r="D105" s="9"/>
      <c r="E105" s="9"/>
      <c r="F105" s="9"/>
      <c r="G105" s="10"/>
      <c r="H105" s="10"/>
      <c r="I105" s="11"/>
      <c r="J105" s="52"/>
    </row>
    <row r="106" spans="1:10" ht="15.75" customHeight="1" x14ac:dyDescent="0.3">
      <c r="A106" s="50"/>
      <c r="B106" s="46"/>
      <c r="C106" s="51"/>
      <c r="D106" s="9"/>
      <c r="E106" s="9"/>
      <c r="F106" s="9"/>
      <c r="G106" s="10"/>
      <c r="H106" s="10"/>
      <c r="I106" s="11"/>
      <c r="J106" s="52"/>
    </row>
    <row r="107" spans="1:10" ht="15.75" customHeight="1" x14ac:dyDescent="0.3">
      <c r="A107" s="50"/>
      <c r="B107" s="46"/>
      <c r="C107" s="51"/>
      <c r="D107" s="9"/>
      <c r="E107" s="9"/>
      <c r="F107" s="9"/>
      <c r="G107" s="10"/>
      <c r="H107" s="10"/>
      <c r="I107" s="11"/>
      <c r="J107" s="52"/>
    </row>
    <row r="108" spans="1:10" ht="15.75" customHeight="1" x14ac:dyDescent="0.3">
      <c r="A108" s="50"/>
      <c r="B108" s="46"/>
      <c r="C108" s="51"/>
      <c r="D108" s="9"/>
      <c r="E108" s="9"/>
      <c r="F108" s="9"/>
      <c r="G108" s="10"/>
      <c r="H108" s="10"/>
      <c r="I108" s="11"/>
      <c r="J108" s="52"/>
    </row>
    <row r="109" spans="1:10" ht="15.75" customHeight="1" x14ac:dyDescent="0.3">
      <c r="A109" s="50"/>
      <c r="B109" s="46"/>
      <c r="C109" s="51"/>
      <c r="D109" s="9"/>
      <c r="E109" s="9"/>
      <c r="F109" s="9"/>
      <c r="G109" s="10"/>
      <c r="H109" s="10"/>
      <c r="I109" s="11"/>
      <c r="J109" s="52"/>
    </row>
    <row r="110" spans="1:10" ht="15.75" customHeight="1" x14ac:dyDescent="0.3">
      <c r="A110" s="50"/>
      <c r="B110" s="46"/>
      <c r="C110" s="51"/>
      <c r="D110" s="9"/>
      <c r="E110" s="9"/>
      <c r="F110" s="9"/>
      <c r="G110" s="10"/>
      <c r="H110" s="10"/>
      <c r="I110" s="11"/>
      <c r="J110" s="52"/>
    </row>
    <row r="111" spans="1:10" ht="15.75" customHeight="1" x14ac:dyDescent="0.3">
      <c r="A111" s="50"/>
      <c r="B111" s="46"/>
      <c r="C111" s="51"/>
      <c r="D111" s="9"/>
      <c r="E111" s="9"/>
      <c r="F111" s="9"/>
      <c r="G111" s="10"/>
      <c r="H111" s="10"/>
      <c r="I111" s="11"/>
      <c r="J111" s="52"/>
    </row>
    <row r="112" spans="1:10" ht="15.75" customHeight="1" x14ac:dyDescent="0.3">
      <c r="A112" s="50"/>
      <c r="B112" s="46"/>
      <c r="C112" s="51"/>
      <c r="D112" s="9"/>
      <c r="E112" s="9"/>
      <c r="F112" s="9"/>
      <c r="G112" s="10"/>
      <c r="H112" s="10"/>
      <c r="I112" s="11"/>
      <c r="J112" s="52"/>
    </row>
    <row r="113" spans="1:10" ht="15.75" customHeight="1" x14ac:dyDescent="0.3">
      <c r="A113" s="50"/>
      <c r="B113" s="46"/>
      <c r="C113" s="51"/>
      <c r="D113" s="9"/>
      <c r="E113" s="9"/>
      <c r="F113" s="9"/>
      <c r="G113" s="10"/>
      <c r="H113" s="10"/>
      <c r="I113" s="11"/>
      <c r="J113" s="52"/>
    </row>
    <row r="114" spans="1:10" ht="15.75" customHeight="1" x14ac:dyDescent="0.3">
      <c r="A114" s="50"/>
      <c r="B114" s="46"/>
      <c r="C114" s="51"/>
      <c r="D114" s="9"/>
      <c r="E114" s="9"/>
      <c r="F114" s="9"/>
      <c r="G114" s="10"/>
      <c r="H114" s="10"/>
      <c r="I114" s="11"/>
      <c r="J114" s="52"/>
    </row>
    <row r="115" spans="1:10" ht="15.75" customHeight="1" x14ac:dyDescent="0.3">
      <c r="A115" s="50"/>
      <c r="B115" s="46"/>
      <c r="C115" s="51"/>
      <c r="D115" s="9"/>
      <c r="E115" s="9"/>
      <c r="F115" s="9"/>
      <c r="G115" s="10"/>
      <c r="H115" s="10"/>
      <c r="I115" s="11"/>
      <c r="J115" s="52"/>
    </row>
    <row r="116" spans="1:10" ht="15.75" customHeight="1" x14ac:dyDescent="0.3">
      <c r="A116" s="50"/>
      <c r="B116" s="46"/>
      <c r="C116" s="51"/>
      <c r="D116" s="9"/>
      <c r="E116" s="9"/>
      <c r="F116" s="9"/>
      <c r="G116" s="10"/>
      <c r="H116" s="10"/>
      <c r="I116" s="11"/>
      <c r="J116" s="52"/>
    </row>
    <row r="117" spans="1:10" ht="15.75" customHeight="1" x14ac:dyDescent="0.3">
      <c r="A117" s="50"/>
      <c r="B117" s="46"/>
      <c r="C117" s="51"/>
      <c r="D117" s="9"/>
      <c r="E117" s="9"/>
      <c r="F117" s="9"/>
      <c r="G117" s="10"/>
      <c r="H117" s="10"/>
      <c r="I117" s="11"/>
      <c r="J117" s="52"/>
    </row>
    <row r="118" spans="1:10" ht="15.75" customHeight="1" x14ac:dyDescent="0.3">
      <c r="A118" s="50"/>
      <c r="B118" s="46"/>
      <c r="C118" s="51"/>
      <c r="D118" s="9"/>
      <c r="E118" s="9"/>
      <c r="F118" s="9"/>
      <c r="G118" s="10"/>
      <c r="H118" s="10"/>
      <c r="I118" s="11"/>
      <c r="J118" s="52"/>
    </row>
    <row r="119" spans="1:10" ht="15.75" customHeight="1" x14ac:dyDescent="0.3">
      <c r="A119" s="50"/>
      <c r="B119" s="46"/>
      <c r="C119" s="51"/>
      <c r="D119" s="9"/>
      <c r="E119" s="9"/>
      <c r="F119" s="9"/>
      <c r="G119" s="10"/>
      <c r="H119" s="10"/>
      <c r="I119" s="11"/>
      <c r="J119" s="52"/>
    </row>
    <row r="120" spans="1:10" ht="15.75" customHeight="1" x14ac:dyDescent="0.3">
      <c r="A120" s="50"/>
      <c r="B120" s="46"/>
      <c r="C120" s="51"/>
      <c r="D120" s="9"/>
      <c r="E120" s="9"/>
      <c r="F120" s="9"/>
      <c r="G120" s="10"/>
      <c r="H120" s="10"/>
      <c r="I120" s="11"/>
      <c r="J120" s="52"/>
    </row>
    <row r="121" spans="1:10" ht="15.75" customHeight="1" x14ac:dyDescent="0.3">
      <c r="A121" s="50"/>
      <c r="B121" s="46"/>
      <c r="C121" s="51"/>
      <c r="D121" s="9"/>
      <c r="E121" s="9"/>
      <c r="F121" s="9"/>
      <c r="G121" s="10"/>
      <c r="H121" s="10"/>
      <c r="I121" s="11"/>
      <c r="J121" s="52"/>
    </row>
    <row r="122" spans="1:10" ht="15.75" customHeight="1" x14ac:dyDescent="0.3">
      <c r="A122" s="50"/>
      <c r="B122" s="46"/>
      <c r="C122" s="51"/>
      <c r="D122" s="9"/>
      <c r="E122" s="9"/>
      <c r="F122" s="9"/>
      <c r="G122" s="10"/>
      <c r="H122" s="10"/>
      <c r="I122" s="11"/>
      <c r="J122" s="52"/>
    </row>
    <row r="123" spans="1:10" ht="15.75" customHeight="1" x14ac:dyDescent="0.3">
      <c r="A123" s="50"/>
      <c r="B123" s="46"/>
      <c r="C123" s="51"/>
      <c r="D123" s="9"/>
      <c r="E123" s="9"/>
      <c r="F123" s="9"/>
      <c r="G123" s="10"/>
      <c r="H123" s="10"/>
      <c r="I123" s="11"/>
      <c r="J123" s="52"/>
    </row>
    <row r="124" spans="1:10" ht="15.75" customHeight="1" x14ac:dyDescent="0.3">
      <c r="A124" s="50"/>
      <c r="B124" s="46"/>
      <c r="C124" s="51"/>
      <c r="D124" s="9"/>
      <c r="E124" s="9"/>
      <c r="F124" s="9"/>
      <c r="G124" s="10"/>
      <c r="H124" s="10"/>
      <c r="I124" s="11"/>
      <c r="J124" s="52"/>
    </row>
    <row r="125" spans="1:10" ht="15.75" customHeight="1" x14ac:dyDescent="0.3">
      <c r="A125" s="50"/>
      <c r="B125" s="46"/>
      <c r="C125" s="51"/>
      <c r="D125" s="9"/>
      <c r="E125" s="9"/>
      <c r="F125" s="9"/>
      <c r="G125" s="10"/>
      <c r="H125" s="10"/>
      <c r="I125" s="11"/>
      <c r="J125" s="52"/>
    </row>
    <row r="126" spans="1:10" ht="15.75" customHeight="1" x14ac:dyDescent="0.3">
      <c r="A126" s="50"/>
      <c r="B126" s="46"/>
      <c r="C126" s="51"/>
      <c r="D126" s="9"/>
      <c r="E126" s="9"/>
      <c r="F126" s="9"/>
      <c r="G126" s="10"/>
      <c r="H126" s="10"/>
      <c r="I126" s="11"/>
      <c r="J126" s="52"/>
    </row>
    <row r="127" spans="1:10" ht="15.75" customHeight="1" x14ac:dyDescent="0.3">
      <c r="A127" s="50"/>
      <c r="B127" s="46"/>
      <c r="C127" s="51"/>
      <c r="D127" s="9"/>
      <c r="E127" s="9"/>
      <c r="F127" s="9"/>
      <c r="G127" s="10"/>
      <c r="H127" s="10"/>
      <c r="I127" s="11"/>
      <c r="J127" s="52"/>
    </row>
    <row r="128" spans="1:10" ht="15.75" customHeight="1" x14ac:dyDescent="0.3">
      <c r="A128" s="50"/>
      <c r="B128" s="46"/>
      <c r="C128" s="51"/>
      <c r="D128" s="9"/>
      <c r="E128" s="9"/>
      <c r="F128" s="9"/>
      <c r="G128" s="10"/>
      <c r="H128" s="10"/>
      <c r="I128" s="11"/>
      <c r="J128" s="52"/>
    </row>
    <row r="129" spans="1:10" ht="15.75" customHeight="1" x14ac:dyDescent="0.3">
      <c r="A129" s="50"/>
      <c r="B129" s="46"/>
      <c r="C129" s="51"/>
      <c r="D129" s="9"/>
      <c r="E129" s="9"/>
      <c r="F129" s="9"/>
      <c r="G129" s="10"/>
      <c r="H129" s="10"/>
      <c r="I129" s="11"/>
      <c r="J129" s="52"/>
    </row>
    <row r="130" spans="1:10" ht="15.75" customHeight="1" x14ac:dyDescent="0.3">
      <c r="A130" s="50"/>
      <c r="B130" s="46"/>
      <c r="C130" s="51"/>
      <c r="D130" s="9"/>
      <c r="E130" s="9"/>
      <c r="F130" s="9"/>
      <c r="G130" s="10"/>
      <c r="H130" s="10"/>
      <c r="I130" s="11"/>
      <c r="J130" s="52"/>
    </row>
    <row r="131" spans="1:10" ht="15.75" customHeight="1" x14ac:dyDescent="0.3">
      <c r="A131" s="50"/>
      <c r="B131" s="46"/>
      <c r="C131" s="51"/>
      <c r="D131" s="9"/>
      <c r="E131" s="9"/>
      <c r="F131" s="9"/>
      <c r="G131" s="10"/>
      <c r="H131" s="10"/>
      <c r="I131" s="11"/>
      <c r="J131" s="52"/>
    </row>
    <row r="132" spans="1:10" ht="15.75" customHeight="1" x14ac:dyDescent="0.3">
      <c r="A132" s="50"/>
      <c r="B132" s="46"/>
      <c r="C132" s="51"/>
      <c r="D132" s="9"/>
      <c r="E132" s="9"/>
      <c r="F132" s="9"/>
      <c r="G132" s="10"/>
      <c r="H132" s="10"/>
      <c r="I132" s="11"/>
      <c r="J132" s="52"/>
    </row>
    <row r="133" spans="1:10" ht="15.75" customHeight="1" x14ac:dyDescent="0.3">
      <c r="A133" s="50"/>
      <c r="B133" s="46"/>
      <c r="C133" s="51"/>
      <c r="D133" s="9"/>
      <c r="E133" s="9"/>
      <c r="F133" s="9"/>
      <c r="G133" s="10"/>
      <c r="H133" s="10"/>
      <c r="I133" s="11"/>
      <c r="J133" s="52"/>
    </row>
    <row r="134" spans="1:10" ht="15.75" customHeight="1" x14ac:dyDescent="0.3">
      <c r="A134" s="50"/>
      <c r="B134" s="46"/>
      <c r="C134" s="51"/>
      <c r="D134" s="9"/>
      <c r="E134" s="9"/>
      <c r="F134" s="9"/>
      <c r="G134" s="10"/>
      <c r="H134" s="10"/>
      <c r="I134" s="11"/>
      <c r="J134" s="52"/>
    </row>
    <row r="135" spans="1:10" ht="15.75" customHeight="1" x14ac:dyDescent="0.3">
      <c r="A135" s="50"/>
      <c r="B135" s="46"/>
      <c r="C135" s="51"/>
      <c r="D135" s="9"/>
      <c r="E135" s="9"/>
      <c r="F135" s="9"/>
      <c r="G135" s="10"/>
      <c r="H135" s="10"/>
      <c r="I135" s="11"/>
      <c r="J135" s="52"/>
    </row>
    <row r="136" spans="1:10" ht="15.75" customHeight="1" x14ac:dyDescent="0.3">
      <c r="A136" s="50"/>
      <c r="B136" s="46"/>
      <c r="C136" s="51"/>
      <c r="D136" s="9"/>
      <c r="E136" s="9"/>
      <c r="F136" s="9"/>
      <c r="G136" s="10"/>
      <c r="H136" s="10"/>
      <c r="I136" s="11"/>
      <c r="J136" s="52"/>
    </row>
    <row r="137" spans="1:10" ht="15.75" customHeight="1" x14ac:dyDescent="0.3">
      <c r="A137" s="50"/>
      <c r="B137" s="46"/>
      <c r="C137" s="51"/>
      <c r="D137" s="9"/>
      <c r="E137" s="9"/>
      <c r="F137" s="9"/>
      <c r="G137" s="10"/>
      <c r="H137" s="10"/>
      <c r="I137" s="11"/>
      <c r="J137" s="52"/>
    </row>
    <row r="138" spans="1:10" ht="15.75" customHeight="1" x14ac:dyDescent="0.3">
      <c r="A138" s="50"/>
      <c r="B138" s="46"/>
      <c r="C138" s="51"/>
      <c r="D138" s="9"/>
      <c r="E138" s="9"/>
      <c r="F138" s="9"/>
      <c r="G138" s="10"/>
      <c r="H138" s="10"/>
      <c r="I138" s="11"/>
      <c r="J138" s="52"/>
    </row>
    <row r="139" spans="1:10" ht="15.75" customHeight="1" x14ac:dyDescent="0.3">
      <c r="A139" s="50"/>
      <c r="B139" s="46"/>
      <c r="C139" s="51"/>
      <c r="D139" s="9"/>
      <c r="E139" s="9"/>
      <c r="F139" s="9"/>
      <c r="G139" s="10"/>
      <c r="H139" s="10"/>
      <c r="I139" s="11"/>
      <c r="J139" s="52"/>
    </row>
    <row r="140" spans="1:10" ht="15.75" customHeight="1" x14ac:dyDescent="0.3">
      <c r="A140" s="50"/>
      <c r="B140" s="46"/>
      <c r="C140" s="51"/>
      <c r="D140" s="9"/>
      <c r="E140" s="9"/>
      <c r="F140" s="9"/>
      <c r="G140" s="10"/>
      <c r="H140" s="10"/>
      <c r="I140" s="11"/>
      <c r="J140" s="52"/>
    </row>
    <row r="141" spans="1:10" ht="15.75" customHeight="1" x14ac:dyDescent="0.3">
      <c r="A141" s="50"/>
      <c r="B141" s="46"/>
      <c r="C141" s="51"/>
      <c r="D141" s="9"/>
      <c r="E141" s="9"/>
      <c r="F141" s="9"/>
      <c r="G141" s="10"/>
      <c r="H141" s="10"/>
      <c r="I141" s="11"/>
      <c r="J141" s="52"/>
    </row>
    <row r="142" spans="1:10" ht="15.75" customHeight="1" x14ac:dyDescent="0.3">
      <c r="A142" s="50"/>
      <c r="B142" s="46"/>
      <c r="C142" s="51"/>
      <c r="D142" s="9"/>
      <c r="E142" s="9"/>
      <c r="F142" s="9"/>
      <c r="G142" s="10"/>
      <c r="H142" s="10"/>
      <c r="I142" s="11"/>
      <c r="J142" s="52"/>
    </row>
    <row r="143" spans="1:10" ht="15.75" customHeight="1" x14ac:dyDescent="0.3">
      <c r="A143" s="50"/>
      <c r="B143" s="46"/>
      <c r="C143" s="51"/>
      <c r="D143" s="9"/>
      <c r="E143" s="9"/>
      <c r="F143" s="9"/>
      <c r="G143" s="10"/>
      <c r="H143" s="10"/>
      <c r="I143" s="11"/>
      <c r="J143" s="52"/>
    </row>
    <row r="144" spans="1:10" ht="15.75" customHeight="1" x14ac:dyDescent="0.3">
      <c r="A144" s="50"/>
      <c r="B144" s="46"/>
      <c r="C144" s="51"/>
      <c r="D144" s="9"/>
      <c r="E144" s="9"/>
      <c r="F144" s="9"/>
      <c r="G144" s="10"/>
      <c r="H144" s="10"/>
      <c r="I144" s="11"/>
      <c r="J144" s="52"/>
    </row>
    <row r="145" spans="1:10" ht="15.75" customHeight="1" x14ac:dyDescent="0.3">
      <c r="A145" s="50"/>
      <c r="B145" s="46"/>
      <c r="C145" s="51"/>
      <c r="D145" s="9"/>
      <c r="E145" s="9"/>
      <c r="F145" s="9"/>
      <c r="G145" s="10"/>
      <c r="H145" s="10"/>
      <c r="I145" s="11"/>
      <c r="J145" s="52"/>
    </row>
    <row r="146" spans="1:10" ht="15.75" customHeight="1" x14ac:dyDescent="0.3">
      <c r="A146" s="50"/>
      <c r="B146" s="46"/>
      <c r="C146" s="51"/>
      <c r="D146" s="9"/>
      <c r="E146" s="9"/>
      <c r="F146" s="9"/>
      <c r="G146" s="10"/>
      <c r="H146" s="10"/>
      <c r="I146" s="11"/>
      <c r="J146" s="52"/>
    </row>
    <row r="147" spans="1:10" ht="15.75" customHeight="1" x14ac:dyDescent="0.3">
      <c r="A147" s="50"/>
      <c r="B147" s="46"/>
      <c r="C147" s="51"/>
      <c r="D147" s="9"/>
      <c r="E147" s="9"/>
      <c r="F147" s="9"/>
      <c r="G147" s="10"/>
      <c r="H147" s="10"/>
      <c r="I147" s="11"/>
      <c r="J147" s="52"/>
    </row>
    <row r="148" spans="1:10" ht="15.75" customHeight="1" x14ac:dyDescent="0.3">
      <c r="A148" s="50"/>
      <c r="B148" s="46"/>
      <c r="C148" s="51"/>
      <c r="D148" s="9"/>
      <c r="E148" s="9"/>
      <c r="F148" s="9"/>
      <c r="G148" s="10"/>
      <c r="H148" s="10"/>
      <c r="I148" s="11"/>
      <c r="J148" s="52"/>
    </row>
    <row r="149" spans="1:10" ht="15.75" customHeight="1" x14ac:dyDescent="0.3">
      <c r="A149" s="50"/>
      <c r="B149" s="46"/>
      <c r="C149" s="51"/>
      <c r="D149" s="9"/>
      <c r="E149" s="9"/>
      <c r="F149" s="9"/>
      <c r="G149" s="10"/>
      <c r="H149" s="10"/>
      <c r="I149" s="11"/>
      <c r="J149" s="52"/>
    </row>
    <row r="150" spans="1:10" ht="15.75" customHeight="1" x14ac:dyDescent="0.3">
      <c r="A150" s="50"/>
      <c r="B150" s="46"/>
      <c r="C150" s="51"/>
      <c r="D150" s="9"/>
      <c r="E150" s="9"/>
      <c r="F150" s="9"/>
      <c r="G150" s="10"/>
      <c r="H150" s="10"/>
      <c r="I150" s="11"/>
      <c r="J150" s="52"/>
    </row>
    <row r="151" spans="1:10" ht="15.75" customHeight="1" x14ac:dyDescent="0.3">
      <c r="A151" s="50"/>
      <c r="B151" s="46"/>
      <c r="C151" s="51"/>
      <c r="D151" s="9"/>
      <c r="E151" s="9"/>
      <c r="F151" s="9"/>
      <c r="G151" s="10"/>
      <c r="H151" s="10"/>
      <c r="I151" s="11"/>
      <c r="J151" s="52"/>
    </row>
    <row r="152" spans="1:10" ht="15.75" customHeight="1" x14ac:dyDescent="0.3">
      <c r="A152" s="50"/>
      <c r="B152" s="46"/>
      <c r="C152" s="51"/>
      <c r="D152" s="9"/>
      <c r="E152" s="9"/>
      <c r="F152" s="9"/>
      <c r="G152" s="10"/>
      <c r="H152" s="10"/>
      <c r="I152" s="11"/>
      <c r="J152" s="52"/>
    </row>
    <row r="153" spans="1:10" ht="15.75" customHeight="1" x14ac:dyDescent="0.3">
      <c r="A153" s="50"/>
      <c r="B153" s="46"/>
      <c r="C153" s="51"/>
      <c r="D153" s="9"/>
      <c r="E153" s="9"/>
      <c r="F153" s="9"/>
      <c r="G153" s="10"/>
      <c r="H153" s="10"/>
      <c r="I153" s="11"/>
      <c r="J153" s="52"/>
    </row>
    <row r="154" spans="1:10" ht="15.75" customHeight="1" x14ac:dyDescent="0.3">
      <c r="A154" s="50"/>
      <c r="B154" s="46"/>
      <c r="C154" s="51"/>
      <c r="D154" s="9"/>
      <c r="E154" s="9"/>
      <c r="F154" s="9"/>
      <c r="G154" s="10"/>
      <c r="H154" s="10"/>
      <c r="I154" s="11"/>
      <c r="J154" s="52"/>
    </row>
    <row r="155" spans="1:10" ht="15.75" customHeight="1" x14ac:dyDescent="0.3">
      <c r="A155" s="50"/>
      <c r="B155" s="46"/>
      <c r="C155" s="51"/>
      <c r="D155" s="9"/>
      <c r="E155" s="9"/>
      <c r="F155" s="9"/>
      <c r="G155" s="10"/>
      <c r="H155" s="10"/>
      <c r="I155" s="11"/>
      <c r="J155" s="52"/>
    </row>
    <row r="156" spans="1:10" ht="15.75" customHeight="1" x14ac:dyDescent="0.3">
      <c r="A156" s="50"/>
      <c r="B156" s="46"/>
      <c r="C156" s="51"/>
      <c r="D156" s="9"/>
      <c r="E156" s="9"/>
      <c r="F156" s="9"/>
      <c r="G156" s="10"/>
      <c r="H156" s="10"/>
      <c r="I156" s="11"/>
      <c r="J156" s="52"/>
    </row>
    <row r="157" spans="1:10" ht="15.75" customHeight="1" x14ac:dyDescent="0.3">
      <c r="A157" s="50"/>
      <c r="B157" s="46"/>
      <c r="C157" s="51"/>
      <c r="D157" s="9"/>
      <c r="E157" s="9"/>
      <c r="F157" s="9"/>
      <c r="G157" s="10"/>
      <c r="H157" s="10"/>
      <c r="I157" s="11"/>
      <c r="J157" s="52"/>
    </row>
    <row r="158" spans="1:10" ht="15.75" customHeight="1" x14ac:dyDescent="0.3">
      <c r="A158" s="50"/>
      <c r="B158" s="46"/>
      <c r="C158" s="51"/>
      <c r="D158" s="9"/>
      <c r="E158" s="9"/>
      <c r="F158" s="9"/>
      <c r="G158" s="10"/>
      <c r="H158" s="10"/>
      <c r="I158" s="11"/>
      <c r="J158" s="52"/>
    </row>
    <row r="159" spans="1:10" ht="15.75" customHeight="1" x14ac:dyDescent="0.3">
      <c r="A159" s="50"/>
      <c r="B159" s="46"/>
      <c r="C159" s="51"/>
      <c r="D159" s="9"/>
      <c r="E159" s="9"/>
      <c r="F159" s="9"/>
      <c r="G159" s="10"/>
      <c r="H159" s="10"/>
      <c r="I159" s="11"/>
      <c r="J159" s="52"/>
    </row>
    <row r="160" spans="1:10" ht="15.75" customHeight="1" x14ac:dyDescent="0.3">
      <c r="A160" s="50"/>
      <c r="B160" s="46"/>
      <c r="C160" s="51"/>
      <c r="D160" s="9"/>
      <c r="E160" s="9"/>
      <c r="F160" s="9"/>
      <c r="G160" s="10"/>
      <c r="H160" s="10"/>
      <c r="I160" s="11"/>
      <c r="J160" s="52"/>
    </row>
    <row r="161" spans="1:10" ht="15.75" customHeight="1" x14ac:dyDescent="0.3">
      <c r="A161" s="50"/>
      <c r="B161" s="46"/>
      <c r="C161" s="51"/>
      <c r="D161" s="9"/>
      <c r="E161" s="9"/>
      <c r="F161" s="9"/>
      <c r="G161" s="10"/>
      <c r="H161" s="10"/>
      <c r="I161" s="11"/>
      <c r="J161" s="52"/>
    </row>
    <row r="162" spans="1:10" ht="15.75" customHeight="1" x14ac:dyDescent="0.3">
      <c r="A162" s="50"/>
      <c r="B162" s="46"/>
      <c r="C162" s="51"/>
      <c r="D162" s="9"/>
      <c r="E162" s="9"/>
      <c r="F162" s="9"/>
      <c r="G162" s="10"/>
      <c r="H162" s="10"/>
      <c r="I162" s="11"/>
      <c r="J162" s="52"/>
    </row>
    <row r="163" spans="1:10" ht="15.75" customHeight="1" x14ac:dyDescent="0.3">
      <c r="A163" s="50"/>
      <c r="B163" s="46"/>
      <c r="C163" s="51"/>
      <c r="D163" s="9"/>
      <c r="E163" s="9"/>
      <c r="F163" s="9"/>
      <c r="G163" s="10"/>
      <c r="H163" s="10"/>
      <c r="I163" s="11"/>
      <c r="J163" s="52"/>
    </row>
    <row r="164" spans="1:10" ht="15.75" customHeight="1" x14ac:dyDescent="0.3">
      <c r="A164" s="50"/>
      <c r="B164" s="46"/>
      <c r="C164" s="51"/>
      <c r="D164" s="9"/>
      <c r="E164" s="9"/>
      <c r="F164" s="9"/>
      <c r="G164" s="10"/>
      <c r="H164" s="10"/>
      <c r="I164" s="11"/>
      <c r="J164" s="52"/>
    </row>
    <row r="165" spans="1:10" ht="15.75" customHeight="1" x14ac:dyDescent="0.3">
      <c r="A165" s="50"/>
      <c r="B165" s="46"/>
      <c r="C165" s="51"/>
      <c r="D165" s="9"/>
      <c r="E165" s="9"/>
      <c r="F165" s="9"/>
      <c r="G165" s="10"/>
      <c r="H165" s="10"/>
      <c r="I165" s="11"/>
      <c r="J165" s="52"/>
    </row>
    <row r="166" spans="1:10" ht="15.75" customHeight="1" x14ac:dyDescent="0.3">
      <c r="A166" s="50"/>
      <c r="B166" s="46"/>
      <c r="C166" s="51"/>
      <c r="D166" s="9"/>
      <c r="E166" s="9"/>
      <c r="F166" s="9"/>
      <c r="G166" s="10"/>
      <c r="H166" s="10"/>
      <c r="I166" s="11"/>
      <c r="J166" s="52"/>
    </row>
    <row r="167" spans="1:10" ht="15.75" customHeight="1" x14ac:dyDescent="0.3">
      <c r="A167" s="50"/>
      <c r="B167" s="46"/>
      <c r="C167" s="51"/>
      <c r="D167" s="9"/>
      <c r="E167" s="9"/>
      <c r="F167" s="9"/>
      <c r="G167" s="10"/>
      <c r="H167" s="10"/>
      <c r="I167" s="11"/>
      <c r="J167" s="52"/>
    </row>
    <row r="168" spans="1:10" ht="15.75" customHeight="1" x14ac:dyDescent="0.3">
      <c r="A168" s="50"/>
      <c r="B168" s="46"/>
      <c r="C168" s="51"/>
      <c r="D168" s="9"/>
      <c r="E168" s="9"/>
      <c r="F168" s="9"/>
      <c r="G168" s="10"/>
      <c r="H168" s="10"/>
      <c r="I168" s="11"/>
      <c r="J168" s="52"/>
    </row>
    <row r="169" spans="1:10" ht="15.75" customHeight="1" x14ac:dyDescent="0.3">
      <c r="A169" s="50"/>
      <c r="B169" s="46"/>
      <c r="C169" s="51"/>
      <c r="D169" s="9"/>
      <c r="E169" s="9"/>
      <c r="F169" s="9"/>
      <c r="G169" s="10"/>
      <c r="H169" s="10"/>
      <c r="I169" s="11"/>
      <c r="J169" s="52"/>
    </row>
    <row r="170" spans="1:10" ht="15.75" customHeight="1" x14ac:dyDescent="0.3">
      <c r="A170" s="50"/>
      <c r="B170" s="46"/>
      <c r="C170" s="51"/>
      <c r="D170" s="9"/>
      <c r="E170" s="9"/>
      <c r="F170" s="9"/>
      <c r="G170" s="10"/>
      <c r="H170" s="10"/>
      <c r="I170" s="11"/>
      <c r="J170" s="52"/>
    </row>
    <row r="171" spans="1:10" ht="15.75" customHeight="1" x14ac:dyDescent="0.3">
      <c r="A171" s="50"/>
      <c r="B171" s="46"/>
      <c r="C171" s="51"/>
      <c r="D171" s="9"/>
      <c r="E171" s="9"/>
      <c r="F171" s="9"/>
      <c r="G171" s="10"/>
      <c r="H171" s="10"/>
      <c r="I171" s="11"/>
      <c r="J171" s="52"/>
    </row>
    <row r="172" spans="1:10" ht="15.75" customHeight="1" x14ac:dyDescent="0.3">
      <c r="A172" s="50"/>
      <c r="B172" s="46"/>
      <c r="C172" s="51"/>
      <c r="D172" s="9"/>
      <c r="E172" s="9"/>
      <c r="F172" s="9"/>
      <c r="G172" s="10"/>
      <c r="H172" s="10"/>
      <c r="I172" s="11"/>
      <c r="J172" s="52"/>
    </row>
    <row r="173" spans="1:10" ht="15.75" customHeight="1" x14ac:dyDescent="0.3">
      <c r="A173" s="50"/>
      <c r="B173" s="46"/>
      <c r="C173" s="51"/>
      <c r="D173" s="9"/>
      <c r="E173" s="9"/>
      <c r="F173" s="9"/>
      <c r="G173" s="10"/>
      <c r="H173" s="10"/>
      <c r="I173" s="11"/>
      <c r="J173" s="52"/>
    </row>
    <row r="174" spans="1:10" ht="15.75" customHeight="1" x14ac:dyDescent="0.3">
      <c r="A174" s="50"/>
      <c r="B174" s="46"/>
      <c r="C174" s="51"/>
      <c r="D174" s="9"/>
      <c r="E174" s="9"/>
      <c r="F174" s="9"/>
      <c r="G174" s="10"/>
      <c r="H174" s="10"/>
      <c r="I174" s="11"/>
      <c r="J174" s="52"/>
    </row>
    <row r="175" spans="1:10" ht="15.75" customHeight="1" x14ac:dyDescent="0.3">
      <c r="A175" s="50"/>
      <c r="B175" s="46"/>
      <c r="C175" s="51"/>
      <c r="D175" s="9"/>
      <c r="E175" s="9"/>
      <c r="F175" s="9"/>
      <c r="G175" s="10"/>
      <c r="H175" s="10"/>
      <c r="I175" s="11"/>
      <c r="J175" s="52"/>
    </row>
    <row r="176" spans="1:10" ht="15.75" customHeight="1" x14ac:dyDescent="0.3">
      <c r="A176" s="50"/>
      <c r="B176" s="46"/>
      <c r="C176" s="51"/>
      <c r="D176" s="9"/>
      <c r="E176" s="9"/>
      <c r="F176" s="9"/>
      <c r="G176" s="10"/>
      <c r="H176" s="10"/>
      <c r="I176" s="11"/>
      <c r="J176" s="52"/>
    </row>
    <row r="177" spans="1:10" ht="15.75" customHeight="1" x14ac:dyDescent="0.3">
      <c r="A177" s="50"/>
      <c r="B177" s="46"/>
      <c r="C177" s="51"/>
      <c r="D177" s="9"/>
      <c r="E177" s="9"/>
      <c r="F177" s="9"/>
      <c r="G177" s="10"/>
      <c r="H177" s="10"/>
      <c r="I177" s="11"/>
      <c r="J177" s="52"/>
    </row>
    <row r="178" spans="1:10" ht="15.75" customHeight="1" x14ac:dyDescent="0.3">
      <c r="A178" s="50"/>
      <c r="B178" s="46"/>
      <c r="C178" s="51"/>
      <c r="D178" s="9"/>
      <c r="E178" s="9"/>
      <c r="F178" s="9"/>
      <c r="G178" s="10"/>
      <c r="H178" s="10"/>
      <c r="I178" s="11"/>
      <c r="J178" s="52"/>
    </row>
    <row r="179" spans="1:10" ht="15.75" customHeight="1" x14ac:dyDescent="0.3">
      <c r="A179" s="50"/>
      <c r="B179" s="46"/>
      <c r="C179" s="51"/>
      <c r="D179" s="9"/>
      <c r="E179" s="9"/>
      <c r="F179" s="9"/>
      <c r="G179" s="10"/>
      <c r="H179" s="10"/>
      <c r="I179" s="11"/>
      <c r="J179" s="52"/>
    </row>
    <row r="180" spans="1:10" ht="15.75" customHeight="1" x14ac:dyDescent="0.3">
      <c r="A180" s="50"/>
      <c r="B180" s="46"/>
      <c r="C180" s="51"/>
      <c r="D180" s="9"/>
      <c r="E180" s="9"/>
      <c r="F180" s="9"/>
      <c r="G180" s="10"/>
      <c r="H180" s="10"/>
      <c r="I180" s="11"/>
      <c r="J180" s="52"/>
    </row>
    <row r="181" spans="1:10" ht="15.75" customHeight="1" x14ac:dyDescent="0.3">
      <c r="A181" s="50"/>
      <c r="B181" s="46"/>
      <c r="C181" s="51"/>
      <c r="D181" s="9"/>
      <c r="E181" s="9"/>
      <c r="F181" s="9"/>
      <c r="G181" s="10"/>
      <c r="H181" s="10"/>
      <c r="I181" s="11"/>
      <c r="J181" s="52"/>
    </row>
    <row r="182" spans="1:10" ht="15.75" customHeight="1" x14ac:dyDescent="0.3">
      <c r="A182" s="50"/>
      <c r="B182" s="46"/>
      <c r="C182" s="51"/>
      <c r="D182" s="9"/>
      <c r="E182" s="9"/>
      <c r="F182" s="9"/>
      <c r="G182" s="10"/>
      <c r="H182" s="10"/>
      <c r="I182" s="11"/>
      <c r="J182" s="52"/>
    </row>
    <row r="183" spans="1:10" ht="15.75" customHeight="1" x14ac:dyDescent="0.3">
      <c r="A183" s="50"/>
      <c r="B183" s="46"/>
      <c r="C183" s="51"/>
      <c r="D183" s="9"/>
      <c r="E183" s="9"/>
      <c r="F183" s="9"/>
      <c r="G183" s="10"/>
      <c r="H183" s="10"/>
      <c r="I183" s="11"/>
      <c r="J183" s="52"/>
    </row>
    <row r="184" spans="1:10" ht="15.75" customHeight="1" x14ac:dyDescent="0.3">
      <c r="A184" s="50"/>
      <c r="B184" s="46"/>
      <c r="C184" s="51"/>
      <c r="D184" s="9"/>
      <c r="E184" s="9"/>
      <c r="F184" s="9"/>
      <c r="G184" s="10"/>
      <c r="H184" s="10"/>
      <c r="I184" s="11"/>
      <c r="J184" s="52"/>
    </row>
    <row r="185" spans="1:10" ht="15.75" customHeight="1" x14ac:dyDescent="0.3">
      <c r="A185" s="50"/>
      <c r="B185" s="46"/>
      <c r="C185" s="51"/>
      <c r="D185" s="9"/>
      <c r="E185" s="9"/>
      <c r="F185" s="9"/>
      <c r="G185" s="10"/>
      <c r="H185" s="10"/>
      <c r="I185" s="11"/>
      <c r="J185" s="52"/>
    </row>
    <row r="186" spans="1:10" ht="15.75" customHeight="1" x14ac:dyDescent="0.3">
      <c r="A186" s="50"/>
      <c r="B186" s="46"/>
      <c r="C186" s="51"/>
      <c r="D186" s="9"/>
      <c r="E186" s="9"/>
      <c r="F186" s="9"/>
      <c r="G186" s="10"/>
      <c r="H186" s="10"/>
      <c r="I186" s="11"/>
      <c r="J186" s="52"/>
    </row>
    <row r="187" spans="1:10" ht="15.75" customHeight="1" x14ac:dyDescent="0.3">
      <c r="A187" s="50"/>
      <c r="B187" s="46"/>
      <c r="C187" s="51"/>
      <c r="D187" s="9"/>
      <c r="E187" s="9"/>
      <c r="F187" s="9"/>
      <c r="G187" s="10"/>
      <c r="H187" s="10"/>
      <c r="I187" s="11"/>
      <c r="J187" s="52"/>
    </row>
    <row r="188" spans="1:10" ht="15.75" customHeight="1" x14ac:dyDescent="0.3">
      <c r="A188" s="50"/>
      <c r="B188" s="46"/>
      <c r="C188" s="51"/>
      <c r="D188" s="9"/>
      <c r="E188" s="9"/>
      <c r="F188" s="9"/>
      <c r="G188" s="10"/>
      <c r="H188" s="10"/>
      <c r="I188" s="11"/>
      <c r="J188" s="52"/>
    </row>
    <row r="189" spans="1:10" ht="15.75" customHeight="1" x14ac:dyDescent="0.3">
      <c r="A189" s="50"/>
      <c r="B189" s="46"/>
      <c r="C189" s="51"/>
      <c r="D189" s="9"/>
      <c r="E189" s="9"/>
      <c r="F189" s="9"/>
      <c r="G189" s="10"/>
      <c r="H189" s="10"/>
      <c r="I189" s="11"/>
      <c r="J189" s="52"/>
    </row>
    <row r="190" spans="1:10" ht="15.75" customHeight="1" x14ac:dyDescent="0.3">
      <c r="A190" s="50"/>
      <c r="B190" s="46"/>
      <c r="C190" s="51"/>
      <c r="D190" s="9"/>
      <c r="E190" s="9"/>
      <c r="F190" s="9"/>
      <c r="G190" s="10"/>
      <c r="H190" s="10"/>
      <c r="I190" s="11"/>
      <c r="J190" s="52"/>
    </row>
    <row r="191" spans="1:10" ht="15.75" customHeight="1" x14ac:dyDescent="0.3">
      <c r="A191" s="50"/>
      <c r="B191" s="46"/>
      <c r="C191" s="51"/>
      <c r="D191" s="9"/>
      <c r="E191" s="9"/>
      <c r="F191" s="9"/>
      <c r="G191" s="10"/>
      <c r="H191" s="10"/>
      <c r="I191" s="11"/>
      <c r="J191" s="52"/>
    </row>
    <row r="192" spans="1:10" ht="15.75" customHeight="1" x14ac:dyDescent="0.3">
      <c r="A192" s="50"/>
      <c r="B192" s="46"/>
      <c r="C192" s="51"/>
      <c r="D192" s="9"/>
      <c r="E192" s="9"/>
      <c r="F192" s="9"/>
      <c r="G192" s="10"/>
      <c r="H192" s="10"/>
      <c r="I192" s="11"/>
      <c r="J192" s="52"/>
    </row>
    <row r="193" spans="1:10" ht="15.75" customHeight="1" x14ac:dyDescent="0.3">
      <c r="A193" s="50"/>
      <c r="B193" s="46"/>
      <c r="C193" s="51"/>
      <c r="D193" s="9"/>
      <c r="E193" s="9"/>
      <c r="F193" s="9"/>
      <c r="G193" s="10"/>
      <c r="H193" s="10"/>
      <c r="I193" s="11"/>
      <c r="J193" s="52"/>
    </row>
    <row r="194" spans="1:10" ht="15.75" customHeight="1" x14ac:dyDescent="0.3">
      <c r="A194" s="50"/>
      <c r="B194" s="46"/>
      <c r="C194" s="51"/>
      <c r="D194" s="9"/>
      <c r="E194" s="9"/>
      <c r="F194" s="9"/>
      <c r="G194" s="10"/>
      <c r="H194" s="10"/>
      <c r="I194" s="11"/>
      <c r="J194" s="52"/>
    </row>
    <row r="195" spans="1:10" ht="15.75" customHeight="1" x14ac:dyDescent="0.3">
      <c r="A195" s="50"/>
      <c r="B195" s="46"/>
      <c r="C195" s="51"/>
      <c r="D195" s="9"/>
      <c r="E195" s="9"/>
      <c r="F195" s="9"/>
      <c r="G195" s="10"/>
      <c r="H195" s="10"/>
      <c r="I195" s="11"/>
      <c r="J195" s="52"/>
    </row>
    <row r="196" spans="1:10" ht="15.75" customHeight="1" x14ac:dyDescent="0.3">
      <c r="A196" s="50"/>
      <c r="B196" s="46"/>
      <c r="C196" s="51"/>
      <c r="D196" s="9"/>
      <c r="E196" s="9"/>
      <c r="F196" s="9"/>
      <c r="G196" s="10"/>
      <c r="H196" s="10"/>
      <c r="I196" s="11"/>
      <c r="J196" s="52"/>
    </row>
    <row r="197" spans="1:10" ht="15.75" customHeight="1" x14ac:dyDescent="0.3">
      <c r="A197" s="50"/>
      <c r="B197" s="46"/>
      <c r="C197" s="51"/>
      <c r="D197" s="9"/>
      <c r="E197" s="9"/>
      <c r="F197" s="9"/>
      <c r="G197" s="10"/>
      <c r="H197" s="10"/>
      <c r="I197" s="11"/>
      <c r="J197" s="52"/>
    </row>
    <row r="198" spans="1:10" ht="15.75" customHeight="1" x14ac:dyDescent="0.3">
      <c r="A198" s="50"/>
      <c r="B198" s="46"/>
      <c r="C198" s="51"/>
      <c r="D198" s="9"/>
      <c r="E198" s="9"/>
      <c r="F198" s="9"/>
      <c r="G198" s="10"/>
      <c r="H198" s="10"/>
      <c r="I198" s="11"/>
      <c r="J198" s="52"/>
    </row>
    <row r="199" spans="1:10" ht="15.75" customHeight="1" x14ac:dyDescent="0.3">
      <c r="A199" s="50"/>
      <c r="B199" s="46"/>
      <c r="C199" s="51"/>
      <c r="D199" s="9"/>
      <c r="E199" s="9"/>
      <c r="F199" s="9"/>
      <c r="G199" s="10"/>
      <c r="H199" s="10"/>
      <c r="I199" s="11"/>
      <c r="J199" s="52"/>
    </row>
    <row r="200" spans="1:10" ht="15.75" customHeight="1" x14ac:dyDescent="0.3">
      <c r="A200" s="50"/>
      <c r="B200" s="46"/>
      <c r="C200" s="51"/>
      <c r="D200" s="9"/>
      <c r="E200" s="9"/>
      <c r="F200" s="9"/>
      <c r="G200" s="10"/>
      <c r="H200" s="10"/>
      <c r="I200" s="11"/>
      <c r="J200" s="52"/>
    </row>
    <row r="201" spans="1:10" ht="15.75" customHeight="1" x14ac:dyDescent="0.3">
      <c r="A201" s="50"/>
      <c r="B201" s="46"/>
      <c r="C201" s="51"/>
      <c r="D201" s="9"/>
      <c r="E201" s="9"/>
      <c r="F201" s="9"/>
      <c r="G201" s="10"/>
      <c r="H201" s="10"/>
      <c r="I201" s="11"/>
      <c r="J201" s="52"/>
    </row>
    <row r="202" spans="1:10" ht="15.75" customHeight="1" x14ac:dyDescent="0.3">
      <c r="A202" s="50"/>
      <c r="B202" s="46"/>
      <c r="C202" s="51"/>
      <c r="D202" s="9"/>
      <c r="E202" s="9"/>
      <c r="F202" s="9"/>
      <c r="G202" s="10"/>
      <c r="H202" s="10"/>
      <c r="I202" s="11"/>
      <c r="J202" s="52"/>
    </row>
    <row r="203" spans="1:10" ht="15.75" customHeight="1" x14ac:dyDescent="0.3">
      <c r="A203" s="50"/>
      <c r="B203" s="46"/>
      <c r="C203" s="51"/>
      <c r="D203" s="9"/>
      <c r="E203" s="9"/>
      <c r="F203" s="9"/>
      <c r="G203" s="10"/>
      <c r="H203" s="10"/>
      <c r="I203" s="11"/>
      <c r="J203" s="52"/>
    </row>
    <row r="204" spans="1:10" ht="15.75" customHeight="1" x14ac:dyDescent="0.3">
      <c r="A204" s="50"/>
      <c r="B204" s="46"/>
      <c r="C204" s="51"/>
      <c r="D204" s="9"/>
      <c r="E204" s="9"/>
      <c r="F204" s="9"/>
      <c r="G204" s="10"/>
      <c r="H204" s="10"/>
      <c r="I204" s="11"/>
      <c r="J204" s="52"/>
    </row>
    <row r="205" spans="1:10" ht="15.75" customHeight="1" x14ac:dyDescent="0.3">
      <c r="A205" s="50"/>
      <c r="B205" s="46"/>
      <c r="C205" s="51"/>
      <c r="D205" s="9"/>
      <c r="E205" s="9"/>
      <c r="F205" s="9"/>
      <c r="G205" s="10"/>
      <c r="H205" s="10"/>
      <c r="I205" s="11"/>
      <c r="J205" s="52"/>
    </row>
    <row r="206" spans="1:10" ht="15.75" customHeight="1" x14ac:dyDescent="0.3">
      <c r="A206" s="50"/>
      <c r="B206" s="46"/>
      <c r="C206" s="51"/>
      <c r="D206" s="9"/>
      <c r="E206" s="9"/>
      <c r="F206" s="9"/>
      <c r="G206" s="10"/>
      <c r="H206" s="10"/>
      <c r="I206" s="11"/>
      <c r="J206" s="52"/>
    </row>
    <row r="207" spans="1:10" ht="15.75" customHeight="1" x14ac:dyDescent="0.3">
      <c r="A207" s="50"/>
      <c r="B207" s="46"/>
      <c r="C207" s="51"/>
      <c r="D207" s="9"/>
      <c r="E207" s="9"/>
      <c r="F207" s="9"/>
      <c r="G207" s="10"/>
      <c r="H207" s="10"/>
      <c r="I207" s="11"/>
      <c r="J207" s="52"/>
    </row>
    <row r="208" spans="1:10" ht="15.75" customHeight="1" x14ac:dyDescent="0.3">
      <c r="A208" s="50"/>
      <c r="B208" s="46"/>
      <c r="C208" s="51"/>
      <c r="D208" s="9"/>
      <c r="E208" s="9"/>
      <c r="F208" s="9"/>
      <c r="G208" s="10"/>
      <c r="H208" s="10"/>
      <c r="I208" s="11"/>
      <c r="J208" s="52"/>
    </row>
    <row r="209" spans="1:10" ht="15.75" customHeight="1" x14ac:dyDescent="0.3">
      <c r="A209" s="50"/>
      <c r="B209" s="46"/>
      <c r="C209" s="51"/>
      <c r="D209" s="9"/>
      <c r="E209" s="9"/>
      <c r="F209" s="9"/>
      <c r="G209" s="10"/>
      <c r="H209" s="10"/>
      <c r="I209" s="11"/>
      <c r="J209" s="52"/>
    </row>
    <row r="210" spans="1:10" ht="15.75" customHeight="1" x14ac:dyDescent="0.3">
      <c r="A210" s="50"/>
      <c r="B210" s="46"/>
      <c r="C210" s="51"/>
      <c r="D210" s="9"/>
      <c r="E210" s="9"/>
      <c r="F210" s="9"/>
      <c r="G210" s="10"/>
      <c r="H210" s="10"/>
      <c r="I210" s="11"/>
      <c r="J210" s="52"/>
    </row>
    <row r="211" spans="1:10" ht="15.75" customHeight="1" x14ac:dyDescent="0.3">
      <c r="A211" s="50"/>
      <c r="B211" s="46"/>
      <c r="C211" s="51"/>
      <c r="D211" s="9"/>
      <c r="E211" s="9"/>
      <c r="F211" s="9"/>
      <c r="G211" s="10"/>
      <c r="H211" s="10"/>
      <c r="I211" s="11"/>
      <c r="J211" s="52"/>
    </row>
    <row r="212" spans="1:10" ht="15.75" customHeight="1" x14ac:dyDescent="0.3">
      <c r="A212" s="50"/>
      <c r="B212" s="46"/>
      <c r="C212" s="51"/>
      <c r="D212" s="9"/>
      <c r="E212" s="9"/>
      <c r="F212" s="9"/>
      <c r="G212" s="10"/>
      <c r="H212" s="10"/>
      <c r="I212" s="11"/>
      <c r="J212" s="52"/>
    </row>
    <row r="213" spans="1:10" ht="15.75" customHeight="1" x14ac:dyDescent="0.3">
      <c r="A213" s="50"/>
      <c r="B213" s="46"/>
      <c r="C213" s="51"/>
      <c r="D213" s="9"/>
      <c r="E213" s="9"/>
      <c r="F213" s="9"/>
      <c r="G213" s="10"/>
      <c r="H213" s="10"/>
      <c r="I213" s="11"/>
      <c r="J213" s="52"/>
    </row>
    <row r="214" spans="1:10" ht="15.75" customHeight="1" x14ac:dyDescent="0.3">
      <c r="A214" s="50"/>
      <c r="B214" s="46"/>
      <c r="C214" s="51"/>
      <c r="D214" s="9"/>
      <c r="E214" s="9"/>
      <c r="F214" s="9"/>
      <c r="G214" s="10"/>
      <c r="H214" s="10"/>
      <c r="I214" s="11"/>
      <c r="J214" s="52"/>
    </row>
    <row r="215" spans="1:10" ht="15.75" customHeight="1" x14ac:dyDescent="0.3">
      <c r="A215" s="50"/>
      <c r="B215" s="46"/>
      <c r="C215" s="51"/>
      <c r="D215" s="9"/>
      <c r="E215" s="9"/>
      <c r="F215" s="9"/>
      <c r="G215" s="10"/>
      <c r="H215" s="10"/>
      <c r="I215" s="11"/>
      <c r="J215" s="52"/>
    </row>
    <row r="216" spans="1:10" ht="15.75" customHeight="1" x14ac:dyDescent="0.3">
      <c r="A216" s="50"/>
      <c r="B216" s="46"/>
      <c r="C216" s="51"/>
      <c r="D216" s="9"/>
      <c r="E216" s="9"/>
      <c r="F216" s="9"/>
      <c r="G216" s="10"/>
      <c r="H216" s="10"/>
      <c r="I216" s="11"/>
      <c r="J216" s="52"/>
    </row>
    <row r="217" spans="1:10" ht="15.75" customHeight="1" x14ac:dyDescent="0.3">
      <c r="A217" s="50"/>
      <c r="B217" s="46"/>
      <c r="C217" s="51"/>
      <c r="D217" s="9"/>
      <c r="E217" s="9"/>
      <c r="F217" s="9"/>
      <c r="G217" s="10"/>
      <c r="H217" s="10"/>
      <c r="I217" s="11"/>
      <c r="J217" s="52"/>
    </row>
    <row r="218" spans="1:10" ht="15.75" customHeight="1" x14ac:dyDescent="0.3">
      <c r="A218" s="50"/>
      <c r="B218" s="46"/>
      <c r="C218" s="51"/>
      <c r="D218" s="9"/>
      <c r="E218" s="9"/>
      <c r="F218" s="9"/>
      <c r="G218" s="10"/>
      <c r="H218" s="10"/>
      <c r="I218" s="11"/>
      <c r="J218" s="52"/>
    </row>
    <row r="219" spans="1:10" ht="15.75" customHeight="1" x14ac:dyDescent="0.3">
      <c r="A219" s="50"/>
      <c r="B219" s="46"/>
      <c r="C219" s="51"/>
      <c r="D219" s="9"/>
      <c r="E219" s="9"/>
      <c r="F219" s="9"/>
      <c r="G219" s="10"/>
      <c r="H219" s="10"/>
      <c r="I219" s="11"/>
      <c r="J219" s="52"/>
    </row>
    <row r="220" spans="1:10" ht="15.75" customHeight="1" x14ac:dyDescent="0.3">
      <c r="A220" s="50"/>
      <c r="B220" s="46"/>
      <c r="C220" s="51"/>
      <c r="D220" s="9"/>
      <c r="E220" s="9"/>
      <c r="F220" s="9"/>
      <c r="G220" s="10"/>
      <c r="H220" s="10"/>
      <c r="I220" s="11"/>
      <c r="J220" s="52"/>
    </row>
    <row r="221" spans="1:10" ht="15.75" customHeight="1" x14ac:dyDescent="0.3">
      <c r="A221" s="50"/>
      <c r="B221" s="46"/>
      <c r="C221" s="51"/>
      <c r="D221" s="9"/>
      <c r="E221" s="9"/>
      <c r="F221" s="9"/>
      <c r="G221" s="10"/>
      <c r="H221" s="10"/>
      <c r="I221" s="11"/>
      <c r="J221" s="52"/>
    </row>
    <row r="222" spans="1:10" ht="15.75" customHeight="1" x14ac:dyDescent="0.3">
      <c r="A222" s="50"/>
      <c r="B222" s="46"/>
      <c r="C222" s="51"/>
      <c r="D222" s="9"/>
      <c r="E222" s="9"/>
      <c r="F222" s="9"/>
      <c r="G222" s="10"/>
      <c r="H222" s="10"/>
      <c r="I222" s="11"/>
      <c r="J222" s="52"/>
    </row>
    <row r="223" spans="1:10" ht="15.75" customHeight="1" x14ac:dyDescent="0.3">
      <c r="A223" s="50"/>
      <c r="B223" s="46"/>
      <c r="C223" s="51"/>
      <c r="D223" s="9"/>
      <c r="E223" s="9"/>
      <c r="F223" s="9"/>
      <c r="G223" s="10"/>
      <c r="H223" s="10"/>
      <c r="I223" s="11"/>
      <c r="J223" s="52"/>
    </row>
    <row r="224" spans="1:10" ht="15.75" customHeight="1" x14ac:dyDescent="0.3">
      <c r="A224" s="50"/>
      <c r="B224" s="46"/>
      <c r="C224" s="51"/>
      <c r="D224" s="9"/>
      <c r="E224" s="9"/>
      <c r="F224" s="9"/>
      <c r="G224" s="10"/>
      <c r="H224" s="10"/>
      <c r="I224" s="11"/>
      <c r="J224" s="52"/>
    </row>
    <row r="225" spans="1:10" ht="15.75" customHeight="1" x14ac:dyDescent="0.3">
      <c r="A225" s="50"/>
      <c r="B225" s="46"/>
      <c r="C225" s="51"/>
      <c r="D225" s="9"/>
      <c r="E225" s="9"/>
      <c r="F225" s="9"/>
      <c r="G225" s="10"/>
      <c r="H225" s="10"/>
      <c r="I225" s="11"/>
      <c r="J225" s="52"/>
    </row>
    <row r="226" spans="1:10" ht="15.75" customHeight="1" x14ac:dyDescent="0.3">
      <c r="A226" s="50"/>
      <c r="B226" s="46"/>
      <c r="C226" s="51"/>
      <c r="D226" s="9"/>
      <c r="E226" s="9"/>
      <c r="F226" s="9"/>
      <c r="G226" s="10"/>
      <c r="H226" s="10"/>
      <c r="I226" s="11"/>
      <c r="J226" s="52"/>
    </row>
    <row r="227" spans="1:10" ht="15.75" customHeight="1" x14ac:dyDescent="0.3">
      <c r="A227" s="50"/>
      <c r="B227" s="46"/>
      <c r="C227" s="51"/>
      <c r="D227" s="9"/>
      <c r="E227" s="9"/>
      <c r="F227" s="9"/>
      <c r="G227" s="10"/>
      <c r="H227" s="10"/>
      <c r="I227" s="11"/>
      <c r="J227" s="52"/>
    </row>
    <row r="228" spans="1:10" ht="15.75" customHeight="1" x14ac:dyDescent="0.3">
      <c r="A228" s="50"/>
      <c r="B228" s="46"/>
      <c r="C228" s="51"/>
      <c r="D228" s="9"/>
      <c r="E228" s="9"/>
      <c r="F228" s="9"/>
      <c r="G228" s="10"/>
      <c r="H228" s="10"/>
      <c r="I228" s="11"/>
      <c r="J228" s="52"/>
    </row>
    <row r="229" spans="1:10" ht="15.75" customHeight="1" x14ac:dyDescent="0.3">
      <c r="A229" s="50"/>
      <c r="B229" s="46"/>
      <c r="C229" s="51"/>
      <c r="D229" s="9"/>
      <c r="E229" s="9"/>
      <c r="F229" s="9"/>
      <c r="G229" s="10"/>
      <c r="H229" s="10"/>
      <c r="I229" s="11"/>
      <c r="J229" s="52"/>
    </row>
    <row r="230" spans="1:10" ht="15.75" customHeight="1" x14ac:dyDescent="0.3">
      <c r="A230" s="50"/>
      <c r="B230" s="46"/>
      <c r="C230" s="51"/>
      <c r="D230" s="9"/>
      <c r="E230" s="9"/>
      <c r="F230" s="9"/>
      <c r="G230" s="10"/>
      <c r="H230" s="10"/>
      <c r="I230" s="11"/>
      <c r="J230" s="52"/>
    </row>
    <row r="231" spans="1:10" ht="15.75" customHeight="1" x14ac:dyDescent="0.3">
      <c r="A231" s="50"/>
      <c r="B231" s="46"/>
      <c r="C231" s="51"/>
      <c r="D231" s="9"/>
      <c r="E231" s="9"/>
      <c r="F231" s="9"/>
      <c r="G231" s="10"/>
      <c r="H231" s="10"/>
      <c r="I231" s="11"/>
      <c r="J231" s="52"/>
    </row>
    <row r="232" spans="1:10" ht="15.75" customHeight="1" x14ac:dyDescent="0.3">
      <c r="A232" s="50"/>
      <c r="B232" s="46"/>
      <c r="C232" s="51"/>
      <c r="D232" s="9"/>
      <c r="E232" s="9"/>
      <c r="F232" s="9"/>
      <c r="G232" s="10"/>
      <c r="H232" s="10"/>
      <c r="I232" s="11"/>
      <c r="J232" s="52"/>
    </row>
    <row r="233" spans="1:10" ht="15.75" customHeight="1" x14ac:dyDescent="0.3">
      <c r="A233" s="50"/>
      <c r="B233" s="46"/>
      <c r="C233" s="51"/>
      <c r="D233" s="9"/>
      <c r="E233" s="9"/>
      <c r="F233" s="9"/>
      <c r="G233" s="10"/>
      <c r="H233" s="10"/>
      <c r="I233" s="11"/>
      <c r="J233" s="52"/>
    </row>
    <row r="234" spans="1:10" ht="15.75" customHeight="1" x14ac:dyDescent="0.3">
      <c r="A234" s="50"/>
      <c r="B234" s="46"/>
      <c r="C234" s="51"/>
      <c r="D234" s="9"/>
      <c r="E234" s="9"/>
      <c r="F234" s="9"/>
      <c r="G234" s="10"/>
      <c r="H234" s="10"/>
      <c r="I234" s="11"/>
      <c r="J234" s="52"/>
    </row>
    <row r="235" spans="1:10" ht="15.75" customHeight="1" x14ac:dyDescent="0.3">
      <c r="A235" s="50"/>
      <c r="B235" s="46"/>
      <c r="C235" s="51"/>
      <c r="D235" s="9"/>
      <c r="E235" s="9"/>
      <c r="F235" s="9"/>
      <c r="G235" s="10"/>
      <c r="H235" s="10"/>
      <c r="I235" s="11"/>
      <c r="J235" s="52"/>
    </row>
    <row r="236" spans="1:10" ht="15.75" customHeight="1" x14ac:dyDescent="0.3">
      <c r="A236" s="50"/>
      <c r="B236" s="46"/>
      <c r="C236" s="51"/>
      <c r="D236" s="9"/>
      <c r="E236" s="9"/>
      <c r="F236" s="9"/>
      <c r="G236" s="10"/>
      <c r="H236" s="10"/>
      <c r="I236" s="11"/>
      <c r="J236" s="52"/>
    </row>
    <row r="237" spans="1:10" ht="15.75" customHeight="1" x14ac:dyDescent="0.3">
      <c r="A237" s="50"/>
      <c r="B237" s="46"/>
      <c r="C237" s="51"/>
      <c r="D237" s="9"/>
      <c r="E237" s="9"/>
      <c r="F237" s="9"/>
      <c r="G237" s="10"/>
      <c r="H237" s="10"/>
      <c r="I237" s="11"/>
      <c r="J237" s="52"/>
    </row>
    <row r="238" spans="1:10" ht="15.75" customHeight="1" x14ac:dyDescent="0.3">
      <c r="A238" s="50"/>
      <c r="B238" s="46"/>
      <c r="C238" s="51"/>
      <c r="D238" s="9"/>
      <c r="E238" s="9"/>
      <c r="F238" s="9"/>
      <c r="G238" s="10"/>
      <c r="H238" s="10"/>
      <c r="I238" s="11"/>
      <c r="J238" s="52"/>
    </row>
    <row r="239" spans="1:10" ht="15.75" customHeight="1" x14ac:dyDescent="0.3">
      <c r="A239" s="50"/>
      <c r="B239" s="46"/>
      <c r="C239" s="51"/>
      <c r="D239" s="9"/>
      <c r="E239" s="9"/>
      <c r="F239" s="9"/>
      <c r="G239" s="10"/>
      <c r="H239" s="10"/>
      <c r="I239" s="11"/>
      <c r="J239" s="52"/>
    </row>
    <row r="240" spans="1:10" ht="15.75" customHeight="1" x14ac:dyDescent="0.3">
      <c r="A240" s="50"/>
      <c r="B240" s="46"/>
      <c r="C240" s="51"/>
      <c r="D240" s="9"/>
      <c r="E240" s="9"/>
      <c r="F240" s="9"/>
      <c r="G240" s="10"/>
      <c r="H240" s="10"/>
      <c r="I240" s="11"/>
      <c r="J240" s="52"/>
    </row>
    <row r="241" spans="1:10" ht="15.75" customHeight="1" x14ac:dyDescent="0.3">
      <c r="A241" s="50"/>
      <c r="B241" s="46"/>
      <c r="C241" s="51"/>
      <c r="D241" s="9"/>
      <c r="E241" s="9"/>
      <c r="F241" s="9"/>
      <c r="G241" s="10"/>
      <c r="H241" s="10"/>
      <c r="I241" s="11"/>
      <c r="J241" s="52"/>
    </row>
    <row r="242" spans="1:10" ht="15.75" customHeight="1" x14ac:dyDescent="0.3">
      <c r="A242" s="53"/>
      <c r="B242" s="54"/>
      <c r="G242" s="32"/>
      <c r="H242" s="32"/>
      <c r="I242" s="48"/>
    </row>
    <row r="243" spans="1:10" ht="15.75" customHeight="1" x14ac:dyDescent="0.3">
      <c r="A243" s="53"/>
      <c r="B243" s="54"/>
      <c r="G243" s="32"/>
      <c r="H243" s="32"/>
      <c r="I243" s="48"/>
    </row>
    <row r="244" spans="1:10" ht="15.75" customHeight="1" x14ac:dyDescent="0.3">
      <c r="A244" s="53"/>
      <c r="B244" s="54"/>
      <c r="G244" s="32"/>
      <c r="H244" s="32"/>
      <c r="I244" s="48"/>
    </row>
    <row r="245" spans="1:10" ht="15.75" customHeight="1" x14ac:dyDescent="0.3">
      <c r="A245" s="53"/>
      <c r="B245" s="54"/>
      <c r="G245" s="32"/>
      <c r="H245" s="32"/>
      <c r="I245" s="48"/>
    </row>
    <row r="246" spans="1:10" ht="15.75" customHeight="1" x14ac:dyDescent="0.3">
      <c r="A246" s="53"/>
      <c r="B246" s="54"/>
      <c r="G246" s="32"/>
      <c r="H246" s="32"/>
      <c r="I246" s="48"/>
    </row>
    <row r="247" spans="1:10" ht="15.75" customHeight="1" x14ac:dyDescent="0.3">
      <c r="A247" s="53"/>
      <c r="B247" s="54"/>
      <c r="G247" s="32"/>
      <c r="H247" s="32"/>
      <c r="I247" s="48"/>
    </row>
    <row r="248" spans="1:10" ht="15.75" customHeight="1" x14ac:dyDescent="0.3">
      <c r="A248" s="53"/>
      <c r="B248" s="54"/>
      <c r="G248" s="32"/>
      <c r="H248" s="32"/>
      <c r="I248" s="48"/>
    </row>
    <row r="249" spans="1:10" ht="15.75" customHeight="1" x14ac:dyDescent="0.3">
      <c r="A249" s="53"/>
      <c r="B249" s="54"/>
      <c r="G249" s="32"/>
      <c r="H249" s="32"/>
      <c r="I249" s="48"/>
    </row>
    <row r="250" spans="1:10" ht="15.75" customHeight="1" x14ac:dyDescent="0.3">
      <c r="A250" s="53"/>
      <c r="B250" s="54"/>
      <c r="G250" s="32"/>
      <c r="H250" s="32"/>
      <c r="I250" s="48"/>
    </row>
    <row r="251" spans="1:10" ht="15.75" customHeight="1" x14ac:dyDescent="0.3">
      <c r="A251" s="53"/>
      <c r="B251" s="54"/>
      <c r="G251" s="32"/>
      <c r="H251" s="32"/>
      <c r="I251" s="48"/>
    </row>
    <row r="252" spans="1:10" ht="15.75" customHeight="1" x14ac:dyDescent="0.3">
      <c r="A252" s="53"/>
      <c r="B252" s="54"/>
      <c r="G252" s="32"/>
      <c r="H252" s="32"/>
      <c r="I252" s="48"/>
    </row>
    <row r="253" spans="1:10" ht="15.75" customHeight="1" x14ac:dyDescent="0.3">
      <c r="A253" s="53"/>
      <c r="B253" s="54"/>
      <c r="G253" s="32"/>
      <c r="H253" s="32"/>
      <c r="I253" s="48"/>
    </row>
    <row r="254" spans="1:10" ht="15.75" customHeight="1" x14ac:dyDescent="0.3">
      <c r="A254" s="53"/>
      <c r="B254" s="54"/>
      <c r="G254" s="32"/>
      <c r="H254" s="32"/>
      <c r="I254" s="48"/>
    </row>
    <row r="255" spans="1:10" ht="15.75" customHeight="1" x14ac:dyDescent="0.3">
      <c r="A255" s="53"/>
      <c r="B255" s="54"/>
      <c r="G255" s="32"/>
      <c r="H255" s="32"/>
      <c r="I255" s="48"/>
    </row>
    <row r="256" spans="1:10" ht="15.75" customHeight="1" x14ac:dyDescent="0.3">
      <c r="A256" s="53"/>
      <c r="B256" s="54"/>
      <c r="G256" s="32"/>
      <c r="H256" s="32"/>
      <c r="I256" s="48"/>
    </row>
    <row r="257" spans="1:9" ht="15.75" customHeight="1" x14ac:dyDescent="0.3">
      <c r="A257" s="53"/>
      <c r="B257" s="54"/>
      <c r="G257" s="32"/>
      <c r="H257" s="32"/>
      <c r="I257" s="48"/>
    </row>
    <row r="258" spans="1:9" ht="15.75" customHeight="1" x14ac:dyDescent="0.3">
      <c r="A258" s="53"/>
      <c r="B258" s="54"/>
      <c r="G258" s="32"/>
      <c r="H258" s="32"/>
      <c r="I258" s="48"/>
    </row>
    <row r="259" spans="1:9" ht="15.75" customHeight="1" x14ac:dyDescent="0.3">
      <c r="A259" s="53"/>
      <c r="B259" s="54"/>
      <c r="G259" s="32"/>
      <c r="H259" s="32"/>
      <c r="I259" s="48"/>
    </row>
    <row r="260" spans="1:9" ht="15.75" customHeight="1" x14ac:dyDescent="0.3">
      <c r="A260" s="53"/>
      <c r="B260" s="54"/>
      <c r="G260" s="32"/>
      <c r="H260" s="32"/>
      <c r="I260" s="48"/>
    </row>
    <row r="261" spans="1:9" ht="15.75" customHeight="1" x14ac:dyDescent="0.3">
      <c r="A261" s="53"/>
      <c r="B261" s="54"/>
      <c r="G261" s="32"/>
      <c r="H261" s="32"/>
      <c r="I261" s="48"/>
    </row>
    <row r="262" spans="1:9" ht="15.75" customHeight="1" x14ac:dyDescent="0.3">
      <c r="A262" s="53"/>
      <c r="B262" s="54"/>
      <c r="G262" s="32"/>
      <c r="H262" s="32"/>
      <c r="I262" s="48"/>
    </row>
    <row r="263" spans="1:9" ht="15.75" customHeight="1" x14ac:dyDescent="0.3">
      <c r="A263" s="53"/>
      <c r="B263" s="54"/>
      <c r="G263" s="32"/>
      <c r="H263" s="32"/>
      <c r="I263" s="48"/>
    </row>
    <row r="264" spans="1:9" ht="15.75" customHeight="1" x14ac:dyDescent="0.3">
      <c r="A264" s="53"/>
      <c r="B264" s="54"/>
      <c r="G264" s="32"/>
      <c r="H264" s="32"/>
      <c r="I264" s="48"/>
    </row>
    <row r="265" spans="1:9" ht="15.75" customHeight="1" x14ac:dyDescent="0.3">
      <c r="A265" s="53"/>
      <c r="B265" s="54"/>
      <c r="G265" s="32"/>
      <c r="H265" s="32"/>
      <c r="I265" s="48"/>
    </row>
    <row r="266" spans="1:9" ht="15.75" customHeight="1" x14ac:dyDescent="0.3">
      <c r="A266" s="53"/>
      <c r="B266" s="54"/>
      <c r="G266" s="32"/>
      <c r="H266" s="32"/>
      <c r="I266" s="48"/>
    </row>
    <row r="267" spans="1:9" ht="15.75" customHeight="1" x14ac:dyDescent="0.3">
      <c r="A267" s="53"/>
      <c r="B267" s="54"/>
      <c r="G267" s="32"/>
      <c r="H267" s="32"/>
      <c r="I267" s="48"/>
    </row>
    <row r="268" spans="1:9" ht="15.75" customHeight="1" x14ac:dyDescent="0.3">
      <c r="A268" s="53"/>
      <c r="B268" s="54"/>
      <c r="G268" s="32"/>
      <c r="H268" s="32"/>
      <c r="I268" s="48"/>
    </row>
    <row r="269" spans="1:9" ht="15.75" customHeight="1" x14ac:dyDescent="0.3">
      <c r="A269" s="53"/>
      <c r="B269" s="54"/>
      <c r="G269" s="32"/>
      <c r="H269" s="32"/>
      <c r="I269" s="48"/>
    </row>
    <row r="270" spans="1:9" ht="15.75" customHeight="1" x14ac:dyDescent="0.3">
      <c r="A270" s="53"/>
      <c r="B270" s="54"/>
      <c r="G270" s="32"/>
      <c r="H270" s="32"/>
      <c r="I270" s="48"/>
    </row>
    <row r="271" spans="1:9" ht="15.75" customHeight="1" x14ac:dyDescent="0.3">
      <c r="A271" s="53"/>
      <c r="B271" s="54"/>
      <c r="G271" s="32"/>
      <c r="H271" s="32"/>
      <c r="I271" s="48"/>
    </row>
    <row r="272" spans="1:9" ht="15.75" customHeight="1" x14ac:dyDescent="0.3">
      <c r="A272" s="53"/>
      <c r="B272" s="54"/>
      <c r="G272" s="32"/>
      <c r="H272" s="32"/>
      <c r="I272" s="48"/>
    </row>
    <row r="273" spans="1:9" ht="15.75" customHeight="1" x14ac:dyDescent="0.3">
      <c r="A273" s="53"/>
      <c r="B273" s="54"/>
      <c r="G273" s="32"/>
      <c r="H273" s="32"/>
      <c r="I273" s="48"/>
    </row>
    <row r="274" spans="1:9" ht="15.75" customHeight="1" x14ac:dyDescent="0.3">
      <c r="A274" s="53"/>
      <c r="B274" s="54"/>
      <c r="G274" s="32"/>
      <c r="H274" s="32"/>
      <c r="I274" s="48"/>
    </row>
    <row r="275" spans="1:9" ht="15.75" customHeight="1" x14ac:dyDescent="0.3">
      <c r="A275" s="53"/>
      <c r="B275" s="54"/>
      <c r="G275" s="32"/>
      <c r="H275" s="32"/>
      <c r="I275" s="48"/>
    </row>
    <row r="276" spans="1:9" ht="15.75" customHeight="1" x14ac:dyDescent="0.3">
      <c r="A276" s="53"/>
      <c r="B276" s="54"/>
      <c r="G276" s="32"/>
      <c r="H276" s="32"/>
      <c r="I276" s="48"/>
    </row>
    <row r="277" spans="1:9" ht="15.75" customHeight="1" x14ac:dyDescent="0.3">
      <c r="A277" s="53"/>
      <c r="B277" s="54"/>
      <c r="G277" s="32"/>
      <c r="H277" s="32"/>
      <c r="I277" s="48"/>
    </row>
    <row r="278" spans="1:9" ht="15.75" customHeight="1" x14ac:dyDescent="0.3">
      <c r="A278" s="53"/>
      <c r="B278" s="54"/>
      <c r="G278" s="32"/>
      <c r="H278" s="32"/>
      <c r="I278" s="48"/>
    </row>
    <row r="279" spans="1:9" ht="15.75" customHeight="1" x14ac:dyDescent="0.3">
      <c r="A279" s="53"/>
      <c r="B279" s="54"/>
      <c r="G279" s="32"/>
      <c r="H279" s="32"/>
      <c r="I279" s="48"/>
    </row>
    <row r="280" spans="1:9" ht="15.75" customHeight="1" x14ac:dyDescent="0.3">
      <c r="A280" s="53"/>
      <c r="B280" s="54"/>
      <c r="G280" s="32"/>
      <c r="H280" s="32"/>
      <c r="I280" s="48"/>
    </row>
    <row r="281" spans="1:9" ht="15.75" customHeight="1" x14ac:dyDescent="0.3">
      <c r="A281" s="53"/>
      <c r="B281" s="54"/>
      <c r="G281" s="32"/>
      <c r="H281" s="32"/>
      <c r="I281" s="48"/>
    </row>
    <row r="282" spans="1:9" ht="15.75" customHeight="1" x14ac:dyDescent="0.3">
      <c r="A282" s="53"/>
      <c r="B282" s="54"/>
      <c r="G282" s="32"/>
      <c r="H282" s="32"/>
      <c r="I282" s="48"/>
    </row>
    <row r="283" spans="1:9" ht="15.75" customHeight="1" x14ac:dyDescent="0.3">
      <c r="A283" s="53"/>
      <c r="B283" s="54"/>
      <c r="G283" s="32"/>
      <c r="H283" s="32"/>
      <c r="I283" s="48"/>
    </row>
    <row r="284" spans="1:9" ht="15.75" customHeight="1" x14ac:dyDescent="0.3">
      <c r="A284" s="53"/>
      <c r="B284" s="54"/>
      <c r="G284" s="32"/>
      <c r="H284" s="32"/>
      <c r="I284" s="48"/>
    </row>
    <row r="285" spans="1:9" ht="15.75" customHeight="1" x14ac:dyDescent="0.3">
      <c r="A285" s="53"/>
      <c r="B285" s="54"/>
      <c r="G285" s="32"/>
      <c r="H285" s="32"/>
      <c r="I285" s="48"/>
    </row>
    <row r="286" spans="1:9" ht="15.75" customHeight="1" x14ac:dyDescent="0.3">
      <c r="A286" s="53"/>
      <c r="B286" s="54"/>
      <c r="G286" s="32"/>
      <c r="H286" s="32"/>
      <c r="I286" s="48"/>
    </row>
    <row r="287" spans="1:9" ht="15.75" customHeight="1" x14ac:dyDescent="0.3">
      <c r="A287" s="53"/>
      <c r="B287" s="54"/>
      <c r="G287" s="32"/>
      <c r="H287" s="32"/>
      <c r="I287" s="48"/>
    </row>
    <row r="288" spans="1:9" ht="15.75" customHeight="1" x14ac:dyDescent="0.3">
      <c r="A288" s="53"/>
      <c r="B288" s="54"/>
      <c r="G288" s="32"/>
      <c r="H288" s="32"/>
      <c r="I288" s="48"/>
    </row>
    <row r="289" spans="1:9" ht="15.75" customHeight="1" x14ac:dyDescent="0.3">
      <c r="A289" s="53"/>
      <c r="B289" s="54"/>
      <c r="G289" s="32"/>
      <c r="H289" s="32"/>
      <c r="I289" s="48"/>
    </row>
    <row r="290" spans="1:9" ht="15.75" customHeight="1" x14ac:dyDescent="0.3">
      <c r="A290" s="53"/>
      <c r="B290" s="54"/>
      <c r="G290" s="32"/>
      <c r="H290" s="32"/>
      <c r="I290" s="48"/>
    </row>
    <row r="291" spans="1:9" ht="15.75" customHeight="1" x14ac:dyDescent="0.3">
      <c r="A291" s="53"/>
      <c r="B291" s="54"/>
      <c r="G291" s="32"/>
      <c r="H291" s="32"/>
      <c r="I291" s="48"/>
    </row>
    <row r="292" spans="1:9" ht="15.75" customHeight="1" x14ac:dyDescent="0.3">
      <c r="A292" s="53"/>
      <c r="B292" s="54"/>
      <c r="G292" s="32"/>
      <c r="H292" s="32"/>
      <c r="I292" s="48"/>
    </row>
    <row r="293" spans="1:9" ht="15.75" customHeight="1" x14ac:dyDescent="0.3">
      <c r="A293" s="53"/>
      <c r="B293" s="54"/>
      <c r="G293" s="32"/>
      <c r="H293" s="32"/>
      <c r="I293" s="48"/>
    </row>
    <row r="294" spans="1:9" ht="15.75" customHeight="1" x14ac:dyDescent="0.3">
      <c r="A294" s="53"/>
      <c r="B294" s="54"/>
      <c r="G294" s="32"/>
      <c r="H294" s="32"/>
      <c r="I294" s="48"/>
    </row>
    <row r="295" spans="1:9" ht="15.75" customHeight="1" x14ac:dyDescent="0.3">
      <c r="A295" s="53"/>
      <c r="B295" s="54"/>
      <c r="G295" s="32"/>
      <c r="H295" s="32"/>
      <c r="I295" s="48"/>
    </row>
    <row r="296" spans="1:9" ht="15.75" customHeight="1" x14ac:dyDescent="0.3">
      <c r="A296" s="53"/>
      <c r="B296" s="54"/>
      <c r="G296" s="32"/>
      <c r="H296" s="32"/>
      <c r="I296" s="48"/>
    </row>
    <row r="297" spans="1:9" ht="15.75" customHeight="1" x14ac:dyDescent="0.3">
      <c r="A297" s="53"/>
      <c r="B297" s="54"/>
      <c r="G297" s="32"/>
      <c r="H297" s="32"/>
      <c r="I297" s="48"/>
    </row>
    <row r="298" spans="1:9" ht="15.75" customHeight="1" x14ac:dyDescent="0.3">
      <c r="A298" s="53"/>
      <c r="B298" s="54"/>
      <c r="G298" s="32"/>
      <c r="H298" s="32"/>
      <c r="I298" s="48"/>
    </row>
    <row r="299" spans="1:9" ht="15.75" customHeight="1" x14ac:dyDescent="0.3">
      <c r="A299" s="53"/>
      <c r="B299" s="54"/>
      <c r="G299" s="32"/>
      <c r="H299" s="32"/>
      <c r="I299" s="48"/>
    </row>
    <row r="300" spans="1:9" ht="15.75" customHeight="1" x14ac:dyDescent="0.3">
      <c r="A300" s="53"/>
      <c r="B300" s="54"/>
      <c r="G300" s="32"/>
      <c r="H300" s="32"/>
      <c r="I300" s="48"/>
    </row>
    <row r="301" spans="1:9" ht="15.75" customHeight="1" x14ac:dyDescent="0.3">
      <c r="A301" s="53"/>
      <c r="B301" s="54"/>
      <c r="G301" s="32"/>
      <c r="H301" s="32"/>
      <c r="I301" s="48"/>
    </row>
    <row r="302" spans="1:9" ht="15.75" customHeight="1" x14ac:dyDescent="0.3">
      <c r="A302" s="53"/>
      <c r="B302" s="54"/>
      <c r="G302" s="32"/>
      <c r="H302" s="32"/>
      <c r="I302" s="48"/>
    </row>
    <row r="303" spans="1:9" ht="15.75" customHeight="1" x14ac:dyDescent="0.3">
      <c r="A303" s="53"/>
      <c r="B303" s="54"/>
      <c r="G303" s="32"/>
      <c r="H303" s="32"/>
      <c r="I303" s="48"/>
    </row>
    <row r="304" spans="1:9" ht="15.75" customHeight="1" x14ac:dyDescent="0.3">
      <c r="A304" s="53"/>
      <c r="B304" s="54"/>
      <c r="G304" s="32"/>
      <c r="H304" s="32"/>
      <c r="I304" s="48"/>
    </row>
    <row r="305" spans="1:9" ht="15.75" customHeight="1" x14ac:dyDescent="0.3">
      <c r="A305" s="53"/>
      <c r="B305" s="54"/>
      <c r="G305" s="32"/>
      <c r="H305" s="32"/>
      <c r="I305" s="48"/>
    </row>
    <row r="306" spans="1:9" ht="15.75" customHeight="1" x14ac:dyDescent="0.3">
      <c r="A306" s="53"/>
      <c r="B306" s="54"/>
      <c r="G306" s="32"/>
      <c r="H306" s="32"/>
      <c r="I306" s="48"/>
    </row>
    <row r="307" spans="1:9" ht="15.75" customHeight="1" x14ac:dyDescent="0.3">
      <c r="A307" s="53"/>
      <c r="B307" s="54"/>
      <c r="G307" s="32"/>
      <c r="H307" s="32"/>
      <c r="I307" s="48"/>
    </row>
    <row r="308" spans="1:9" ht="15.75" customHeight="1" x14ac:dyDescent="0.3">
      <c r="A308" s="53"/>
      <c r="B308" s="54"/>
      <c r="G308" s="32"/>
      <c r="H308" s="32"/>
      <c r="I308" s="48"/>
    </row>
    <row r="309" spans="1:9" ht="15.75" customHeight="1" x14ac:dyDescent="0.3">
      <c r="A309" s="53"/>
      <c r="B309" s="54"/>
      <c r="G309" s="32"/>
      <c r="H309" s="32"/>
      <c r="I309" s="48"/>
    </row>
    <row r="310" spans="1:9" ht="15.75" customHeight="1" x14ac:dyDescent="0.3">
      <c r="A310" s="53"/>
      <c r="B310" s="54"/>
      <c r="G310" s="32"/>
      <c r="H310" s="32"/>
      <c r="I310" s="48"/>
    </row>
    <row r="311" spans="1:9" ht="15.75" customHeight="1" x14ac:dyDescent="0.3">
      <c r="A311" s="53"/>
      <c r="B311" s="54"/>
      <c r="G311" s="32"/>
      <c r="H311" s="32"/>
      <c r="I311" s="48"/>
    </row>
    <row r="312" spans="1:9" ht="15.75" customHeight="1" x14ac:dyDescent="0.3">
      <c r="A312" s="53"/>
      <c r="B312" s="54"/>
      <c r="G312" s="32"/>
      <c r="H312" s="32"/>
      <c r="I312" s="48"/>
    </row>
    <row r="313" spans="1:9" ht="15.75" customHeight="1" x14ac:dyDescent="0.3">
      <c r="A313" s="53"/>
      <c r="B313" s="54"/>
      <c r="G313" s="32"/>
      <c r="H313" s="32"/>
      <c r="I313" s="48"/>
    </row>
    <row r="314" spans="1:9" ht="15.75" customHeight="1" x14ac:dyDescent="0.3">
      <c r="A314" s="53"/>
      <c r="B314" s="54"/>
      <c r="G314" s="32"/>
      <c r="H314" s="32"/>
      <c r="I314" s="48"/>
    </row>
    <row r="315" spans="1:9" ht="15.75" customHeight="1" x14ac:dyDescent="0.3">
      <c r="A315" s="53"/>
      <c r="B315" s="54"/>
      <c r="G315" s="32"/>
      <c r="H315" s="32"/>
      <c r="I315" s="48"/>
    </row>
    <row r="316" spans="1:9" ht="15.75" customHeight="1" x14ac:dyDescent="0.3">
      <c r="A316" s="53"/>
      <c r="B316" s="54"/>
      <c r="G316" s="32"/>
      <c r="H316" s="32"/>
      <c r="I316" s="48"/>
    </row>
    <row r="317" spans="1:9" ht="15.75" customHeight="1" x14ac:dyDescent="0.3">
      <c r="A317" s="53"/>
      <c r="B317" s="54"/>
      <c r="G317" s="32"/>
      <c r="H317" s="32"/>
      <c r="I317" s="48"/>
    </row>
    <row r="318" spans="1:9" ht="15.75" customHeight="1" x14ac:dyDescent="0.3">
      <c r="A318" s="53"/>
      <c r="B318" s="54"/>
      <c r="G318" s="32"/>
      <c r="H318" s="32"/>
      <c r="I318" s="48"/>
    </row>
    <row r="319" spans="1:9" ht="15.75" customHeight="1" x14ac:dyDescent="0.3">
      <c r="A319" s="53"/>
      <c r="B319" s="54"/>
      <c r="G319" s="32"/>
      <c r="H319" s="32"/>
      <c r="I319" s="48"/>
    </row>
    <row r="320" spans="1:9" ht="15.75" customHeight="1" x14ac:dyDescent="0.3">
      <c r="A320" s="53"/>
      <c r="B320" s="54"/>
      <c r="G320" s="32"/>
      <c r="H320" s="32"/>
      <c r="I320" s="48"/>
    </row>
    <row r="321" spans="1:9" ht="15.75" customHeight="1" x14ac:dyDescent="0.3">
      <c r="A321" s="53"/>
      <c r="B321" s="54"/>
      <c r="G321" s="32"/>
      <c r="H321" s="32"/>
      <c r="I321" s="48"/>
    </row>
    <row r="322" spans="1:9" ht="15.75" customHeight="1" x14ac:dyDescent="0.3">
      <c r="A322" s="53"/>
      <c r="B322" s="54"/>
      <c r="G322" s="32"/>
      <c r="H322" s="32"/>
      <c r="I322" s="48"/>
    </row>
    <row r="323" spans="1:9" ht="15.75" customHeight="1" x14ac:dyDescent="0.3">
      <c r="A323" s="53"/>
      <c r="B323" s="54"/>
      <c r="G323" s="32"/>
      <c r="H323" s="32"/>
      <c r="I323" s="48"/>
    </row>
    <row r="324" spans="1:9" ht="15.75" customHeight="1" x14ac:dyDescent="0.3">
      <c r="A324" s="53"/>
      <c r="B324" s="54"/>
      <c r="G324" s="32"/>
      <c r="H324" s="32"/>
      <c r="I324" s="48"/>
    </row>
    <row r="325" spans="1:9" ht="15.75" customHeight="1" x14ac:dyDescent="0.3">
      <c r="A325" s="53"/>
      <c r="B325" s="54"/>
      <c r="G325" s="32"/>
      <c r="H325" s="32"/>
      <c r="I325" s="48"/>
    </row>
    <row r="326" spans="1:9" ht="15.75" customHeight="1" x14ac:dyDescent="0.3">
      <c r="A326" s="53"/>
      <c r="B326" s="54"/>
      <c r="G326" s="32"/>
      <c r="H326" s="32"/>
      <c r="I326" s="48"/>
    </row>
    <row r="327" spans="1:9" ht="15.75" customHeight="1" x14ac:dyDescent="0.3">
      <c r="A327" s="53"/>
      <c r="B327" s="54"/>
      <c r="G327" s="32"/>
      <c r="H327" s="32"/>
      <c r="I327" s="48"/>
    </row>
    <row r="328" spans="1:9" ht="15.75" customHeight="1" x14ac:dyDescent="0.3">
      <c r="A328" s="53"/>
      <c r="B328" s="54"/>
      <c r="G328" s="32"/>
      <c r="H328" s="32"/>
      <c r="I328" s="48"/>
    </row>
    <row r="329" spans="1:9" ht="15.75" customHeight="1" x14ac:dyDescent="0.3">
      <c r="A329" s="53"/>
      <c r="B329" s="54"/>
      <c r="G329" s="32"/>
      <c r="H329" s="32"/>
      <c r="I329" s="48"/>
    </row>
    <row r="330" spans="1:9" ht="15.75" customHeight="1" x14ac:dyDescent="0.3">
      <c r="A330" s="53"/>
      <c r="B330" s="54"/>
      <c r="G330" s="32"/>
      <c r="H330" s="32"/>
      <c r="I330" s="48"/>
    </row>
    <row r="331" spans="1:9" ht="15.75" customHeight="1" x14ac:dyDescent="0.3">
      <c r="A331" s="53"/>
      <c r="B331" s="54"/>
      <c r="G331" s="32"/>
      <c r="H331" s="32"/>
      <c r="I331" s="48"/>
    </row>
    <row r="332" spans="1:9" ht="15.75" customHeight="1" x14ac:dyDescent="0.3">
      <c r="A332" s="53"/>
      <c r="B332" s="54"/>
      <c r="G332" s="32"/>
      <c r="H332" s="32"/>
      <c r="I332" s="48"/>
    </row>
    <row r="333" spans="1:9" ht="15.75" customHeight="1" x14ac:dyDescent="0.3">
      <c r="A333" s="53"/>
      <c r="B333" s="54"/>
      <c r="G333" s="32"/>
      <c r="H333" s="32"/>
      <c r="I333" s="48"/>
    </row>
    <row r="334" spans="1:9" ht="15.75" customHeight="1" x14ac:dyDescent="0.3">
      <c r="A334" s="53"/>
      <c r="B334" s="54"/>
      <c r="G334" s="32"/>
      <c r="H334" s="32"/>
      <c r="I334" s="48"/>
    </row>
    <row r="335" spans="1:9" ht="15.75" customHeight="1" x14ac:dyDescent="0.3">
      <c r="A335" s="53"/>
      <c r="B335" s="54"/>
      <c r="G335" s="32"/>
      <c r="H335" s="32"/>
      <c r="I335" s="48"/>
    </row>
    <row r="336" spans="1:9" ht="15.75" customHeight="1" x14ac:dyDescent="0.3">
      <c r="A336" s="53"/>
      <c r="B336" s="54"/>
      <c r="G336" s="32"/>
      <c r="H336" s="32"/>
      <c r="I336" s="48"/>
    </row>
    <row r="337" spans="1:9" ht="15.75" customHeight="1" x14ac:dyDescent="0.3">
      <c r="A337" s="53"/>
      <c r="B337" s="54"/>
      <c r="G337" s="32"/>
      <c r="H337" s="32"/>
      <c r="I337" s="48"/>
    </row>
    <row r="338" spans="1:9" ht="15.75" customHeight="1" x14ac:dyDescent="0.3">
      <c r="A338" s="53"/>
      <c r="B338" s="54"/>
      <c r="G338" s="32"/>
      <c r="H338" s="32"/>
      <c r="I338" s="48"/>
    </row>
    <row r="339" spans="1:9" ht="15.75" customHeight="1" x14ac:dyDescent="0.3">
      <c r="A339" s="53"/>
      <c r="B339" s="54"/>
      <c r="G339" s="32"/>
      <c r="H339" s="32"/>
      <c r="I339" s="48"/>
    </row>
    <row r="340" spans="1:9" ht="15.75" customHeight="1" x14ac:dyDescent="0.3">
      <c r="A340" s="53"/>
      <c r="B340" s="54"/>
      <c r="G340" s="32"/>
      <c r="H340" s="32"/>
      <c r="I340" s="48"/>
    </row>
    <row r="341" spans="1:9" ht="15.75" customHeight="1" x14ac:dyDescent="0.3">
      <c r="A341" s="53"/>
      <c r="B341" s="54"/>
      <c r="G341" s="32"/>
      <c r="H341" s="32"/>
      <c r="I341" s="48"/>
    </row>
    <row r="342" spans="1:9" ht="15.75" customHeight="1" x14ac:dyDescent="0.3">
      <c r="A342" s="53"/>
      <c r="B342" s="54"/>
      <c r="G342" s="32"/>
      <c r="H342" s="32"/>
      <c r="I342" s="48"/>
    </row>
    <row r="343" spans="1:9" ht="15.75" customHeight="1" x14ac:dyDescent="0.3">
      <c r="A343" s="53"/>
      <c r="B343" s="54"/>
      <c r="G343" s="32"/>
      <c r="H343" s="32"/>
      <c r="I343" s="48"/>
    </row>
    <row r="344" spans="1:9" ht="15.75" customHeight="1" x14ac:dyDescent="0.3">
      <c r="A344" s="53"/>
      <c r="B344" s="54"/>
      <c r="G344" s="32"/>
      <c r="H344" s="32"/>
      <c r="I344" s="48"/>
    </row>
    <row r="345" spans="1:9" ht="15.75" customHeight="1" x14ac:dyDescent="0.3">
      <c r="A345" s="53"/>
      <c r="B345" s="54"/>
      <c r="G345" s="32"/>
      <c r="H345" s="32"/>
      <c r="I345" s="48"/>
    </row>
    <row r="346" spans="1:9" ht="15.75" customHeight="1" x14ac:dyDescent="0.3">
      <c r="A346" s="53"/>
      <c r="B346" s="54"/>
      <c r="G346" s="32"/>
      <c r="H346" s="32"/>
      <c r="I346" s="48"/>
    </row>
    <row r="347" spans="1:9" ht="15.75" customHeight="1" x14ac:dyDescent="0.3">
      <c r="A347" s="53"/>
      <c r="B347" s="54"/>
      <c r="G347" s="32"/>
      <c r="H347" s="32"/>
      <c r="I347" s="48"/>
    </row>
    <row r="348" spans="1:9" ht="15.75" customHeight="1" x14ac:dyDescent="0.3">
      <c r="A348" s="53"/>
      <c r="B348" s="54"/>
      <c r="G348" s="32"/>
      <c r="H348" s="32"/>
      <c r="I348" s="48"/>
    </row>
    <row r="349" spans="1:9" ht="15.75" customHeight="1" x14ac:dyDescent="0.3">
      <c r="A349" s="53"/>
      <c r="B349" s="54"/>
      <c r="G349" s="32"/>
      <c r="H349" s="32"/>
      <c r="I349" s="48"/>
    </row>
    <row r="350" spans="1:9" ht="15.75" customHeight="1" x14ac:dyDescent="0.3">
      <c r="A350" s="53"/>
      <c r="B350" s="54"/>
      <c r="G350" s="32"/>
      <c r="H350" s="32"/>
      <c r="I350" s="48"/>
    </row>
    <row r="351" spans="1:9" ht="15.75" customHeight="1" x14ac:dyDescent="0.3">
      <c r="A351" s="53"/>
      <c r="B351" s="54"/>
      <c r="G351" s="32"/>
      <c r="H351" s="32"/>
      <c r="I351" s="48"/>
    </row>
    <row r="352" spans="1:9" ht="15.75" customHeight="1" x14ac:dyDescent="0.3">
      <c r="A352" s="53"/>
      <c r="B352" s="54"/>
      <c r="G352" s="32"/>
      <c r="H352" s="32"/>
      <c r="I352" s="48"/>
    </row>
    <row r="353" spans="1:9" ht="15.75" customHeight="1" x14ac:dyDescent="0.3">
      <c r="A353" s="53"/>
      <c r="B353" s="54"/>
      <c r="G353" s="32"/>
      <c r="H353" s="32"/>
      <c r="I353" s="48"/>
    </row>
    <row r="354" spans="1:9" ht="15.75" customHeight="1" x14ac:dyDescent="0.3">
      <c r="A354" s="53"/>
      <c r="B354" s="54"/>
      <c r="G354" s="32"/>
      <c r="H354" s="32"/>
      <c r="I354" s="48"/>
    </row>
    <row r="355" spans="1:9" ht="15.75" customHeight="1" x14ac:dyDescent="0.3">
      <c r="A355" s="53"/>
      <c r="B355" s="54"/>
      <c r="G355" s="32"/>
      <c r="H355" s="32"/>
      <c r="I355" s="48"/>
    </row>
    <row r="356" spans="1:9" ht="15.75" customHeight="1" x14ac:dyDescent="0.3">
      <c r="A356" s="53"/>
      <c r="B356" s="54"/>
      <c r="G356" s="32"/>
      <c r="H356" s="32"/>
      <c r="I356" s="48"/>
    </row>
    <row r="357" spans="1:9" ht="15.75" customHeight="1" x14ac:dyDescent="0.3">
      <c r="A357" s="53"/>
      <c r="B357" s="54"/>
      <c r="G357" s="32"/>
      <c r="H357" s="32"/>
      <c r="I357" s="48"/>
    </row>
    <row r="358" spans="1:9" ht="15.75" customHeight="1" x14ac:dyDescent="0.3">
      <c r="A358" s="53"/>
      <c r="B358" s="54"/>
      <c r="G358" s="32"/>
      <c r="H358" s="32"/>
      <c r="I358" s="48"/>
    </row>
    <row r="359" spans="1:9" ht="15.75" customHeight="1" x14ac:dyDescent="0.3">
      <c r="A359" s="53"/>
      <c r="B359" s="54"/>
      <c r="G359" s="32"/>
      <c r="H359" s="32"/>
      <c r="I359" s="48"/>
    </row>
    <row r="360" spans="1:9" ht="15.75" customHeight="1" x14ac:dyDescent="0.3">
      <c r="A360" s="53"/>
      <c r="B360" s="54"/>
      <c r="G360" s="32"/>
      <c r="H360" s="32"/>
      <c r="I360" s="48"/>
    </row>
    <row r="361" spans="1:9" ht="15.75" customHeight="1" x14ac:dyDescent="0.3">
      <c r="A361" s="53"/>
      <c r="B361" s="54"/>
      <c r="G361" s="32"/>
      <c r="H361" s="32"/>
      <c r="I361" s="48"/>
    </row>
    <row r="362" spans="1:9" ht="15.75" customHeight="1" x14ac:dyDescent="0.3">
      <c r="A362" s="53"/>
      <c r="B362" s="54"/>
      <c r="G362" s="32"/>
      <c r="H362" s="32"/>
      <c r="I362" s="48"/>
    </row>
    <row r="363" spans="1:9" ht="15.75" customHeight="1" x14ac:dyDescent="0.3">
      <c r="A363" s="53"/>
      <c r="B363" s="54"/>
      <c r="G363" s="32"/>
      <c r="H363" s="32"/>
      <c r="I363" s="48"/>
    </row>
    <row r="364" spans="1:9" ht="15.75" customHeight="1" x14ac:dyDescent="0.3">
      <c r="A364" s="53"/>
      <c r="B364" s="54"/>
      <c r="G364" s="32"/>
      <c r="H364" s="32"/>
      <c r="I364" s="48"/>
    </row>
    <row r="365" spans="1:9" ht="15.75" customHeight="1" x14ac:dyDescent="0.3">
      <c r="A365" s="53"/>
      <c r="B365" s="54"/>
      <c r="G365" s="32"/>
      <c r="H365" s="32"/>
      <c r="I365" s="48"/>
    </row>
    <row r="366" spans="1:9" ht="15.75" customHeight="1" x14ac:dyDescent="0.3">
      <c r="A366" s="53"/>
      <c r="B366" s="54"/>
      <c r="G366" s="32"/>
      <c r="H366" s="32"/>
      <c r="I366" s="48"/>
    </row>
    <row r="367" spans="1:9" ht="15.75" customHeight="1" x14ac:dyDescent="0.3">
      <c r="A367" s="53"/>
      <c r="B367" s="54"/>
      <c r="G367" s="32"/>
      <c r="H367" s="32"/>
      <c r="I367" s="48"/>
    </row>
    <row r="368" spans="1:9" ht="15.75" customHeight="1" x14ac:dyDescent="0.3">
      <c r="A368" s="53"/>
      <c r="B368" s="54"/>
      <c r="G368" s="32"/>
      <c r="H368" s="32"/>
      <c r="I368" s="48"/>
    </row>
    <row r="369" spans="1:9" ht="15.75" customHeight="1" x14ac:dyDescent="0.3">
      <c r="A369" s="53"/>
      <c r="B369" s="54"/>
      <c r="G369" s="32"/>
      <c r="H369" s="32"/>
      <c r="I369" s="48"/>
    </row>
    <row r="370" spans="1:9" ht="15.75" customHeight="1" x14ac:dyDescent="0.3">
      <c r="A370" s="53"/>
      <c r="B370" s="54"/>
      <c r="G370" s="32"/>
      <c r="H370" s="32"/>
      <c r="I370" s="48"/>
    </row>
    <row r="371" spans="1:9" ht="15.75" customHeight="1" x14ac:dyDescent="0.3">
      <c r="A371" s="53"/>
      <c r="B371" s="54"/>
      <c r="G371" s="32"/>
      <c r="H371" s="32"/>
      <c r="I371" s="48"/>
    </row>
    <row r="372" spans="1:9" ht="15.75" customHeight="1" x14ac:dyDescent="0.3">
      <c r="A372" s="53"/>
      <c r="B372" s="54"/>
      <c r="G372" s="32"/>
      <c r="H372" s="32"/>
      <c r="I372" s="48"/>
    </row>
    <row r="373" spans="1:9" ht="15.75" customHeight="1" x14ac:dyDescent="0.3">
      <c r="A373" s="53"/>
      <c r="B373" s="54"/>
      <c r="G373" s="32"/>
      <c r="H373" s="32"/>
      <c r="I373" s="48"/>
    </row>
    <row r="374" spans="1:9" ht="15.75" customHeight="1" x14ac:dyDescent="0.3">
      <c r="A374" s="53"/>
      <c r="B374" s="54"/>
      <c r="G374" s="32"/>
      <c r="H374" s="32"/>
      <c r="I374" s="48"/>
    </row>
    <row r="375" spans="1:9" ht="15.75" customHeight="1" x14ac:dyDescent="0.3">
      <c r="A375" s="53"/>
      <c r="B375" s="54"/>
      <c r="G375" s="32"/>
      <c r="H375" s="32"/>
      <c r="I375" s="48"/>
    </row>
    <row r="376" spans="1:9" ht="15.75" customHeight="1" x14ac:dyDescent="0.3">
      <c r="A376" s="53"/>
      <c r="B376" s="54"/>
      <c r="G376" s="32"/>
      <c r="H376" s="32"/>
      <c r="I376" s="48"/>
    </row>
    <row r="377" spans="1:9" ht="15.75" customHeight="1" x14ac:dyDescent="0.3">
      <c r="A377" s="53"/>
      <c r="B377" s="54"/>
      <c r="G377" s="32"/>
      <c r="H377" s="32"/>
      <c r="I377" s="48"/>
    </row>
    <row r="378" spans="1:9" ht="15.75" customHeight="1" x14ac:dyDescent="0.3">
      <c r="A378" s="53"/>
      <c r="B378" s="54"/>
      <c r="G378" s="32"/>
      <c r="H378" s="32"/>
      <c r="I378" s="48"/>
    </row>
    <row r="379" spans="1:9" ht="15.75" customHeight="1" x14ac:dyDescent="0.3">
      <c r="A379" s="53"/>
      <c r="B379" s="54"/>
      <c r="G379" s="32"/>
      <c r="H379" s="32"/>
      <c r="I379" s="48"/>
    </row>
    <row r="380" spans="1:9" ht="15.75" customHeight="1" x14ac:dyDescent="0.3">
      <c r="A380" s="53"/>
      <c r="B380" s="54"/>
      <c r="G380" s="32"/>
      <c r="H380" s="32"/>
      <c r="I380" s="48"/>
    </row>
    <row r="381" spans="1:9" ht="15.75" customHeight="1" x14ac:dyDescent="0.3">
      <c r="A381" s="53"/>
      <c r="B381" s="54"/>
      <c r="G381" s="32"/>
      <c r="H381" s="32"/>
      <c r="I381" s="48"/>
    </row>
    <row r="382" spans="1:9" ht="15.75" customHeight="1" x14ac:dyDescent="0.3">
      <c r="A382" s="53"/>
      <c r="B382" s="54"/>
      <c r="G382" s="32"/>
      <c r="H382" s="32"/>
      <c r="I382" s="48"/>
    </row>
    <row r="383" spans="1:9" ht="15.75" customHeight="1" x14ac:dyDescent="0.3">
      <c r="A383" s="53"/>
      <c r="B383" s="54"/>
      <c r="G383" s="32"/>
      <c r="H383" s="32"/>
      <c r="I383" s="48"/>
    </row>
    <row r="384" spans="1:9" ht="15.75" customHeight="1" x14ac:dyDescent="0.3">
      <c r="A384" s="53"/>
      <c r="B384" s="54"/>
      <c r="G384" s="32"/>
      <c r="H384" s="32"/>
      <c r="I384" s="48"/>
    </row>
    <row r="385" spans="1:9" ht="15.75" customHeight="1" x14ac:dyDescent="0.3">
      <c r="A385" s="53"/>
      <c r="B385" s="54"/>
      <c r="G385" s="32"/>
      <c r="H385" s="32"/>
      <c r="I385" s="48"/>
    </row>
    <row r="386" spans="1:9" ht="15.75" customHeight="1" x14ac:dyDescent="0.3">
      <c r="A386" s="53"/>
      <c r="B386" s="54"/>
      <c r="G386" s="32"/>
      <c r="H386" s="32"/>
      <c r="I386" s="48"/>
    </row>
    <row r="387" spans="1:9" ht="15.75" customHeight="1" x14ac:dyDescent="0.3">
      <c r="A387" s="53"/>
      <c r="B387" s="54"/>
      <c r="G387" s="32"/>
      <c r="H387" s="32"/>
      <c r="I387" s="48"/>
    </row>
    <row r="388" spans="1:9" ht="15.75" customHeight="1" x14ac:dyDescent="0.3">
      <c r="A388" s="53"/>
      <c r="B388" s="54"/>
      <c r="G388" s="32"/>
      <c r="H388" s="32"/>
      <c r="I388" s="48"/>
    </row>
    <row r="389" spans="1:9" ht="15.75" customHeight="1" x14ac:dyDescent="0.3">
      <c r="A389" s="53"/>
      <c r="B389" s="54"/>
      <c r="G389" s="32"/>
      <c r="H389" s="32"/>
      <c r="I389" s="48"/>
    </row>
    <row r="390" spans="1:9" ht="15.75" customHeight="1" x14ac:dyDescent="0.3">
      <c r="A390" s="53"/>
      <c r="B390" s="54"/>
      <c r="G390" s="32"/>
      <c r="H390" s="32"/>
      <c r="I390" s="48"/>
    </row>
    <row r="391" spans="1:9" ht="15.75" customHeight="1" x14ac:dyDescent="0.3">
      <c r="A391" s="53"/>
      <c r="B391" s="54"/>
      <c r="G391" s="32"/>
      <c r="H391" s="32"/>
      <c r="I391" s="48"/>
    </row>
    <row r="392" spans="1:9" ht="15.75" customHeight="1" x14ac:dyDescent="0.3">
      <c r="A392" s="53"/>
      <c r="B392" s="54"/>
      <c r="G392" s="32"/>
      <c r="H392" s="32"/>
      <c r="I392" s="48"/>
    </row>
    <row r="393" spans="1:9" ht="15.75" customHeight="1" x14ac:dyDescent="0.3">
      <c r="A393" s="53"/>
      <c r="B393" s="54"/>
      <c r="G393" s="32"/>
      <c r="H393" s="32"/>
      <c r="I393" s="48"/>
    </row>
    <row r="394" spans="1:9" ht="15.75" customHeight="1" x14ac:dyDescent="0.3">
      <c r="A394" s="53"/>
      <c r="B394" s="54"/>
      <c r="G394" s="32"/>
      <c r="H394" s="32"/>
      <c r="I394" s="48"/>
    </row>
    <row r="395" spans="1:9" ht="15.75" customHeight="1" x14ac:dyDescent="0.3">
      <c r="A395" s="53"/>
      <c r="B395" s="54"/>
      <c r="G395" s="32"/>
      <c r="H395" s="32"/>
      <c r="I395" s="48"/>
    </row>
    <row r="396" spans="1:9" ht="15.75" customHeight="1" x14ac:dyDescent="0.3">
      <c r="A396" s="53"/>
      <c r="B396" s="54"/>
      <c r="G396" s="32"/>
      <c r="H396" s="32"/>
      <c r="I396" s="48"/>
    </row>
    <row r="397" spans="1:9" ht="15.75" customHeight="1" x14ac:dyDescent="0.3">
      <c r="A397" s="53"/>
      <c r="B397" s="54"/>
      <c r="G397" s="32"/>
      <c r="H397" s="32"/>
      <c r="I397" s="48"/>
    </row>
    <row r="398" spans="1:9" ht="15.75" customHeight="1" x14ac:dyDescent="0.3">
      <c r="A398" s="53"/>
      <c r="B398" s="54"/>
      <c r="G398" s="32"/>
      <c r="H398" s="32"/>
      <c r="I398" s="48"/>
    </row>
    <row r="399" spans="1:9" ht="15.75" customHeight="1" x14ac:dyDescent="0.3">
      <c r="A399" s="53"/>
      <c r="B399" s="54"/>
      <c r="G399" s="32"/>
      <c r="H399" s="32"/>
      <c r="I399" s="48"/>
    </row>
    <row r="400" spans="1:9" ht="15.75" customHeight="1" x14ac:dyDescent="0.3">
      <c r="A400" s="53"/>
      <c r="B400" s="54"/>
      <c r="G400" s="32"/>
      <c r="H400" s="32"/>
      <c r="I400" s="48"/>
    </row>
    <row r="401" spans="1:9" ht="15.75" customHeight="1" x14ac:dyDescent="0.3">
      <c r="A401" s="53"/>
      <c r="B401" s="54"/>
      <c r="G401" s="32"/>
      <c r="H401" s="32"/>
      <c r="I401" s="48"/>
    </row>
    <row r="402" spans="1:9" ht="15.75" customHeight="1" x14ac:dyDescent="0.3">
      <c r="A402" s="53"/>
      <c r="B402" s="54"/>
      <c r="G402" s="32"/>
      <c r="H402" s="32"/>
      <c r="I402" s="48"/>
    </row>
    <row r="403" spans="1:9" ht="15.75" customHeight="1" x14ac:dyDescent="0.3">
      <c r="A403" s="53"/>
      <c r="B403" s="54"/>
      <c r="G403" s="32"/>
      <c r="H403" s="32"/>
      <c r="I403" s="48"/>
    </row>
    <row r="404" spans="1:9" ht="15.75" customHeight="1" x14ac:dyDescent="0.3">
      <c r="A404" s="53"/>
      <c r="B404" s="54"/>
      <c r="G404" s="32"/>
      <c r="H404" s="32"/>
      <c r="I404" s="48"/>
    </row>
    <row r="405" spans="1:9" ht="15.75" customHeight="1" x14ac:dyDescent="0.3">
      <c r="A405" s="53"/>
      <c r="B405" s="54"/>
      <c r="G405" s="32"/>
      <c r="H405" s="32"/>
      <c r="I405" s="48"/>
    </row>
    <row r="406" spans="1:9" ht="15.75" customHeight="1" x14ac:dyDescent="0.3">
      <c r="A406" s="53"/>
      <c r="B406" s="54"/>
      <c r="G406" s="32"/>
      <c r="H406" s="32"/>
      <c r="I406" s="48"/>
    </row>
    <row r="407" spans="1:9" ht="15.75" customHeight="1" x14ac:dyDescent="0.3">
      <c r="A407" s="53"/>
      <c r="B407" s="54"/>
      <c r="G407" s="32"/>
      <c r="H407" s="32"/>
      <c r="I407" s="48"/>
    </row>
    <row r="408" spans="1:9" ht="15.75" customHeight="1" x14ac:dyDescent="0.3">
      <c r="A408" s="53"/>
      <c r="B408" s="54"/>
      <c r="G408" s="32"/>
      <c r="H408" s="32"/>
      <c r="I408" s="48"/>
    </row>
    <row r="409" spans="1:9" ht="15.75" customHeight="1" x14ac:dyDescent="0.3">
      <c r="A409" s="53"/>
      <c r="B409" s="54"/>
      <c r="G409" s="32"/>
      <c r="H409" s="32"/>
      <c r="I409" s="48"/>
    </row>
    <row r="410" spans="1:9" ht="15.75" customHeight="1" x14ac:dyDescent="0.3">
      <c r="A410" s="53"/>
      <c r="B410" s="54"/>
      <c r="G410" s="32"/>
      <c r="H410" s="32"/>
      <c r="I410" s="48"/>
    </row>
    <row r="411" spans="1:9" ht="15.75" customHeight="1" x14ac:dyDescent="0.3">
      <c r="A411" s="53"/>
      <c r="B411" s="54"/>
      <c r="G411" s="32"/>
      <c r="H411" s="32"/>
      <c r="I411" s="48"/>
    </row>
    <row r="412" spans="1:9" ht="15.75" customHeight="1" x14ac:dyDescent="0.3">
      <c r="A412" s="53"/>
      <c r="B412" s="54"/>
      <c r="G412" s="32"/>
      <c r="H412" s="32"/>
      <c r="I412" s="48"/>
    </row>
    <row r="413" spans="1:9" ht="15.75" customHeight="1" x14ac:dyDescent="0.3">
      <c r="A413" s="53"/>
      <c r="B413" s="54"/>
      <c r="G413" s="32"/>
      <c r="H413" s="32"/>
      <c r="I413" s="48"/>
    </row>
    <row r="414" spans="1:9" ht="15.75" customHeight="1" x14ac:dyDescent="0.3">
      <c r="A414" s="53"/>
      <c r="B414" s="54"/>
      <c r="G414" s="32"/>
      <c r="H414" s="32"/>
      <c r="I414" s="48"/>
    </row>
    <row r="415" spans="1:9" ht="15.75" customHeight="1" x14ac:dyDescent="0.3">
      <c r="A415" s="53"/>
      <c r="B415" s="54"/>
      <c r="G415" s="32"/>
      <c r="H415" s="32"/>
      <c r="I415" s="48"/>
    </row>
    <row r="416" spans="1:9" ht="15.75" customHeight="1" x14ac:dyDescent="0.3">
      <c r="A416" s="53"/>
      <c r="B416" s="54"/>
      <c r="G416" s="32"/>
      <c r="H416" s="32"/>
      <c r="I416" s="48"/>
    </row>
    <row r="417" spans="1:9" ht="15.75" customHeight="1" x14ac:dyDescent="0.3">
      <c r="A417" s="53"/>
      <c r="B417" s="54"/>
      <c r="G417" s="32"/>
      <c r="H417" s="32"/>
      <c r="I417" s="48"/>
    </row>
    <row r="418" spans="1:9" ht="15.75" customHeight="1" x14ac:dyDescent="0.3">
      <c r="A418" s="53"/>
      <c r="B418" s="54"/>
      <c r="G418" s="32"/>
      <c r="H418" s="32"/>
      <c r="I418" s="48"/>
    </row>
    <row r="419" spans="1:9" ht="15.75" customHeight="1" x14ac:dyDescent="0.3">
      <c r="A419" s="53"/>
      <c r="B419" s="54"/>
      <c r="G419" s="32"/>
      <c r="H419" s="32"/>
      <c r="I419" s="48"/>
    </row>
    <row r="420" spans="1:9" ht="15.75" customHeight="1" x14ac:dyDescent="0.3">
      <c r="A420" s="53"/>
      <c r="B420" s="54"/>
      <c r="G420" s="32"/>
      <c r="H420" s="32"/>
      <c r="I420" s="48"/>
    </row>
    <row r="421" spans="1:9" ht="15.75" customHeight="1" x14ac:dyDescent="0.3">
      <c r="A421" s="53"/>
      <c r="B421" s="54"/>
      <c r="G421" s="32"/>
      <c r="H421" s="32"/>
      <c r="I421" s="48"/>
    </row>
    <row r="422" spans="1:9" ht="15.75" customHeight="1" x14ac:dyDescent="0.3">
      <c r="A422" s="53"/>
      <c r="B422" s="54"/>
      <c r="G422" s="32"/>
      <c r="H422" s="32"/>
      <c r="I422" s="48"/>
    </row>
    <row r="423" spans="1:9" ht="15.75" customHeight="1" x14ac:dyDescent="0.3">
      <c r="A423" s="53"/>
      <c r="B423" s="54"/>
      <c r="G423" s="32"/>
      <c r="H423" s="32"/>
      <c r="I423" s="48"/>
    </row>
    <row r="424" spans="1:9" ht="15.75" customHeight="1" x14ac:dyDescent="0.3">
      <c r="A424" s="53"/>
      <c r="B424" s="54"/>
      <c r="G424" s="32"/>
      <c r="H424" s="32"/>
      <c r="I424" s="48"/>
    </row>
    <row r="425" spans="1:9" ht="15.75" customHeight="1" x14ac:dyDescent="0.3">
      <c r="A425" s="53"/>
      <c r="B425" s="54"/>
      <c r="G425" s="32"/>
      <c r="H425" s="32"/>
      <c r="I425" s="48"/>
    </row>
    <row r="426" spans="1:9" ht="15.75" customHeight="1" x14ac:dyDescent="0.3">
      <c r="A426" s="53"/>
      <c r="B426" s="54"/>
      <c r="G426" s="32"/>
      <c r="H426" s="32"/>
      <c r="I426" s="48"/>
    </row>
    <row r="427" spans="1:9" ht="15.75" customHeight="1" x14ac:dyDescent="0.3">
      <c r="A427" s="53"/>
      <c r="B427" s="54"/>
      <c r="G427" s="32"/>
      <c r="H427" s="32"/>
      <c r="I427" s="48"/>
    </row>
    <row r="428" spans="1:9" ht="15.75" customHeight="1" x14ac:dyDescent="0.3">
      <c r="A428" s="53"/>
      <c r="B428" s="54"/>
      <c r="G428" s="32"/>
      <c r="H428" s="32"/>
      <c r="I428" s="48"/>
    </row>
    <row r="429" spans="1:9" ht="15.75" customHeight="1" x14ac:dyDescent="0.3">
      <c r="A429" s="53"/>
      <c r="B429" s="54"/>
      <c r="G429" s="32"/>
      <c r="H429" s="32"/>
      <c r="I429" s="48"/>
    </row>
    <row r="430" spans="1:9" ht="15.75" customHeight="1" x14ac:dyDescent="0.3">
      <c r="A430" s="53"/>
      <c r="B430" s="54"/>
      <c r="G430" s="32"/>
      <c r="H430" s="32"/>
      <c r="I430" s="48"/>
    </row>
    <row r="431" spans="1:9" ht="15.75" customHeight="1" x14ac:dyDescent="0.3">
      <c r="A431" s="53"/>
      <c r="B431" s="54"/>
      <c r="G431" s="32"/>
      <c r="H431" s="32"/>
      <c r="I431" s="48"/>
    </row>
    <row r="432" spans="1:9" ht="15.75" customHeight="1" x14ac:dyDescent="0.3">
      <c r="A432" s="53"/>
      <c r="B432" s="54"/>
      <c r="G432" s="32"/>
      <c r="H432" s="32"/>
      <c r="I432" s="48"/>
    </row>
    <row r="433" spans="1:9" ht="15.75" customHeight="1" x14ac:dyDescent="0.3">
      <c r="A433" s="53"/>
      <c r="B433" s="54"/>
      <c r="G433" s="32"/>
      <c r="H433" s="32"/>
      <c r="I433" s="48"/>
    </row>
    <row r="434" spans="1:9" ht="15.75" customHeight="1" x14ac:dyDescent="0.3">
      <c r="A434" s="53"/>
      <c r="B434" s="54"/>
      <c r="G434" s="32"/>
      <c r="H434" s="32"/>
      <c r="I434" s="48"/>
    </row>
    <row r="435" spans="1:9" ht="15.75" customHeight="1" x14ac:dyDescent="0.3">
      <c r="A435" s="53"/>
      <c r="B435" s="54"/>
      <c r="G435" s="32"/>
      <c r="H435" s="32"/>
      <c r="I435" s="48"/>
    </row>
    <row r="436" spans="1:9" ht="15.75" customHeight="1" x14ac:dyDescent="0.3">
      <c r="A436" s="53"/>
      <c r="B436" s="54"/>
      <c r="G436" s="32"/>
      <c r="H436" s="32"/>
      <c r="I436" s="48"/>
    </row>
    <row r="437" spans="1:9" ht="15.75" customHeight="1" x14ac:dyDescent="0.3">
      <c r="A437" s="53"/>
      <c r="B437" s="54"/>
      <c r="G437" s="32"/>
      <c r="H437" s="32"/>
      <c r="I437" s="48"/>
    </row>
    <row r="438" spans="1:9" ht="15.75" customHeight="1" x14ac:dyDescent="0.3">
      <c r="A438" s="53"/>
      <c r="B438" s="54"/>
      <c r="G438" s="32"/>
      <c r="H438" s="32"/>
      <c r="I438" s="48"/>
    </row>
    <row r="439" spans="1:9" ht="15.75" customHeight="1" x14ac:dyDescent="0.3">
      <c r="A439" s="53"/>
      <c r="B439" s="54"/>
      <c r="G439" s="32"/>
      <c r="H439" s="32"/>
      <c r="I439" s="48"/>
    </row>
    <row r="440" spans="1:9" ht="15.75" customHeight="1" x14ac:dyDescent="0.3">
      <c r="A440" s="53"/>
      <c r="B440" s="54"/>
      <c r="G440" s="32"/>
      <c r="H440" s="32"/>
      <c r="I440" s="48"/>
    </row>
    <row r="441" spans="1:9" ht="15.75" customHeight="1" x14ac:dyDescent="0.3">
      <c r="A441" s="53"/>
      <c r="B441" s="54"/>
      <c r="G441" s="32"/>
      <c r="H441" s="32"/>
      <c r="I441" s="48"/>
    </row>
    <row r="442" spans="1:9" ht="15.75" customHeight="1" x14ac:dyDescent="0.3">
      <c r="A442" s="53"/>
      <c r="B442" s="54"/>
      <c r="G442" s="32"/>
      <c r="H442" s="32"/>
      <c r="I442" s="48"/>
    </row>
    <row r="443" spans="1:9" ht="15.75" customHeight="1" x14ac:dyDescent="0.3">
      <c r="A443" s="53"/>
      <c r="B443" s="54"/>
      <c r="G443" s="32"/>
      <c r="H443" s="32"/>
      <c r="I443" s="48"/>
    </row>
    <row r="444" spans="1:9" ht="15.75" customHeight="1" x14ac:dyDescent="0.3">
      <c r="A444" s="53"/>
      <c r="B444" s="54"/>
      <c r="G444" s="32"/>
      <c r="H444" s="32"/>
      <c r="I444" s="48"/>
    </row>
    <row r="445" spans="1:9" ht="15.75" customHeight="1" x14ac:dyDescent="0.3">
      <c r="A445" s="53"/>
      <c r="B445" s="54"/>
      <c r="G445" s="32"/>
      <c r="H445" s="32"/>
      <c r="I445" s="48"/>
    </row>
    <row r="446" spans="1:9" ht="15.75" customHeight="1" x14ac:dyDescent="0.3">
      <c r="A446" s="53"/>
      <c r="B446" s="54"/>
      <c r="G446" s="32"/>
      <c r="H446" s="32"/>
      <c r="I446" s="48"/>
    </row>
    <row r="447" spans="1:9" ht="15.75" customHeight="1" x14ac:dyDescent="0.3">
      <c r="A447" s="53"/>
      <c r="B447" s="54"/>
      <c r="G447" s="32"/>
      <c r="H447" s="32"/>
      <c r="I447" s="48"/>
    </row>
    <row r="448" spans="1:9" ht="15.75" customHeight="1" x14ac:dyDescent="0.3">
      <c r="A448" s="53"/>
      <c r="B448" s="54"/>
      <c r="G448" s="32"/>
      <c r="H448" s="32"/>
      <c r="I448" s="48"/>
    </row>
    <row r="449" spans="1:9" ht="15.75" customHeight="1" x14ac:dyDescent="0.3">
      <c r="A449" s="53"/>
      <c r="B449" s="54"/>
      <c r="G449" s="32"/>
      <c r="H449" s="32"/>
      <c r="I449" s="48"/>
    </row>
    <row r="450" spans="1:9" ht="15.75" customHeight="1" x14ac:dyDescent="0.3">
      <c r="A450" s="53"/>
      <c r="B450" s="54"/>
      <c r="G450" s="32"/>
      <c r="H450" s="32"/>
      <c r="I450" s="48"/>
    </row>
    <row r="451" spans="1:9" ht="15.75" customHeight="1" x14ac:dyDescent="0.3">
      <c r="A451" s="53"/>
      <c r="B451" s="54"/>
      <c r="G451" s="32"/>
      <c r="H451" s="32"/>
      <c r="I451" s="48"/>
    </row>
    <row r="452" spans="1:9" ht="15.75" customHeight="1" x14ac:dyDescent="0.3">
      <c r="A452" s="53"/>
      <c r="B452" s="54"/>
      <c r="G452" s="32"/>
      <c r="H452" s="32"/>
      <c r="I452" s="48"/>
    </row>
    <row r="453" spans="1:9" ht="15.75" customHeight="1" x14ac:dyDescent="0.3">
      <c r="A453" s="53"/>
      <c r="B453" s="54"/>
      <c r="G453" s="32"/>
      <c r="H453" s="32"/>
      <c r="I453" s="48"/>
    </row>
    <row r="454" spans="1:9" ht="15.75" customHeight="1" x14ac:dyDescent="0.3">
      <c r="A454" s="53"/>
      <c r="B454" s="54"/>
      <c r="G454" s="32"/>
      <c r="H454" s="32"/>
      <c r="I454" s="48"/>
    </row>
    <row r="455" spans="1:9" ht="15.75" customHeight="1" x14ac:dyDescent="0.3">
      <c r="A455" s="53"/>
      <c r="B455" s="54"/>
      <c r="G455" s="32"/>
      <c r="H455" s="32"/>
      <c r="I455" s="48"/>
    </row>
    <row r="456" spans="1:9" ht="15.75" customHeight="1" x14ac:dyDescent="0.3">
      <c r="A456" s="53"/>
      <c r="B456" s="54"/>
      <c r="G456" s="32"/>
      <c r="H456" s="32"/>
      <c r="I456" s="48"/>
    </row>
    <row r="457" spans="1:9" ht="15.75" customHeight="1" x14ac:dyDescent="0.3">
      <c r="A457" s="53"/>
      <c r="B457" s="54"/>
      <c r="G457" s="32"/>
      <c r="H457" s="32"/>
      <c r="I457" s="48"/>
    </row>
    <row r="458" spans="1:9" ht="15.75" customHeight="1" x14ac:dyDescent="0.3">
      <c r="A458" s="53"/>
      <c r="B458" s="54"/>
      <c r="G458" s="32"/>
      <c r="H458" s="32"/>
      <c r="I458" s="48"/>
    </row>
    <row r="459" spans="1:9" ht="15.75" customHeight="1" x14ac:dyDescent="0.3">
      <c r="A459" s="53"/>
      <c r="B459" s="54"/>
      <c r="G459" s="32"/>
      <c r="H459" s="32"/>
      <c r="I459" s="48"/>
    </row>
    <row r="460" spans="1:9" ht="15.75" customHeight="1" x14ac:dyDescent="0.3">
      <c r="A460" s="53"/>
      <c r="B460" s="54"/>
      <c r="G460" s="32"/>
      <c r="H460" s="32"/>
      <c r="I460" s="48"/>
    </row>
    <row r="461" spans="1:9" ht="15.75" customHeight="1" x14ac:dyDescent="0.3">
      <c r="A461" s="53"/>
      <c r="B461" s="54"/>
      <c r="G461" s="32"/>
      <c r="H461" s="32"/>
      <c r="I461" s="48"/>
    </row>
    <row r="462" spans="1:9" ht="15.75" customHeight="1" x14ac:dyDescent="0.3">
      <c r="A462" s="53"/>
      <c r="B462" s="54"/>
      <c r="G462" s="32"/>
      <c r="H462" s="32"/>
      <c r="I462" s="48"/>
    </row>
    <row r="463" spans="1:9" ht="15.75" customHeight="1" x14ac:dyDescent="0.3">
      <c r="A463" s="53"/>
      <c r="B463" s="54"/>
      <c r="G463" s="32"/>
      <c r="H463" s="32"/>
      <c r="I463" s="48"/>
    </row>
    <row r="464" spans="1:9" ht="15.75" customHeight="1" x14ac:dyDescent="0.3">
      <c r="A464" s="53"/>
      <c r="B464" s="54"/>
      <c r="G464" s="32"/>
      <c r="H464" s="32"/>
      <c r="I464" s="48"/>
    </row>
    <row r="465" spans="1:9" ht="15.75" customHeight="1" x14ac:dyDescent="0.3">
      <c r="A465" s="53"/>
      <c r="B465" s="54"/>
      <c r="G465" s="32"/>
      <c r="H465" s="32"/>
      <c r="I465" s="48"/>
    </row>
    <row r="466" spans="1:9" ht="15.75" customHeight="1" x14ac:dyDescent="0.3">
      <c r="A466" s="53"/>
      <c r="B466" s="54"/>
      <c r="G466" s="32"/>
      <c r="H466" s="32"/>
      <c r="I466" s="48"/>
    </row>
    <row r="467" spans="1:9" ht="15.75" customHeight="1" x14ac:dyDescent="0.3">
      <c r="A467" s="53"/>
      <c r="B467" s="54"/>
      <c r="G467" s="32"/>
      <c r="H467" s="32"/>
      <c r="I467" s="48"/>
    </row>
    <row r="468" spans="1:9" ht="15.75" customHeight="1" x14ac:dyDescent="0.3">
      <c r="A468" s="53"/>
      <c r="B468" s="54"/>
      <c r="G468" s="32"/>
      <c r="H468" s="32"/>
      <c r="I468" s="48"/>
    </row>
    <row r="469" spans="1:9" ht="15.75" customHeight="1" x14ac:dyDescent="0.3">
      <c r="A469" s="53"/>
      <c r="B469" s="54"/>
      <c r="G469" s="32"/>
      <c r="H469" s="32"/>
      <c r="I469" s="48"/>
    </row>
    <row r="470" spans="1:9" ht="15.75" customHeight="1" x14ac:dyDescent="0.3">
      <c r="A470" s="53"/>
      <c r="B470" s="54"/>
      <c r="G470" s="32"/>
      <c r="H470" s="32"/>
      <c r="I470" s="48"/>
    </row>
    <row r="471" spans="1:9" ht="15.75" customHeight="1" x14ac:dyDescent="0.3">
      <c r="A471" s="53"/>
      <c r="B471" s="54"/>
      <c r="G471" s="32"/>
      <c r="H471" s="32"/>
      <c r="I471" s="48"/>
    </row>
    <row r="472" spans="1:9" ht="15.75" customHeight="1" x14ac:dyDescent="0.3">
      <c r="A472" s="53"/>
      <c r="B472" s="54"/>
      <c r="G472" s="32"/>
      <c r="H472" s="32"/>
      <c r="I472" s="48"/>
    </row>
    <row r="473" spans="1:9" ht="15.75" customHeight="1" x14ac:dyDescent="0.3">
      <c r="A473" s="53"/>
      <c r="B473" s="54"/>
      <c r="G473" s="32"/>
      <c r="H473" s="32"/>
      <c r="I473" s="48"/>
    </row>
    <row r="474" spans="1:9" ht="15.75" customHeight="1" x14ac:dyDescent="0.3">
      <c r="A474" s="53"/>
      <c r="B474" s="54"/>
      <c r="G474" s="32"/>
      <c r="H474" s="32"/>
      <c r="I474" s="48"/>
    </row>
    <row r="475" spans="1:9" ht="15.75" customHeight="1" x14ac:dyDescent="0.3">
      <c r="A475" s="53"/>
      <c r="B475" s="54"/>
      <c r="G475" s="32"/>
      <c r="H475" s="32"/>
      <c r="I475" s="48"/>
    </row>
    <row r="476" spans="1:9" ht="15.75" customHeight="1" x14ac:dyDescent="0.3">
      <c r="A476" s="53"/>
      <c r="B476" s="54"/>
      <c r="G476" s="32"/>
      <c r="H476" s="32"/>
      <c r="I476" s="48"/>
    </row>
    <row r="477" spans="1:9" ht="15.75" customHeight="1" x14ac:dyDescent="0.3">
      <c r="A477" s="53"/>
      <c r="B477" s="54"/>
      <c r="G477" s="32"/>
      <c r="H477" s="32"/>
      <c r="I477" s="48"/>
    </row>
    <row r="478" spans="1:9" ht="15.75" customHeight="1" x14ac:dyDescent="0.3">
      <c r="A478" s="53"/>
      <c r="B478" s="54"/>
      <c r="G478" s="32"/>
      <c r="H478" s="32"/>
      <c r="I478" s="48"/>
    </row>
    <row r="479" spans="1:9" ht="15.75" customHeight="1" x14ac:dyDescent="0.3">
      <c r="A479" s="53"/>
      <c r="B479" s="54"/>
      <c r="G479" s="32"/>
      <c r="H479" s="32"/>
      <c r="I479" s="48"/>
    </row>
    <row r="480" spans="1:9" ht="15.75" customHeight="1" x14ac:dyDescent="0.3">
      <c r="A480" s="53"/>
      <c r="B480" s="54"/>
      <c r="G480" s="32"/>
      <c r="H480" s="32"/>
      <c r="I480" s="48"/>
    </row>
    <row r="481" spans="1:9" ht="15.75" customHeight="1" x14ac:dyDescent="0.3">
      <c r="A481" s="53"/>
      <c r="B481" s="54"/>
      <c r="G481" s="32"/>
      <c r="H481" s="32"/>
      <c r="I481" s="48"/>
    </row>
    <row r="482" spans="1:9" ht="15.75" customHeight="1" x14ac:dyDescent="0.3">
      <c r="A482" s="53"/>
      <c r="B482" s="54"/>
      <c r="G482" s="32"/>
      <c r="H482" s="32"/>
      <c r="I482" s="48"/>
    </row>
    <row r="483" spans="1:9" ht="15.75" customHeight="1" x14ac:dyDescent="0.3">
      <c r="A483" s="53"/>
      <c r="B483" s="54"/>
      <c r="G483" s="32"/>
      <c r="H483" s="32"/>
      <c r="I483" s="48"/>
    </row>
    <row r="484" spans="1:9" ht="15.75" customHeight="1" x14ac:dyDescent="0.3">
      <c r="A484" s="53"/>
      <c r="B484" s="54"/>
      <c r="G484" s="32"/>
      <c r="H484" s="32"/>
      <c r="I484" s="48"/>
    </row>
    <row r="485" spans="1:9" ht="15.75" customHeight="1" x14ac:dyDescent="0.3">
      <c r="A485" s="53"/>
      <c r="B485" s="54"/>
      <c r="G485" s="32"/>
      <c r="H485" s="32"/>
      <c r="I485" s="48"/>
    </row>
    <row r="486" spans="1:9" ht="15.75" customHeight="1" x14ac:dyDescent="0.3">
      <c r="A486" s="53"/>
      <c r="B486" s="54"/>
      <c r="G486" s="32"/>
      <c r="H486" s="32"/>
      <c r="I486" s="48"/>
    </row>
    <row r="487" spans="1:9" ht="15.75" customHeight="1" x14ac:dyDescent="0.3">
      <c r="A487" s="53"/>
      <c r="B487" s="54"/>
      <c r="G487" s="32"/>
      <c r="H487" s="32"/>
      <c r="I487" s="48"/>
    </row>
    <row r="488" spans="1:9" ht="15.75" customHeight="1" x14ac:dyDescent="0.3">
      <c r="A488" s="53"/>
      <c r="B488" s="54"/>
      <c r="G488" s="32"/>
      <c r="H488" s="32"/>
      <c r="I488" s="48"/>
    </row>
    <row r="489" spans="1:9" ht="15.75" customHeight="1" x14ac:dyDescent="0.3">
      <c r="A489" s="53"/>
      <c r="B489" s="54"/>
      <c r="G489" s="32"/>
      <c r="H489" s="32"/>
      <c r="I489" s="48"/>
    </row>
    <row r="490" spans="1:9" ht="15.75" customHeight="1" x14ac:dyDescent="0.3">
      <c r="A490" s="53"/>
      <c r="B490" s="54"/>
      <c r="G490" s="32"/>
      <c r="H490" s="32"/>
      <c r="I490" s="48"/>
    </row>
    <row r="491" spans="1:9" ht="15.75" customHeight="1" x14ac:dyDescent="0.3">
      <c r="A491" s="53"/>
      <c r="B491" s="54"/>
      <c r="G491" s="32"/>
      <c r="H491" s="32"/>
      <c r="I491" s="48"/>
    </row>
    <row r="492" spans="1:9" ht="15.75" customHeight="1" x14ac:dyDescent="0.3">
      <c r="A492" s="53"/>
      <c r="B492" s="54"/>
      <c r="G492" s="32"/>
      <c r="H492" s="32"/>
      <c r="I492" s="48"/>
    </row>
    <row r="493" spans="1:9" ht="15.75" customHeight="1" x14ac:dyDescent="0.3">
      <c r="A493" s="53"/>
      <c r="B493" s="54"/>
      <c r="G493" s="32"/>
      <c r="H493" s="32"/>
      <c r="I493" s="48"/>
    </row>
    <row r="494" spans="1:9" ht="15.75" customHeight="1" x14ac:dyDescent="0.3">
      <c r="A494" s="53"/>
      <c r="B494" s="54"/>
      <c r="G494" s="32"/>
      <c r="H494" s="32"/>
      <c r="I494" s="48"/>
    </row>
    <row r="495" spans="1:9" ht="15.75" customHeight="1" x14ac:dyDescent="0.3">
      <c r="A495" s="53"/>
      <c r="B495" s="54"/>
      <c r="G495" s="32"/>
      <c r="H495" s="32"/>
      <c r="I495" s="48"/>
    </row>
    <row r="496" spans="1:9" ht="15.75" customHeight="1" x14ac:dyDescent="0.3">
      <c r="A496" s="53"/>
      <c r="B496" s="54"/>
      <c r="G496" s="32"/>
      <c r="H496" s="32"/>
      <c r="I496" s="48"/>
    </row>
    <row r="497" spans="1:9" ht="15.75" customHeight="1" x14ac:dyDescent="0.3">
      <c r="A497" s="53"/>
      <c r="B497" s="54"/>
      <c r="G497" s="32"/>
      <c r="H497" s="32"/>
      <c r="I497" s="48"/>
    </row>
    <row r="498" spans="1:9" ht="15.75" customHeight="1" x14ac:dyDescent="0.3">
      <c r="A498" s="53"/>
      <c r="B498" s="54"/>
      <c r="G498" s="32"/>
      <c r="H498" s="32"/>
      <c r="I498" s="48"/>
    </row>
    <row r="499" spans="1:9" ht="15.75" customHeight="1" x14ac:dyDescent="0.3">
      <c r="A499" s="53"/>
      <c r="B499" s="54"/>
      <c r="G499" s="32"/>
      <c r="H499" s="32"/>
      <c r="I499" s="48"/>
    </row>
    <row r="500" spans="1:9" ht="15.75" customHeight="1" x14ac:dyDescent="0.3">
      <c r="A500" s="53"/>
      <c r="B500" s="54"/>
      <c r="G500" s="32"/>
      <c r="H500" s="32"/>
      <c r="I500" s="48"/>
    </row>
    <row r="501" spans="1:9" ht="15.75" customHeight="1" x14ac:dyDescent="0.3">
      <c r="A501" s="53"/>
      <c r="B501" s="54"/>
      <c r="G501" s="32"/>
      <c r="H501" s="32"/>
      <c r="I501" s="48"/>
    </row>
    <row r="502" spans="1:9" ht="15.75" customHeight="1" x14ac:dyDescent="0.3">
      <c r="A502" s="53"/>
      <c r="B502" s="54"/>
      <c r="G502" s="32"/>
      <c r="H502" s="32"/>
      <c r="I502" s="48"/>
    </row>
    <row r="503" spans="1:9" ht="15.75" customHeight="1" x14ac:dyDescent="0.3">
      <c r="A503" s="53"/>
      <c r="B503" s="54"/>
      <c r="G503" s="32"/>
      <c r="H503" s="32"/>
      <c r="I503" s="48"/>
    </row>
    <row r="504" spans="1:9" ht="15.75" customHeight="1" x14ac:dyDescent="0.3">
      <c r="A504" s="53"/>
      <c r="B504" s="54"/>
      <c r="G504" s="32"/>
      <c r="H504" s="32"/>
      <c r="I504" s="48"/>
    </row>
    <row r="505" spans="1:9" ht="15.75" customHeight="1" x14ac:dyDescent="0.3">
      <c r="A505" s="53"/>
      <c r="B505" s="54"/>
      <c r="G505" s="32"/>
      <c r="H505" s="32"/>
      <c r="I505" s="48"/>
    </row>
    <row r="506" spans="1:9" ht="15.75" customHeight="1" x14ac:dyDescent="0.3">
      <c r="A506" s="53"/>
      <c r="B506" s="54"/>
      <c r="G506" s="32"/>
      <c r="H506" s="32"/>
      <c r="I506" s="48"/>
    </row>
    <row r="507" spans="1:9" ht="15.75" customHeight="1" x14ac:dyDescent="0.3">
      <c r="A507" s="53"/>
      <c r="B507" s="54"/>
      <c r="G507" s="32"/>
      <c r="H507" s="32"/>
      <c r="I507" s="48"/>
    </row>
    <row r="508" spans="1:9" ht="15.75" customHeight="1" x14ac:dyDescent="0.3">
      <c r="A508" s="53"/>
      <c r="B508" s="54"/>
      <c r="G508" s="32"/>
      <c r="H508" s="32"/>
      <c r="I508" s="48"/>
    </row>
    <row r="509" spans="1:9" ht="15.75" customHeight="1" x14ac:dyDescent="0.3">
      <c r="A509" s="53"/>
      <c r="B509" s="54"/>
      <c r="G509" s="32"/>
      <c r="H509" s="32"/>
      <c r="I509" s="48"/>
    </row>
    <row r="510" spans="1:9" ht="15.75" customHeight="1" x14ac:dyDescent="0.3">
      <c r="A510" s="53"/>
      <c r="B510" s="54"/>
      <c r="G510" s="32"/>
      <c r="H510" s="32"/>
      <c r="I510" s="48"/>
    </row>
    <row r="511" spans="1:9" ht="15.75" customHeight="1" x14ac:dyDescent="0.3">
      <c r="A511" s="53"/>
      <c r="B511" s="54"/>
      <c r="G511" s="32"/>
      <c r="H511" s="32"/>
      <c r="I511" s="48"/>
    </row>
    <row r="512" spans="1:9" ht="15.75" customHeight="1" x14ac:dyDescent="0.3">
      <c r="A512" s="53"/>
      <c r="B512" s="54"/>
      <c r="G512" s="32"/>
      <c r="H512" s="32"/>
      <c r="I512" s="48"/>
    </row>
    <row r="513" spans="1:9" ht="15.75" customHeight="1" x14ac:dyDescent="0.3">
      <c r="A513" s="53"/>
      <c r="B513" s="54"/>
      <c r="G513" s="32"/>
      <c r="H513" s="32"/>
      <c r="I513" s="48"/>
    </row>
    <row r="514" spans="1:9" ht="15.75" customHeight="1" x14ac:dyDescent="0.3">
      <c r="A514" s="53"/>
      <c r="B514" s="54"/>
      <c r="G514" s="32"/>
      <c r="H514" s="32"/>
      <c r="I514" s="48"/>
    </row>
    <row r="515" spans="1:9" ht="15.75" customHeight="1" x14ac:dyDescent="0.3">
      <c r="A515" s="53"/>
      <c r="B515" s="54"/>
      <c r="G515" s="32"/>
      <c r="H515" s="32"/>
      <c r="I515" s="48"/>
    </row>
    <row r="516" spans="1:9" ht="15.75" customHeight="1" x14ac:dyDescent="0.3">
      <c r="A516" s="53"/>
      <c r="B516" s="54"/>
      <c r="G516" s="32"/>
      <c r="H516" s="32"/>
      <c r="I516" s="48"/>
    </row>
    <row r="517" spans="1:9" ht="15.75" customHeight="1" x14ac:dyDescent="0.3">
      <c r="A517" s="53"/>
      <c r="B517" s="54"/>
      <c r="G517" s="32"/>
      <c r="H517" s="32"/>
      <c r="I517" s="48"/>
    </row>
    <row r="518" spans="1:9" ht="15.75" customHeight="1" x14ac:dyDescent="0.3">
      <c r="A518" s="53"/>
      <c r="B518" s="54"/>
      <c r="G518" s="32"/>
      <c r="H518" s="32"/>
      <c r="I518" s="48"/>
    </row>
    <row r="519" spans="1:9" ht="15.75" customHeight="1" x14ac:dyDescent="0.3">
      <c r="A519" s="53"/>
      <c r="B519" s="54"/>
      <c r="G519" s="32"/>
      <c r="H519" s="32"/>
      <c r="I519" s="48"/>
    </row>
    <row r="520" spans="1:9" ht="15.75" customHeight="1" x14ac:dyDescent="0.3">
      <c r="A520" s="53"/>
      <c r="B520" s="54"/>
      <c r="G520" s="32"/>
      <c r="H520" s="32"/>
      <c r="I520" s="48"/>
    </row>
    <row r="521" spans="1:9" ht="15.75" customHeight="1" x14ac:dyDescent="0.3">
      <c r="A521" s="53"/>
      <c r="B521" s="54"/>
      <c r="G521" s="32"/>
      <c r="H521" s="32"/>
      <c r="I521" s="48"/>
    </row>
    <row r="522" spans="1:9" ht="15.75" customHeight="1" x14ac:dyDescent="0.3">
      <c r="A522" s="53"/>
      <c r="B522" s="54"/>
      <c r="G522" s="32"/>
      <c r="H522" s="32"/>
      <c r="I522" s="48"/>
    </row>
    <row r="523" spans="1:9" ht="15.75" customHeight="1" x14ac:dyDescent="0.3">
      <c r="A523" s="53"/>
      <c r="B523" s="54"/>
      <c r="G523" s="32"/>
      <c r="H523" s="32"/>
      <c r="I523" s="48"/>
    </row>
    <row r="524" spans="1:9" ht="15.75" customHeight="1" x14ac:dyDescent="0.3">
      <c r="A524" s="53"/>
      <c r="B524" s="54"/>
      <c r="G524" s="32"/>
      <c r="H524" s="32"/>
      <c r="I524" s="48"/>
    </row>
    <row r="525" spans="1:9" ht="15.75" customHeight="1" x14ac:dyDescent="0.3">
      <c r="A525" s="53"/>
      <c r="B525" s="54"/>
      <c r="G525" s="32"/>
      <c r="H525" s="32"/>
      <c r="I525" s="48"/>
    </row>
    <row r="526" spans="1:9" ht="15.75" customHeight="1" x14ac:dyDescent="0.3">
      <c r="A526" s="53"/>
      <c r="B526" s="54"/>
      <c r="G526" s="32"/>
      <c r="H526" s="32"/>
      <c r="I526" s="48"/>
    </row>
    <row r="527" spans="1:9" ht="15.75" customHeight="1" x14ac:dyDescent="0.3">
      <c r="A527" s="53"/>
      <c r="B527" s="54"/>
      <c r="G527" s="32"/>
      <c r="H527" s="32"/>
      <c r="I527" s="48"/>
    </row>
    <row r="528" spans="1:9" ht="15.75" customHeight="1" x14ac:dyDescent="0.3">
      <c r="A528" s="53"/>
      <c r="B528" s="54"/>
      <c r="G528" s="32"/>
      <c r="H528" s="32"/>
      <c r="I528" s="48"/>
    </row>
    <row r="529" spans="1:9" ht="15.75" customHeight="1" x14ac:dyDescent="0.3">
      <c r="A529" s="53"/>
      <c r="B529" s="54"/>
      <c r="G529" s="32"/>
      <c r="H529" s="32"/>
      <c r="I529" s="48"/>
    </row>
    <row r="530" spans="1:9" ht="15.75" customHeight="1" x14ac:dyDescent="0.3">
      <c r="A530" s="53"/>
      <c r="B530" s="54"/>
      <c r="G530" s="32"/>
      <c r="H530" s="32"/>
      <c r="I530" s="48"/>
    </row>
    <row r="531" spans="1:9" ht="15.75" customHeight="1" x14ac:dyDescent="0.3">
      <c r="A531" s="53"/>
      <c r="B531" s="54"/>
      <c r="G531" s="32"/>
      <c r="H531" s="32"/>
      <c r="I531" s="48"/>
    </row>
    <row r="532" spans="1:9" ht="15.75" customHeight="1" x14ac:dyDescent="0.3">
      <c r="A532" s="53"/>
      <c r="B532" s="54"/>
      <c r="G532" s="32"/>
      <c r="H532" s="32"/>
      <c r="I532" s="48"/>
    </row>
    <row r="533" spans="1:9" ht="15.75" customHeight="1" x14ac:dyDescent="0.3">
      <c r="A533" s="53"/>
      <c r="B533" s="54"/>
      <c r="G533" s="32"/>
      <c r="H533" s="32"/>
      <c r="I533" s="48"/>
    </row>
    <row r="534" spans="1:9" ht="15.75" customHeight="1" x14ac:dyDescent="0.3">
      <c r="A534" s="53"/>
      <c r="B534" s="54"/>
      <c r="G534" s="32"/>
      <c r="H534" s="32"/>
      <c r="I534" s="48"/>
    </row>
    <row r="535" spans="1:9" ht="15.75" customHeight="1" x14ac:dyDescent="0.3">
      <c r="A535" s="53"/>
      <c r="B535" s="54"/>
      <c r="G535" s="32"/>
      <c r="H535" s="32"/>
      <c r="I535" s="48"/>
    </row>
    <row r="536" spans="1:9" ht="15.75" customHeight="1" x14ac:dyDescent="0.3">
      <c r="A536" s="53"/>
      <c r="B536" s="54"/>
      <c r="G536" s="32"/>
      <c r="H536" s="32"/>
      <c r="I536" s="48"/>
    </row>
    <row r="537" spans="1:9" ht="15.75" customHeight="1" x14ac:dyDescent="0.3">
      <c r="A537" s="53"/>
      <c r="B537" s="54"/>
      <c r="G537" s="32"/>
      <c r="H537" s="32"/>
      <c r="I537" s="48"/>
    </row>
    <row r="538" spans="1:9" ht="15.75" customHeight="1" x14ac:dyDescent="0.3">
      <c r="A538" s="53"/>
      <c r="B538" s="54"/>
      <c r="G538" s="32"/>
      <c r="H538" s="32"/>
      <c r="I538" s="48"/>
    </row>
    <row r="539" spans="1:9" ht="15.75" customHeight="1" x14ac:dyDescent="0.3">
      <c r="A539" s="53"/>
      <c r="B539" s="54"/>
      <c r="G539" s="32"/>
      <c r="H539" s="32"/>
      <c r="I539" s="48"/>
    </row>
    <row r="540" spans="1:9" ht="15.75" customHeight="1" x14ac:dyDescent="0.3">
      <c r="A540" s="53"/>
      <c r="B540" s="54"/>
      <c r="G540" s="32"/>
      <c r="H540" s="32"/>
      <c r="I540" s="48"/>
    </row>
    <row r="541" spans="1:9" ht="15.75" customHeight="1" x14ac:dyDescent="0.3">
      <c r="A541" s="53"/>
      <c r="B541" s="54"/>
      <c r="G541" s="32"/>
      <c r="H541" s="32"/>
      <c r="I541" s="48"/>
    </row>
    <row r="542" spans="1:9" ht="15.75" customHeight="1" x14ac:dyDescent="0.3">
      <c r="A542" s="53"/>
      <c r="B542" s="54"/>
      <c r="G542" s="32"/>
      <c r="H542" s="32"/>
      <c r="I542" s="48"/>
    </row>
    <row r="543" spans="1:9" ht="15.75" customHeight="1" x14ac:dyDescent="0.3">
      <c r="A543" s="53"/>
      <c r="B543" s="54"/>
      <c r="G543" s="32"/>
      <c r="H543" s="32"/>
      <c r="I543" s="48"/>
    </row>
    <row r="544" spans="1:9" ht="15.75" customHeight="1" x14ac:dyDescent="0.3">
      <c r="A544" s="53"/>
      <c r="B544" s="54"/>
      <c r="G544" s="32"/>
      <c r="H544" s="32"/>
      <c r="I544" s="48"/>
    </row>
    <row r="545" spans="1:9" ht="15.75" customHeight="1" x14ac:dyDescent="0.3">
      <c r="A545" s="53"/>
      <c r="B545" s="54"/>
      <c r="G545" s="32"/>
      <c r="H545" s="32"/>
      <c r="I545" s="48"/>
    </row>
    <row r="546" spans="1:9" ht="15.75" customHeight="1" x14ac:dyDescent="0.3">
      <c r="A546" s="53"/>
      <c r="B546" s="54"/>
      <c r="G546" s="32"/>
      <c r="H546" s="32"/>
      <c r="I546" s="48"/>
    </row>
    <row r="547" spans="1:9" ht="15.75" customHeight="1" x14ac:dyDescent="0.3">
      <c r="A547" s="53"/>
      <c r="B547" s="54"/>
      <c r="G547" s="32"/>
      <c r="H547" s="32"/>
      <c r="I547" s="48"/>
    </row>
    <row r="548" spans="1:9" ht="15.75" customHeight="1" x14ac:dyDescent="0.3">
      <c r="A548" s="53"/>
      <c r="B548" s="54"/>
      <c r="G548" s="32"/>
      <c r="H548" s="32"/>
      <c r="I548" s="48"/>
    </row>
    <row r="549" spans="1:9" ht="15.75" customHeight="1" x14ac:dyDescent="0.3">
      <c r="A549" s="53"/>
      <c r="B549" s="54"/>
      <c r="G549" s="32"/>
      <c r="H549" s="32"/>
      <c r="I549" s="48"/>
    </row>
    <row r="550" spans="1:9" ht="15.75" customHeight="1" x14ac:dyDescent="0.3">
      <c r="A550" s="53"/>
      <c r="B550" s="54"/>
      <c r="G550" s="32"/>
      <c r="H550" s="32"/>
      <c r="I550" s="48"/>
    </row>
    <row r="551" spans="1:9" ht="15.75" customHeight="1" x14ac:dyDescent="0.3">
      <c r="A551" s="53"/>
      <c r="B551" s="54"/>
      <c r="G551" s="32"/>
      <c r="H551" s="32"/>
      <c r="I551" s="48"/>
    </row>
    <row r="552" spans="1:9" ht="15.75" customHeight="1" x14ac:dyDescent="0.3">
      <c r="A552" s="53"/>
      <c r="B552" s="54"/>
      <c r="G552" s="32"/>
      <c r="H552" s="32"/>
      <c r="I552" s="48"/>
    </row>
    <row r="553" spans="1:9" ht="15.75" customHeight="1" x14ac:dyDescent="0.3">
      <c r="A553" s="53"/>
      <c r="B553" s="54"/>
      <c r="G553" s="32"/>
      <c r="H553" s="32"/>
      <c r="I553" s="48"/>
    </row>
    <row r="554" spans="1:9" ht="15.75" customHeight="1" x14ac:dyDescent="0.3">
      <c r="A554" s="53"/>
      <c r="B554" s="54"/>
      <c r="G554" s="32"/>
      <c r="H554" s="32"/>
      <c r="I554" s="48"/>
    </row>
    <row r="555" spans="1:9" ht="15.75" customHeight="1" x14ac:dyDescent="0.3">
      <c r="A555" s="53"/>
      <c r="B555" s="54"/>
      <c r="G555" s="32"/>
      <c r="H555" s="32"/>
      <c r="I555" s="48"/>
    </row>
    <row r="556" spans="1:9" ht="15.75" customHeight="1" x14ac:dyDescent="0.3">
      <c r="A556" s="53"/>
      <c r="B556" s="54"/>
      <c r="G556" s="32"/>
      <c r="H556" s="32"/>
      <c r="I556" s="48"/>
    </row>
    <row r="557" spans="1:9" ht="15.75" customHeight="1" x14ac:dyDescent="0.3">
      <c r="A557" s="53"/>
      <c r="B557" s="54"/>
      <c r="G557" s="32"/>
      <c r="H557" s="32"/>
      <c r="I557" s="48"/>
    </row>
    <row r="558" spans="1:9" ht="15.75" customHeight="1" x14ac:dyDescent="0.3">
      <c r="A558" s="53"/>
      <c r="B558" s="54"/>
      <c r="G558" s="32"/>
      <c r="H558" s="32"/>
      <c r="I558" s="48"/>
    </row>
    <row r="559" spans="1:9" ht="15.75" customHeight="1" x14ac:dyDescent="0.3">
      <c r="A559" s="53"/>
      <c r="B559" s="54"/>
      <c r="G559" s="32"/>
      <c r="H559" s="32"/>
      <c r="I559" s="48"/>
    </row>
    <row r="560" spans="1:9" ht="15.75" customHeight="1" x14ac:dyDescent="0.3">
      <c r="A560" s="53"/>
      <c r="B560" s="54"/>
      <c r="G560" s="32"/>
      <c r="H560" s="32"/>
      <c r="I560" s="48"/>
    </row>
    <row r="561" spans="1:9" ht="15.75" customHeight="1" x14ac:dyDescent="0.3">
      <c r="A561" s="53"/>
      <c r="B561" s="54"/>
      <c r="G561" s="32"/>
      <c r="H561" s="32"/>
      <c r="I561" s="48"/>
    </row>
    <row r="562" spans="1:9" ht="15.75" customHeight="1" x14ac:dyDescent="0.3">
      <c r="A562" s="53"/>
      <c r="B562" s="54"/>
      <c r="G562" s="32"/>
      <c r="H562" s="32"/>
      <c r="I562" s="48"/>
    </row>
    <row r="563" spans="1:9" ht="15.75" customHeight="1" x14ac:dyDescent="0.3">
      <c r="A563" s="53"/>
      <c r="B563" s="54"/>
      <c r="G563" s="32"/>
      <c r="H563" s="32"/>
      <c r="I563" s="48"/>
    </row>
    <row r="564" spans="1:9" ht="15.75" customHeight="1" x14ac:dyDescent="0.3">
      <c r="A564" s="53"/>
      <c r="B564" s="54"/>
      <c r="G564" s="32"/>
      <c r="H564" s="32"/>
      <c r="I564" s="48"/>
    </row>
    <row r="565" spans="1:9" ht="15.75" customHeight="1" x14ac:dyDescent="0.3">
      <c r="A565" s="53"/>
      <c r="B565" s="54"/>
      <c r="G565" s="32"/>
      <c r="H565" s="32"/>
      <c r="I565" s="48"/>
    </row>
    <row r="566" spans="1:9" ht="15.75" customHeight="1" x14ac:dyDescent="0.3">
      <c r="A566" s="53"/>
      <c r="B566" s="54"/>
      <c r="G566" s="32"/>
      <c r="H566" s="32"/>
      <c r="I566" s="48"/>
    </row>
    <row r="567" spans="1:9" ht="15.75" customHeight="1" x14ac:dyDescent="0.3">
      <c r="A567" s="53"/>
      <c r="B567" s="54"/>
      <c r="G567" s="32"/>
      <c r="H567" s="32"/>
      <c r="I567" s="48"/>
    </row>
    <row r="568" spans="1:9" ht="15.75" customHeight="1" x14ac:dyDescent="0.3">
      <c r="A568" s="53"/>
      <c r="B568" s="54"/>
      <c r="G568" s="32"/>
      <c r="H568" s="32"/>
      <c r="I568" s="48"/>
    </row>
    <row r="569" spans="1:9" ht="15.75" customHeight="1" x14ac:dyDescent="0.3">
      <c r="A569" s="53"/>
      <c r="B569" s="54"/>
      <c r="G569" s="32"/>
      <c r="H569" s="32"/>
      <c r="I569" s="48"/>
    </row>
    <row r="570" spans="1:9" ht="15.75" customHeight="1" x14ac:dyDescent="0.3">
      <c r="A570" s="53"/>
      <c r="B570" s="54"/>
      <c r="G570" s="32"/>
      <c r="H570" s="32"/>
      <c r="I570" s="48"/>
    </row>
    <row r="571" spans="1:9" ht="15.75" customHeight="1" x14ac:dyDescent="0.3">
      <c r="A571" s="53"/>
      <c r="B571" s="54"/>
      <c r="G571" s="32"/>
      <c r="H571" s="32"/>
      <c r="I571" s="48"/>
    </row>
    <row r="572" spans="1:9" ht="15.75" customHeight="1" x14ac:dyDescent="0.3">
      <c r="A572" s="53"/>
      <c r="B572" s="54"/>
      <c r="G572" s="32"/>
      <c r="H572" s="32"/>
      <c r="I572" s="48"/>
    </row>
    <row r="573" spans="1:9" ht="15.75" customHeight="1" x14ac:dyDescent="0.3">
      <c r="A573" s="53"/>
      <c r="B573" s="54"/>
      <c r="G573" s="32"/>
      <c r="H573" s="32"/>
      <c r="I573" s="48"/>
    </row>
    <row r="574" spans="1:9" ht="15.75" customHeight="1" x14ac:dyDescent="0.3">
      <c r="A574" s="53"/>
      <c r="B574" s="54"/>
      <c r="G574" s="32"/>
      <c r="H574" s="32"/>
      <c r="I574" s="48"/>
    </row>
    <row r="575" spans="1:9" ht="15.75" customHeight="1" x14ac:dyDescent="0.3">
      <c r="A575" s="53"/>
      <c r="B575" s="54"/>
      <c r="G575" s="32"/>
      <c r="H575" s="32"/>
      <c r="I575" s="48"/>
    </row>
    <row r="576" spans="1:9" ht="15.75" customHeight="1" x14ac:dyDescent="0.3">
      <c r="A576" s="53"/>
      <c r="B576" s="54"/>
      <c r="G576" s="32"/>
      <c r="H576" s="32"/>
      <c r="I576" s="48"/>
    </row>
    <row r="577" spans="1:9" ht="15.75" customHeight="1" x14ac:dyDescent="0.3">
      <c r="A577" s="53"/>
      <c r="B577" s="54"/>
      <c r="G577" s="32"/>
      <c r="H577" s="32"/>
      <c r="I577" s="48"/>
    </row>
    <row r="578" spans="1:9" ht="15.75" customHeight="1" x14ac:dyDescent="0.3">
      <c r="A578" s="53"/>
      <c r="B578" s="54"/>
      <c r="G578" s="32"/>
      <c r="H578" s="32"/>
      <c r="I578" s="48"/>
    </row>
    <row r="579" spans="1:9" ht="15.75" customHeight="1" x14ac:dyDescent="0.3">
      <c r="A579" s="53"/>
      <c r="B579" s="54"/>
      <c r="G579" s="32"/>
      <c r="H579" s="32"/>
      <c r="I579" s="48"/>
    </row>
    <row r="580" spans="1:9" ht="15.75" customHeight="1" x14ac:dyDescent="0.3">
      <c r="A580" s="53"/>
      <c r="B580" s="54"/>
      <c r="G580" s="32"/>
      <c r="H580" s="32"/>
      <c r="I580" s="48"/>
    </row>
    <row r="581" spans="1:9" ht="15.75" customHeight="1" x14ac:dyDescent="0.3">
      <c r="A581" s="53"/>
      <c r="B581" s="54"/>
      <c r="G581" s="32"/>
      <c r="H581" s="32"/>
      <c r="I581" s="48"/>
    </row>
    <row r="582" spans="1:9" ht="15.75" customHeight="1" x14ac:dyDescent="0.3">
      <c r="A582" s="53"/>
      <c r="B582" s="54"/>
      <c r="G582" s="32"/>
      <c r="H582" s="32"/>
      <c r="I582" s="48"/>
    </row>
    <row r="583" spans="1:9" ht="15.75" customHeight="1" x14ac:dyDescent="0.3">
      <c r="A583" s="53"/>
      <c r="B583" s="54"/>
      <c r="G583" s="32"/>
      <c r="H583" s="32"/>
      <c r="I583" s="48"/>
    </row>
    <row r="584" spans="1:9" ht="15.75" customHeight="1" x14ac:dyDescent="0.3">
      <c r="A584" s="53"/>
      <c r="B584" s="54"/>
      <c r="G584" s="32"/>
      <c r="H584" s="32"/>
      <c r="I584" s="48"/>
    </row>
    <row r="585" spans="1:9" ht="15.75" customHeight="1" x14ac:dyDescent="0.3">
      <c r="A585" s="53"/>
      <c r="B585" s="54"/>
      <c r="G585" s="32"/>
      <c r="H585" s="32"/>
      <c r="I585" s="48"/>
    </row>
    <row r="586" spans="1:9" ht="15.75" customHeight="1" x14ac:dyDescent="0.3">
      <c r="A586" s="53"/>
      <c r="B586" s="54"/>
      <c r="G586" s="32"/>
      <c r="H586" s="32"/>
      <c r="I586" s="48"/>
    </row>
    <row r="587" spans="1:9" ht="15.75" customHeight="1" x14ac:dyDescent="0.3">
      <c r="A587" s="53"/>
      <c r="B587" s="54"/>
      <c r="G587" s="32"/>
      <c r="H587" s="32"/>
      <c r="I587" s="48"/>
    </row>
    <row r="588" spans="1:9" ht="15.75" customHeight="1" x14ac:dyDescent="0.3">
      <c r="A588" s="53"/>
      <c r="B588" s="54"/>
      <c r="G588" s="32"/>
      <c r="H588" s="32"/>
      <c r="I588" s="48"/>
    </row>
    <row r="589" spans="1:9" ht="15.75" customHeight="1" x14ac:dyDescent="0.3">
      <c r="A589" s="53"/>
      <c r="B589" s="54"/>
      <c r="G589" s="32"/>
      <c r="H589" s="32"/>
      <c r="I589" s="48"/>
    </row>
    <row r="590" spans="1:9" ht="15.75" customHeight="1" x14ac:dyDescent="0.3">
      <c r="A590" s="53"/>
      <c r="B590" s="54"/>
      <c r="G590" s="32"/>
      <c r="H590" s="32"/>
      <c r="I590" s="48"/>
    </row>
    <row r="591" spans="1:9" ht="15.75" customHeight="1" x14ac:dyDescent="0.3">
      <c r="A591" s="53"/>
      <c r="B591" s="54"/>
      <c r="G591" s="32"/>
      <c r="H591" s="32"/>
      <c r="I591" s="48"/>
    </row>
    <row r="592" spans="1:9" ht="15.75" customHeight="1" x14ac:dyDescent="0.3">
      <c r="A592" s="53"/>
      <c r="B592" s="54"/>
      <c r="G592" s="32"/>
      <c r="H592" s="32"/>
      <c r="I592" s="48"/>
    </row>
    <row r="593" spans="1:9" ht="15.75" customHeight="1" x14ac:dyDescent="0.3">
      <c r="A593" s="53"/>
      <c r="B593" s="54"/>
      <c r="G593" s="32"/>
      <c r="H593" s="32"/>
      <c r="I593" s="48"/>
    </row>
    <row r="594" spans="1:9" ht="15.75" customHeight="1" x14ac:dyDescent="0.3">
      <c r="A594" s="53"/>
      <c r="B594" s="54"/>
      <c r="G594" s="32"/>
      <c r="H594" s="32"/>
      <c r="I594" s="48"/>
    </row>
    <row r="595" spans="1:9" ht="15.75" customHeight="1" x14ac:dyDescent="0.3">
      <c r="A595" s="53"/>
      <c r="B595" s="54"/>
      <c r="G595" s="32"/>
      <c r="H595" s="32"/>
      <c r="I595" s="48"/>
    </row>
    <row r="596" spans="1:9" ht="15.75" customHeight="1" x14ac:dyDescent="0.3">
      <c r="A596" s="53"/>
      <c r="B596" s="54"/>
      <c r="G596" s="32"/>
      <c r="H596" s="32"/>
      <c r="I596" s="48"/>
    </row>
    <row r="597" spans="1:9" ht="15.75" customHeight="1" x14ac:dyDescent="0.3">
      <c r="A597" s="53"/>
      <c r="B597" s="54"/>
      <c r="G597" s="32"/>
      <c r="H597" s="32"/>
      <c r="I597" s="48"/>
    </row>
    <row r="598" spans="1:9" ht="15.75" customHeight="1" x14ac:dyDescent="0.3">
      <c r="A598" s="53"/>
      <c r="B598" s="54"/>
      <c r="G598" s="32"/>
      <c r="H598" s="32"/>
      <c r="I598" s="48"/>
    </row>
    <row r="599" spans="1:9" ht="15.75" customHeight="1" x14ac:dyDescent="0.3">
      <c r="A599" s="53"/>
      <c r="B599" s="54"/>
      <c r="G599" s="32"/>
      <c r="H599" s="32"/>
      <c r="I599" s="48"/>
    </row>
    <row r="600" spans="1:9" ht="15.75" customHeight="1" x14ac:dyDescent="0.3">
      <c r="A600" s="53"/>
      <c r="B600" s="54"/>
      <c r="G600" s="32"/>
      <c r="H600" s="32"/>
      <c r="I600" s="48"/>
    </row>
    <row r="601" spans="1:9" ht="15.75" customHeight="1" x14ac:dyDescent="0.3">
      <c r="A601" s="53"/>
      <c r="B601" s="54"/>
      <c r="G601" s="32"/>
      <c r="H601" s="32"/>
      <c r="I601" s="48"/>
    </row>
    <row r="602" spans="1:9" ht="15.75" customHeight="1" x14ac:dyDescent="0.3">
      <c r="A602" s="53"/>
      <c r="B602" s="54"/>
      <c r="G602" s="32"/>
      <c r="H602" s="32"/>
      <c r="I602" s="48"/>
    </row>
    <row r="603" spans="1:9" ht="15.75" customHeight="1" x14ac:dyDescent="0.3">
      <c r="A603" s="53"/>
      <c r="B603" s="54"/>
      <c r="G603" s="32"/>
      <c r="H603" s="32"/>
      <c r="I603" s="48"/>
    </row>
    <row r="604" spans="1:9" ht="15.75" customHeight="1" x14ac:dyDescent="0.3">
      <c r="A604" s="53"/>
      <c r="B604" s="54"/>
      <c r="G604" s="32"/>
      <c r="H604" s="32"/>
      <c r="I604" s="48"/>
    </row>
    <row r="605" spans="1:9" ht="15.75" customHeight="1" x14ac:dyDescent="0.3">
      <c r="A605" s="53"/>
      <c r="B605" s="54"/>
      <c r="G605" s="32"/>
      <c r="H605" s="32"/>
      <c r="I605" s="48"/>
    </row>
    <row r="606" spans="1:9" ht="15.75" customHeight="1" x14ac:dyDescent="0.3">
      <c r="A606" s="53"/>
      <c r="B606" s="54"/>
      <c r="G606" s="32"/>
      <c r="H606" s="32"/>
      <c r="I606" s="48"/>
    </row>
    <row r="607" spans="1:9" ht="15.75" customHeight="1" x14ac:dyDescent="0.3">
      <c r="A607" s="53"/>
      <c r="B607" s="54"/>
      <c r="G607" s="32"/>
      <c r="H607" s="32"/>
      <c r="I607" s="48"/>
    </row>
    <row r="608" spans="1:9" ht="15.75" customHeight="1" x14ac:dyDescent="0.3">
      <c r="A608" s="53"/>
      <c r="B608" s="54"/>
      <c r="G608" s="32"/>
      <c r="H608" s="32"/>
      <c r="I608" s="48"/>
    </row>
    <row r="609" spans="1:9" ht="15.75" customHeight="1" x14ac:dyDescent="0.3">
      <c r="A609" s="53"/>
      <c r="B609" s="54"/>
      <c r="G609" s="32"/>
      <c r="H609" s="32"/>
      <c r="I609" s="48"/>
    </row>
    <row r="610" spans="1:9" ht="15.75" customHeight="1" x14ac:dyDescent="0.3">
      <c r="A610" s="53"/>
      <c r="B610" s="54"/>
      <c r="G610" s="32"/>
      <c r="H610" s="32"/>
      <c r="I610" s="48"/>
    </row>
    <row r="611" spans="1:9" ht="15.75" customHeight="1" x14ac:dyDescent="0.3">
      <c r="A611" s="53"/>
      <c r="B611" s="54"/>
      <c r="G611" s="32"/>
      <c r="H611" s="32"/>
      <c r="I611" s="48"/>
    </row>
    <row r="612" spans="1:9" ht="15.75" customHeight="1" x14ac:dyDescent="0.3">
      <c r="A612" s="53"/>
      <c r="B612" s="54"/>
      <c r="G612" s="32"/>
      <c r="H612" s="32"/>
      <c r="I612" s="48"/>
    </row>
    <row r="613" spans="1:9" ht="15.75" customHeight="1" x14ac:dyDescent="0.3">
      <c r="A613" s="53"/>
      <c r="B613" s="54"/>
      <c r="G613" s="32"/>
      <c r="H613" s="32"/>
      <c r="I613" s="48"/>
    </row>
    <row r="614" spans="1:9" ht="15.75" customHeight="1" x14ac:dyDescent="0.3">
      <c r="A614" s="53"/>
      <c r="B614" s="54"/>
      <c r="G614" s="32"/>
      <c r="H614" s="32"/>
      <c r="I614" s="48"/>
    </row>
    <row r="615" spans="1:9" ht="15.75" customHeight="1" x14ac:dyDescent="0.3">
      <c r="A615" s="53"/>
      <c r="B615" s="54"/>
      <c r="G615" s="32"/>
      <c r="H615" s="32"/>
      <c r="I615" s="48"/>
    </row>
    <row r="616" spans="1:9" ht="15.75" customHeight="1" x14ac:dyDescent="0.3">
      <c r="A616" s="53"/>
      <c r="B616" s="54"/>
      <c r="G616" s="32"/>
      <c r="H616" s="32"/>
      <c r="I616" s="48"/>
    </row>
    <row r="617" spans="1:9" ht="15.75" customHeight="1" x14ac:dyDescent="0.3">
      <c r="A617" s="53"/>
      <c r="B617" s="54"/>
      <c r="G617" s="32"/>
      <c r="H617" s="32"/>
      <c r="I617" s="48"/>
    </row>
    <row r="618" spans="1:9" ht="15.75" customHeight="1" x14ac:dyDescent="0.3">
      <c r="A618" s="53"/>
      <c r="B618" s="54"/>
      <c r="G618" s="32"/>
      <c r="H618" s="32"/>
      <c r="I618" s="48"/>
    </row>
    <row r="619" spans="1:9" ht="15.75" customHeight="1" x14ac:dyDescent="0.3">
      <c r="A619" s="53"/>
      <c r="B619" s="54"/>
      <c r="G619" s="32"/>
      <c r="H619" s="32"/>
      <c r="I619" s="48"/>
    </row>
    <row r="620" spans="1:9" ht="15.75" customHeight="1" x14ac:dyDescent="0.3">
      <c r="A620" s="53"/>
      <c r="B620" s="54"/>
      <c r="G620" s="32"/>
      <c r="H620" s="32"/>
      <c r="I620" s="48"/>
    </row>
    <row r="621" spans="1:9" ht="15.75" customHeight="1" x14ac:dyDescent="0.3">
      <c r="A621" s="53"/>
      <c r="B621" s="54"/>
      <c r="G621" s="32"/>
      <c r="H621" s="32"/>
      <c r="I621" s="48"/>
    </row>
    <row r="622" spans="1:9" ht="15.75" customHeight="1" x14ac:dyDescent="0.3">
      <c r="A622" s="53"/>
      <c r="B622" s="54"/>
      <c r="G622" s="32"/>
      <c r="H622" s="32"/>
      <c r="I622" s="48"/>
    </row>
    <row r="623" spans="1:9" ht="15.75" customHeight="1" x14ac:dyDescent="0.3">
      <c r="A623" s="53"/>
      <c r="B623" s="54"/>
      <c r="G623" s="32"/>
      <c r="H623" s="32"/>
      <c r="I623" s="48"/>
    </row>
    <row r="624" spans="1:9" ht="15.75" customHeight="1" x14ac:dyDescent="0.3">
      <c r="A624" s="53"/>
      <c r="B624" s="54"/>
      <c r="G624" s="32"/>
      <c r="H624" s="32"/>
      <c r="I624" s="48"/>
    </row>
    <row r="625" spans="1:9" ht="15.75" customHeight="1" x14ac:dyDescent="0.3">
      <c r="A625" s="53"/>
      <c r="B625" s="54"/>
      <c r="G625" s="32"/>
      <c r="H625" s="32"/>
      <c r="I625" s="48"/>
    </row>
    <row r="626" spans="1:9" ht="15.75" customHeight="1" x14ac:dyDescent="0.3">
      <c r="A626" s="53"/>
      <c r="B626" s="54"/>
      <c r="G626" s="32"/>
      <c r="H626" s="32"/>
      <c r="I626" s="48"/>
    </row>
    <row r="627" spans="1:9" ht="15.75" customHeight="1" x14ac:dyDescent="0.3">
      <c r="A627" s="53"/>
      <c r="B627" s="54"/>
      <c r="G627" s="32"/>
      <c r="H627" s="32"/>
      <c r="I627" s="48"/>
    </row>
    <row r="628" spans="1:9" ht="15.75" customHeight="1" x14ac:dyDescent="0.3">
      <c r="A628" s="53"/>
      <c r="B628" s="54"/>
      <c r="G628" s="32"/>
      <c r="H628" s="32"/>
      <c r="I628" s="48"/>
    </row>
    <row r="629" spans="1:9" ht="15.75" customHeight="1" x14ac:dyDescent="0.3">
      <c r="A629" s="53"/>
      <c r="B629" s="54"/>
      <c r="G629" s="32"/>
      <c r="H629" s="32"/>
      <c r="I629" s="48"/>
    </row>
    <row r="630" spans="1:9" ht="15.75" customHeight="1" x14ac:dyDescent="0.3">
      <c r="A630" s="53"/>
      <c r="B630" s="54"/>
      <c r="G630" s="32"/>
      <c r="H630" s="32"/>
      <c r="I630" s="48"/>
    </row>
    <row r="631" spans="1:9" ht="15.75" customHeight="1" x14ac:dyDescent="0.3">
      <c r="A631" s="53"/>
      <c r="B631" s="54"/>
      <c r="G631" s="32"/>
      <c r="H631" s="32"/>
      <c r="I631" s="48"/>
    </row>
    <row r="632" spans="1:9" ht="15.75" customHeight="1" x14ac:dyDescent="0.3">
      <c r="A632" s="53"/>
      <c r="B632" s="54"/>
      <c r="G632" s="32"/>
      <c r="H632" s="32"/>
      <c r="I632" s="48"/>
    </row>
    <row r="633" spans="1:9" ht="15.75" customHeight="1" x14ac:dyDescent="0.3">
      <c r="A633" s="53"/>
      <c r="B633" s="54"/>
      <c r="G633" s="32"/>
      <c r="H633" s="32"/>
      <c r="I633" s="48"/>
    </row>
    <row r="634" spans="1:9" ht="15.75" customHeight="1" x14ac:dyDescent="0.3">
      <c r="A634" s="53"/>
      <c r="B634" s="54"/>
      <c r="G634" s="32"/>
      <c r="H634" s="32"/>
      <c r="I634" s="48"/>
    </row>
    <row r="635" spans="1:9" ht="15.75" customHeight="1" x14ac:dyDescent="0.3">
      <c r="A635" s="53"/>
      <c r="B635" s="54"/>
      <c r="G635" s="32"/>
      <c r="H635" s="32"/>
      <c r="I635" s="48"/>
    </row>
    <row r="636" spans="1:9" ht="15.75" customHeight="1" x14ac:dyDescent="0.3">
      <c r="A636" s="53"/>
      <c r="B636" s="54"/>
      <c r="G636" s="32"/>
      <c r="H636" s="32"/>
      <c r="I636" s="48"/>
    </row>
    <row r="637" spans="1:9" ht="15.75" customHeight="1" x14ac:dyDescent="0.3">
      <c r="A637" s="53"/>
      <c r="B637" s="54"/>
      <c r="G637" s="32"/>
      <c r="H637" s="32"/>
      <c r="I637" s="48"/>
    </row>
    <row r="638" spans="1:9" ht="15.75" customHeight="1" x14ac:dyDescent="0.3">
      <c r="A638" s="53"/>
      <c r="B638" s="54"/>
      <c r="G638" s="32"/>
      <c r="H638" s="32"/>
      <c r="I638" s="48"/>
    </row>
    <row r="639" spans="1:9" ht="15.75" customHeight="1" x14ac:dyDescent="0.3">
      <c r="A639" s="53"/>
      <c r="B639" s="54"/>
      <c r="G639" s="32"/>
      <c r="H639" s="32"/>
      <c r="I639" s="48"/>
    </row>
    <row r="640" spans="1:9" ht="15.75" customHeight="1" x14ac:dyDescent="0.3">
      <c r="A640" s="53"/>
      <c r="B640" s="54"/>
      <c r="G640" s="32"/>
      <c r="H640" s="32"/>
      <c r="I640" s="48"/>
    </row>
    <row r="641" spans="1:9" ht="15.75" customHeight="1" x14ac:dyDescent="0.3">
      <c r="A641" s="53"/>
      <c r="B641" s="54"/>
      <c r="G641" s="32"/>
      <c r="H641" s="32"/>
      <c r="I641" s="48"/>
    </row>
    <row r="642" spans="1:9" ht="15.75" customHeight="1" x14ac:dyDescent="0.3">
      <c r="A642" s="53"/>
      <c r="B642" s="54"/>
      <c r="G642" s="32"/>
      <c r="H642" s="32"/>
      <c r="I642" s="48"/>
    </row>
    <row r="643" spans="1:9" ht="15.75" customHeight="1" x14ac:dyDescent="0.3">
      <c r="A643" s="53"/>
      <c r="B643" s="54"/>
      <c r="G643" s="32"/>
      <c r="H643" s="32"/>
      <c r="I643" s="48"/>
    </row>
    <row r="644" spans="1:9" ht="15.75" customHeight="1" x14ac:dyDescent="0.3">
      <c r="A644" s="53"/>
      <c r="B644" s="54"/>
      <c r="G644" s="32"/>
      <c r="H644" s="32"/>
      <c r="I644" s="48"/>
    </row>
    <row r="645" spans="1:9" ht="15.75" customHeight="1" x14ac:dyDescent="0.3">
      <c r="A645" s="53"/>
      <c r="B645" s="54"/>
      <c r="G645" s="32"/>
      <c r="H645" s="32"/>
      <c r="I645" s="48"/>
    </row>
    <row r="646" spans="1:9" ht="15.75" customHeight="1" x14ac:dyDescent="0.3">
      <c r="A646" s="53"/>
      <c r="B646" s="54"/>
      <c r="G646" s="32"/>
      <c r="H646" s="32"/>
      <c r="I646" s="48"/>
    </row>
    <row r="647" spans="1:9" ht="15.75" customHeight="1" x14ac:dyDescent="0.3">
      <c r="A647" s="53"/>
      <c r="B647" s="54"/>
      <c r="G647" s="32"/>
      <c r="H647" s="32"/>
      <c r="I647" s="48"/>
    </row>
    <row r="648" spans="1:9" ht="15.75" customHeight="1" x14ac:dyDescent="0.3">
      <c r="A648" s="53"/>
      <c r="B648" s="54"/>
      <c r="G648" s="32"/>
      <c r="H648" s="32"/>
      <c r="I648" s="48"/>
    </row>
    <row r="649" spans="1:9" ht="15.75" customHeight="1" x14ac:dyDescent="0.3">
      <c r="A649" s="53"/>
      <c r="B649" s="54"/>
      <c r="G649" s="32"/>
      <c r="H649" s="32"/>
      <c r="I649" s="48"/>
    </row>
    <row r="650" spans="1:9" ht="15.75" customHeight="1" x14ac:dyDescent="0.3">
      <c r="A650" s="53"/>
      <c r="B650" s="54"/>
      <c r="G650" s="32"/>
      <c r="H650" s="32"/>
      <c r="I650" s="48"/>
    </row>
    <row r="651" spans="1:9" ht="15.75" customHeight="1" x14ac:dyDescent="0.3">
      <c r="A651" s="53"/>
      <c r="B651" s="54"/>
      <c r="G651" s="32"/>
      <c r="H651" s="32"/>
      <c r="I651" s="48"/>
    </row>
    <row r="652" spans="1:9" ht="15.75" customHeight="1" x14ac:dyDescent="0.3">
      <c r="A652" s="53"/>
      <c r="B652" s="54"/>
      <c r="G652" s="32"/>
      <c r="H652" s="32"/>
      <c r="I652" s="48"/>
    </row>
    <row r="653" spans="1:9" ht="15.75" customHeight="1" x14ac:dyDescent="0.3">
      <c r="A653" s="53"/>
      <c r="B653" s="54"/>
      <c r="G653" s="32"/>
      <c r="H653" s="32"/>
      <c r="I653" s="48"/>
    </row>
    <row r="654" spans="1:9" ht="15.75" customHeight="1" x14ac:dyDescent="0.3">
      <c r="A654" s="53"/>
      <c r="B654" s="54"/>
      <c r="G654" s="32"/>
      <c r="H654" s="32"/>
      <c r="I654" s="48"/>
    </row>
    <row r="655" spans="1:9" ht="15.75" customHeight="1" x14ac:dyDescent="0.3">
      <c r="A655" s="53"/>
      <c r="B655" s="54"/>
      <c r="G655" s="32"/>
      <c r="H655" s="32"/>
      <c r="I655" s="48"/>
    </row>
    <row r="656" spans="1:9" ht="15.75" customHeight="1" x14ac:dyDescent="0.3">
      <c r="A656" s="53"/>
      <c r="B656" s="54"/>
      <c r="G656" s="32"/>
      <c r="H656" s="32"/>
      <c r="I656" s="48"/>
    </row>
    <row r="657" spans="1:9" ht="15.75" customHeight="1" x14ac:dyDescent="0.3">
      <c r="A657" s="53"/>
      <c r="B657" s="54"/>
      <c r="G657" s="32"/>
      <c r="H657" s="32"/>
      <c r="I657" s="48"/>
    </row>
    <row r="658" spans="1:9" ht="15.75" customHeight="1" x14ac:dyDescent="0.3">
      <c r="A658" s="53"/>
      <c r="B658" s="54"/>
      <c r="G658" s="32"/>
      <c r="H658" s="32"/>
      <c r="I658" s="48"/>
    </row>
    <row r="659" spans="1:9" ht="15.75" customHeight="1" x14ac:dyDescent="0.3">
      <c r="A659" s="53"/>
      <c r="B659" s="54"/>
      <c r="G659" s="32"/>
      <c r="H659" s="32"/>
      <c r="I659" s="48"/>
    </row>
    <row r="660" spans="1:9" ht="15.75" customHeight="1" x14ac:dyDescent="0.3">
      <c r="A660" s="53"/>
      <c r="B660" s="54"/>
      <c r="G660" s="32"/>
      <c r="H660" s="32"/>
      <c r="I660" s="48"/>
    </row>
    <row r="661" spans="1:9" ht="15.75" customHeight="1" x14ac:dyDescent="0.3">
      <c r="A661" s="53"/>
      <c r="B661" s="54"/>
      <c r="G661" s="32"/>
      <c r="H661" s="32"/>
      <c r="I661" s="48"/>
    </row>
    <row r="662" spans="1:9" ht="15.75" customHeight="1" x14ac:dyDescent="0.3">
      <c r="A662" s="53"/>
      <c r="B662" s="54"/>
      <c r="G662" s="32"/>
      <c r="H662" s="32"/>
      <c r="I662" s="48"/>
    </row>
    <row r="663" spans="1:9" ht="15.75" customHeight="1" x14ac:dyDescent="0.3">
      <c r="A663" s="53"/>
      <c r="B663" s="54"/>
      <c r="G663" s="32"/>
      <c r="H663" s="32"/>
      <c r="I663" s="48"/>
    </row>
    <row r="664" spans="1:9" ht="15.75" customHeight="1" x14ac:dyDescent="0.3">
      <c r="A664" s="53"/>
      <c r="B664" s="54"/>
      <c r="G664" s="32"/>
      <c r="H664" s="32"/>
      <c r="I664" s="48"/>
    </row>
    <row r="665" spans="1:9" ht="15.75" customHeight="1" x14ac:dyDescent="0.3">
      <c r="A665" s="53"/>
      <c r="B665" s="54"/>
      <c r="G665" s="32"/>
      <c r="H665" s="32"/>
      <c r="I665" s="48"/>
    </row>
    <row r="666" spans="1:9" ht="15.75" customHeight="1" x14ac:dyDescent="0.3">
      <c r="A666" s="53"/>
      <c r="B666" s="54"/>
      <c r="G666" s="32"/>
      <c r="H666" s="32"/>
      <c r="I666" s="48"/>
    </row>
    <row r="667" spans="1:9" ht="15.75" customHeight="1" x14ac:dyDescent="0.3">
      <c r="A667" s="53"/>
      <c r="B667" s="54"/>
      <c r="G667" s="32"/>
      <c r="H667" s="32"/>
      <c r="I667" s="48"/>
    </row>
    <row r="668" spans="1:9" ht="15.75" customHeight="1" x14ac:dyDescent="0.3">
      <c r="A668" s="53"/>
      <c r="B668" s="54"/>
      <c r="G668" s="32"/>
      <c r="H668" s="32"/>
      <c r="I668" s="48"/>
    </row>
    <row r="669" spans="1:9" ht="15.75" customHeight="1" x14ac:dyDescent="0.3">
      <c r="A669" s="53"/>
      <c r="B669" s="54"/>
      <c r="G669" s="32"/>
      <c r="H669" s="32"/>
      <c r="I669" s="48"/>
    </row>
    <row r="670" spans="1:9" ht="15.75" customHeight="1" x14ac:dyDescent="0.3">
      <c r="A670" s="53"/>
      <c r="B670" s="54"/>
      <c r="G670" s="32"/>
      <c r="H670" s="32"/>
      <c r="I670" s="48"/>
    </row>
    <row r="671" spans="1:9" ht="15.75" customHeight="1" x14ac:dyDescent="0.3">
      <c r="A671" s="53"/>
      <c r="B671" s="54"/>
      <c r="G671" s="32"/>
      <c r="H671" s="32"/>
      <c r="I671" s="48"/>
    </row>
    <row r="672" spans="1:9" ht="15.75" customHeight="1" x14ac:dyDescent="0.3">
      <c r="A672" s="53"/>
      <c r="B672" s="54"/>
      <c r="G672" s="32"/>
      <c r="H672" s="32"/>
      <c r="I672" s="48"/>
    </row>
    <row r="673" spans="1:9" ht="15.75" customHeight="1" x14ac:dyDescent="0.3">
      <c r="A673" s="53"/>
      <c r="B673" s="54"/>
      <c r="G673" s="32"/>
      <c r="H673" s="32"/>
      <c r="I673" s="48"/>
    </row>
    <row r="674" spans="1:9" ht="15.75" customHeight="1" x14ac:dyDescent="0.3">
      <c r="A674" s="53"/>
      <c r="B674" s="54"/>
      <c r="G674" s="32"/>
      <c r="H674" s="32"/>
      <c r="I674" s="48"/>
    </row>
    <row r="675" spans="1:9" ht="15.75" customHeight="1" x14ac:dyDescent="0.3">
      <c r="A675" s="53"/>
      <c r="B675" s="54"/>
      <c r="G675" s="32"/>
      <c r="H675" s="32"/>
      <c r="I675" s="48"/>
    </row>
    <row r="676" spans="1:9" ht="15.75" customHeight="1" x14ac:dyDescent="0.3">
      <c r="A676" s="53"/>
      <c r="B676" s="54"/>
      <c r="G676" s="32"/>
      <c r="H676" s="32"/>
      <c r="I676" s="48"/>
    </row>
    <row r="677" spans="1:9" ht="15.75" customHeight="1" x14ac:dyDescent="0.3">
      <c r="A677" s="53"/>
      <c r="B677" s="54"/>
      <c r="G677" s="32"/>
      <c r="H677" s="32"/>
      <c r="I677" s="48"/>
    </row>
    <row r="678" spans="1:9" ht="15.75" customHeight="1" x14ac:dyDescent="0.3">
      <c r="A678" s="53"/>
      <c r="B678" s="54"/>
      <c r="G678" s="32"/>
      <c r="H678" s="32"/>
      <c r="I678" s="48"/>
    </row>
    <row r="679" spans="1:9" ht="15.75" customHeight="1" x14ac:dyDescent="0.3">
      <c r="A679" s="53"/>
      <c r="B679" s="54"/>
      <c r="G679" s="32"/>
      <c r="H679" s="32"/>
      <c r="I679" s="48"/>
    </row>
    <row r="680" spans="1:9" ht="15.75" customHeight="1" x14ac:dyDescent="0.3">
      <c r="A680" s="53"/>
      <c r="B680" s="54"/>
      <c r="G680" s="32"/>
      <c r="H680" s="32"/>
      <c r="I680" s="48"/>
    </row>
    <row r="681" spans="1:9" ht="15.75" customHeight="1" x14ac:dyDescent="0.3">
      <c r="A681" s="53"/>
      <c r="B681" s="54"/>
      <c r="G681" s="32"/>
      <c r="H681" s="32"/>
      <c r="I681" s="48"/>
    </row>
    <row r="682" spans="1:9" ht="15.75" customHeight="1" x14ac:dyDescent="0.3">
      <c r="A682" s="53"/>
      <c r="B682" s="54"/>
      <c r="G682" s="32"/>
      <c r="H682" s="32"/>
      <c r="I682" s="48"/>
    </row>
    <row r="683" spans="1:9" ht="15.75" customHeight="1" x14ac:dyDescent="0.3">
      <c r="A683" s="53"/>
      <c r="B683" s="54"/>
      <c r="G683" s="32"/>
      <c r="H683" s="32"/>
      <c r="I683" s="48"/>
    </row>
    <row r="684" spans="1:9" ht="15.75" customHeight="1" x14ac:dyDescent="0.3">
      <c r="A684" s="53"/>
      <c r="B684" s="54"/>
      <c r="G684" s="32"/>
      <c r="H684" s="32"/>
      <c r="I684" s="48"/>
    </row>
    <row r="685" spans="1:9" ht="15.75" customHeight="1" x14ac:dyDescent="0.3">
      <c r="A685" s="53"/>
      <c r="B685" s="54"/>
      <c r="G685" s="32"/>
      <c r="H685" s="32"/>
      <c r="I685" s="48"/>
    </row>
    <row r="686" spans="1:9" ht="15.75" customHeight="1" x14ac:dyDescent="0.3">
      <c r="A686" s="53"/>
      <c r="B686" s="54"/>
      <c r="G686" s="32"/>
      <c r="H686" s="32"/>
      <c r="I686" s="48"/>
    </row>
    <row r="687" spans="1:9" ht="15.75" customHeight="1" x14ac:dyDescent="0.3">
      <c r="A687" s="53"/>
      <c r="B687" s="54"/>
      <c r="G687" s="32"/>
      <c r="H687" s="32"/>
      <c r="I687" s="48"/>
    </row>
    <row r="688" spans="1:9" ht="15.75" customHeight="1" x14ac:dyDescent="0.3">
      <c r="A688" s="53"/>
      <c r="B688" s="54"/>
      <c r="G688" s="32"/>
      <c r="H688" s="32"/>
      <c r="I688" s="48"/>
    </row>
    <row r="689" spans="1:9" ht="15.75" customHeight="1" x14ac:dyDescent="0.3">
      <c r="A689" s="53"/>
      <c r="B689" s="54"/>
      <c r="G689" s="32"/>
      <c r="H689" s="32"/>
      <c r="I689" s="48"/>
    </row>
    <row r="690" spans="1:9" ht="15.75" customHeight="1" x14ac:dyDescent="0.3">
      <c r="A690" s="53"/>
      <c r="B690" s="54"/>
      <c r="G690" s="32"/>
      <c r="H690" s="32"/>
      <c r="I690" s="48"/>
    </row>
    <row r="691" spans="1:9" ht="15.75" customHeight="1" x14ac:dyDescent="0.3">
      <c r="A691" s="53"/>
      <c r="B691" s="54"/>
      <c r="G691" s="32"/>
      <c r="H691" s="32"/>
      <c r="I691" s="48"/>
    </row>
    <row r="692" spans="1:9" ht="15.75" customHeight="1" x14ac:dyDescent="0.3">
      <c r="A692" s="53"/>
      <c r="B692" s="54"/>
      <c r="G692" s="32"/>
      <c r="H692" s="32"/>
      <c r="I692" s="48"/>
    </row>
    <row r="693" spans="1:9" ht="15.75" customHeight="1" x14ac:dyDescent="0.3">
      <c r="A693" s="53"/>
      <c r="B693" s="54"/>
      <c r="G693" s="32"/>
      <c r="H693" s="32"/>
      <c r="I693" s="48"/>
    </row>
    <row r="694" spans="1:9" ht="15.75" customHeight="1" x14ac:dyDescent="0.3">
      <c r="A694" s="53"/>
      <c r="B694" s="54"/>
      <c r="G694" s="32"/>
      <c r="H694" s="32"/>
      <c r="I694" s="48"/>
    </row>
    <row r="695" spans="1:9" ht="15.75" customHeight="1" x14ac:dyDescent="0.3">
      <c r="A695" s="53"/>
      <c r="B695" s="54"/>
      <c r="G695" s="32"/>
      <c r="H695" s="32"/>
      <c r="I695" s="48"/>
    </row>
    <row r="696" spans="1:9" ht="15.75" customHeight="1" x14ac:dyDescent="0.3">
      <c r="A696" s="53"/>
      <c r="B696" s="54"/>
      <c r="G696" s="32"/>
      <c r="H696" s="32"/>
      <c r="I696" s="48"/>
    </row>
    <row r="697" spans="1:9" ht="15.75" customHeight="1" x14ac:dyDescent="0.3">
      <c r="A697" s="53"/>
      <c r="B697" s="54"/>
      <c r="G697" s="32"/>
      <c r="H697" s="32"/>
      <c r="I697" s="48"/>
    </row>
    <row r="698" spans="1:9" ht="15.75" customHeight="1" x14ac:dyDescent="0.3">
      <c r="A698" s="53"/>
      <c r="B698" s="54"/>
      <c r="G698" s="32"/>
      <c r="H698" s="32"/>
      <c r="I698" s="48"/>
    </row>
    <row r="699" spans="1:9" ht="15.75" customHeight="1" x14ac:dyDescent="0.3">
      <c r="A699" s="53"/>
      <c r="B699" s="54"/>
      <c r="G699" s="32"/>
      <c r="H699" s="32"/>
      <c r="I699" s="48"/>
    </row>
    <row r="700" spans="1:9" ht="15.75" customHeight="1" x14ac:dyDescent="0.3">
      <c r="A700" s="53"/>
      <c r="B700" s="54"/>
      <c r="G700" s="32"/>
      <c r="H700" s="32"/>
      <c r="I700" s="48"/>
    </row>
    <row r="701" spans="1:9" ht="15.75" customHeight="1" x14ac:dyDescent="0.3">
      <c r="A701" s="53"/>
      <c r="B701" s="54"/>
      <c r="G701" s="32"/>
      <c r="H701" s="32"/>
      <c r="I701" s="48"/>
    </row>
    <row r="702" spans="1:9" ht="15.75" customHeight="1" x14ac:dyDescent="0.3">
      <c r="A702" s="53"/>
      <c r="B702" s="54"/>
      <c r="G702" s="32"/>
      <c r="H702" s="32"/>
      <c r="I702" s="48"/>
    </row>
    <row r="703" spans="1:9" ht="15.75" customHeight="1" x14ac:dyDescent="0.3">
      <c r="A703" s="53"/>
      <c r="B703" s="54"/>
      <c r="G703" s="32"/>
      <c r="H703" s="32"/>
      <c r="I703" s="48"/>
    </row>
    <row r="704" spans="1:9" ht="15.75" customHeight="1" x14ac:dyDescent="0.3">
      <c r="A704" s="53"/>
      <c r="B704" s="54"/>
      <c r="G704" s="32"/>
      <c r="H704" s="32"/>
      <c r="I704" s="48"/>
    </row>
    <row r="705" spans="1:9" ht="15.75" customHeight="1" x14ac:dyDescent="0.3">
      <c r="A705" s="53"/>
      <c r="B705" s="54"/>
      <c r="G705" s="32"/>
      <c r="H705" s="32"/>
      <c r="I705" s="48"/>
    </row>
    <row r="706" spans="1:9" ht="15.75" customHeight="1" x14ac:dyDescent="0.3">
      <c r="A706" s="53"/>
      <c r="B706" s="54"/>
      <c r="G706" s="32"/>
      <c r="H706" s="32"/>
      <c r="I706" s="48"/>
    </row>
    <row r="707" spans="1:9" ht="15.75" customHeight="1" x14ac:dyDescent="0.3">
      <c r="A707" s="53"/>
      <c r="B707" s="54"/>
      <c r="G707" s="32"/>
      <c r="H707" s="32"/>
      <c r="I707" s="48"/>
    </row>
    <row r="708" spans="1:9" ht="15.75" customHeight="1" x14ac:dyDescent="0.3">
      <c r="A708" s="53"/>
      <c r="B708" s="54"/>
      <c r="G708" s="32"/>
      <c r="H708" s="32"/>
      <c r="I708" s="48"/>
    </row>
    <row r="709" spans="1:9" ht="15.75" customHeight="1" x14ac:dyDescent="0.3">
      <c r="A709" s="53"/>
      <c r="B709" s="54"/>
      <c r="G709" s="32"/>
      <c r="H709" s="32"/>
      <c r="I709" s="48"/>
    </row>
    <row r="710" spans="1:9" ht="15.75" customHeight="1" x14ac:dyDescent="0.3">
      <c r="A710" s="53"/>
      <c r="B710" s="54"/>
      <c r="G710" s="32"/>
      <c r="H710" s="32"/>
      <c r="I710" s="48"/>
    </row>
    <row r="711" spans="1:9" ht="15.75" customHeight="1" x14ac:dyDescent="0.3">
      <c r="A711" s="53"/>
      <c r="B711" s="54"/>
      <c r="G711" s="32"/>
      <c r="H711" s="32"/>
      <c r="I711" s="48"/>
    </row>
    <row r="712" spans="1:9" ht="15.75" customHeight="1" x14ac:dyDescent="0.3">
      <c r="A712" s="53"/>
      <c r="B712" s="54"/>
      <c r="G712" s="32"/>
      <c r="H712" s="32"/>
      <c r="I712" s="48"/>
    </row>
    <row r="713" spans="1:9" ht="15.75" customHeight="1" x14ac:dyDescent="0.3">
      <c r="A713" s="53"/>
      <c r="B713" s="54"/>
      <c r="G713" s="32"/>
      <c r="H713" s="32"/>
      <c r="I713" s="48"/>
    </row>
    <row r="714" spans="1:9" ht="15.75" customHeight="1" x14ac:dyDescent="0.3">
      <c r="A714" s="53"/>
      <c r="B714" s="54"/>
      <c r="G714" s="32"/>
      <c r="H714" s="32"/>
      <c r="I714" s="48"/>
    </row>
    <row r="715" spans="1:9" ht="15.75" customHeight="1" x14ac:dyDescent="0.3">
      <c r="A715" s="53"/>
      <c r="B715" s="54"/>
      <c r="G715" s="32"/>
      <c r="H715" s="32"/>
      <c r="I715" s="48"/>
    </row>
    <row r="716" spans="1:9" ht="15.75" customHeight="1" x14ac:dyDescent="0.3">
      <c r="A716" s="53"/>
      <c r="B716" s="54"/>
      <c r="G716" s="32"/>
      <c r="H716" s="32"/>
      <c r="I716" s="48"/>
    </row>
    <row r="717" spans="1:9" ht="15.75" customHeight="1" x14ac:dyDescent="0.3">
      <c r="A717" s="53"/>
      <c r="B717" s="54"/>
      <c r="G717" s="32"/>
      <c r="H717" s="32"/>
      <c r="I717" s="48"/>
    </row>
    <row r="718" spans="1:9" ht="15.75" customHeight="1" x14ac:dyDescent="0.3">
      <c r="A718" s="53"/>
      <c r="B718" s="54"/>
      <c r="G718" s="32"/>
      <c r="H718" s="32"/>
      <c r="I718" s="48"/>
    </row>
    <row r="719" spans="1:9" ht="15.75" customHeight="1" x14ac:dyDescent="0.3">
      <c r="A719" s="53"/>
      <c r="B719" s="54"/>
      <c r="G719" s="32"/>
      <c r="H719" s="32"/>
      <c r="I719" s="48"/>
    </row>
    <row r="720" spans="1:9" ht="15.75" customHeight="1" x14ac:dyDescent="0.3">
      <c r="A720" s="53"/>
      <c r="B720" s="54"/>
      <c r="G720" s="32"/>
      <c r="H720" s="32"/>
      <c r="I720" s="48"/>
    </row>
    <row r="721" spans="1:9" ht="15.75" customHeight="1" x14ac:dyDescent="0.3">
      <c r="A721" s="53"/>
      <c r="B721" s="54"/>
      <c r="G721" s="32"/>
      <c r="H721" s="32"/>
      <c r="I721" s="48"/>
    </row>
    <row r="722" spans="1:9" ht="15.75" customHeight="1" x14ac:dyDescent="0.3">
      <c r="A722" s="53"/>
      <c r="B722" s="54"/>
      <c r="G722" s="32"/>
      <c r="H722" s="32"/>
      <c r="I722" s="48"/>
    </row>
    <row r="723" spans="1:9" ht="15.75" customHeight="1" x14ac:dyDescent="0.3">
      <c r="A723" s="53"/>
      <c r="B723" s="54"/>
      <c r="G723" s="32"/>
      <c r="H723" s="32"/>
      <c r="I723" s="48"/>
    </row>
    <row r="724" spans="1:9" ht="15.75" customHeight="1" x14ac:dyDescent="0.3">
      <c r="A724" s="53"/>
      <c r="B724" s="54"/>
      <c r="G724" s="32"/>
      <c r="H724" s="32"/>
      <c r="I724" s="48"/>
    </row>
    <row r="725" spans="1:9" ht="15.75" customHeight="1" x14ac:dyDescent="0.3">
      <c r="A725" s="53"/>
      <c r="B725" s="54"/>
      <c r="G725" s="32"/>
      <c r="H725" s="32"/>
      <c r="I725" s="48"/>
    </row>
    <row r="726" spans="1:9" ht="15.75" customHeight="1" x14ac:dyDescent="0.3">
      <c r="A726" s="53"/>
      <c r="B726" s="54"/>
      <c r="G726" s="32"/>
      <c r="H726" s="32"/>
      <c r="I726" s="48"/>
    </row>
    <row r="727" spans="1:9" ht="15.75" customHeight="1" x14ac:dyDescent="0.3">
      <c r="A727" s="53"/>
      <c r="B727" s="54"/>
      <c r="G727" s="32"/>
      <c r="H727" s="32"/>
      <c r="I727" s="48"/>
    </row>
    <row r="728" spans="1:9" ht="15.75" customHeight="1" x14ac:dyDescent="0.3">
      <c r="A728" s="53"/>
      <c r="B728" s="54"/>
      <c r="G728" s="32"/>
      <c r="H728" s="32"/>
      <c r="I728" s="48"/>
    </row>
    <row r="729" spans="1:9" ht="15.75" customHeight="1" x14ac:dyDescent="0.3">
      <c r="A729" s="53"/>
      <c r="B729" s="54"/>
      <c r="G729" s="32"/>
      <c r="H729" s="32"/>
      <c r="I729" s="48"/>
    </row>
    <row r="730" spans="1:9" ht="15.75" customHeight="1" x14ac:dyDescent="0.3">
      <c r="A730" s="53"/>
      <c r="B730" s="54"/>
      <c r="G730" s="32"/>
      <c r="H730" s="32"/>
      <c r="I730" s="48"/>
    </row>
    <row r="731" spans="1:9" ht="15.75" customHeight="1" x14ac:dyDescent="0.3">
      <c r="A731" s="53"/>
      <c r="B731" s="54"/>
      <c r="G731" s="32"/>
      <c r="H731" s="32"/>
      <c r="I731" s="48"/>
    </row>
    <row r="732" spans="1:9" ht="15.75" customHeight="1" x14ac:dyDescent="0.3">
      <c r="A732" s="53"/>
      <c r="B732" s="54"/>
      <c r="G732" s="32"/>
      <c r="H732" s="32"/>
      <c r="I732" s="48"/>
    </row>
    <row r="733" spans="1:9" ht="15.75" customHeight="1" x14ac:dyDescent="0.3">
      <c r="A733" s="53"/>
      <c r="B733" s="54"/>
      <c r="G733" s="32"/>
      <c r="H733" s="32"/>
      <c r="I733" s="48"/>
    </row>
    <row r="734" spans="1:9" ht="15.75" customHeight="1" x14ac:dyDescent="0.3">
      <c r="A734" s="53"/>
      <c r="B734" s="54"/>
      <c r="G734" s="32"/>
      <c r="H734" s="32"/>
      <c r="I734" s="48"/>
    </row>
    <row r="735" spans="1:9" ht="15.75" customHeight="1" x14ac:dyDescent="0.3">
      <c r="A735" s="53"/>
      <c r="B735" s="54"/>
      <c r="G735" s="32"/>
      <c r="H735" s="32"/>
      <c r="I735" s="48"/>
    </row>
    <row r="736" spans="1:9" ht="15.75" customHeight="1" x14ac:dyDescent="0.3">
      <c r="A736" s="53"/>
      <c r="B736" s="54"/>
      <c r="G736" s="32"/>
      <c r="H736" s="32"/>
      <c r="I736" s="48"/>
    </row>
    <row r="737" spans="1:9" ht="15.75" customHeight="1" x14ac:dyDescent="0.3">
      <c r="A737" s="53"/>
      <c r="B737" s="54"/>
      <c r="G737" s="32"/>
      <c r="H737" s="32"/>
      <c r="I737" s="48"/>
    </row>
    <row r="738" spans="1:9" ht="15.75" customHeight="1" x14ac:dyDescent="0.3">
      <c r="A738" s="53"/>
      <c r="B738" s="54"/>
      <c r="G738" s="32"/>
      <c r="H738" s="32"/>
      <c r="I738" s="48"/>
    </row>
    <row r="739" spans="1:9" ht="15.75" customHeight="1" x14ac:dyDescent="0.3">
      <c r="A739" s="53"/>
      <c r="B739" s="54"/>
      <c r="G739" s="32"/>
      <c r="H739" s="32"/>
      <c r="I739" s="48"/>
    </row>
    <row r="740" spans="1:9" ht="15.75" customHeight="1" x14ac:dyDescent="0.3">
      <c r="A740" s="53"/>
      <c r="B740" s="54"/>
      <c r="G740" s="32"/>
      <c r="H740" s="32"/>
      <c r="I740" s="48"/>
    </row>
    <row r="741" spans="1:9" ht="15.75" customHeight="1" x14ac:dyDescent="0.3">
      <c r="A741" s="53"/>
      <c r="B741" s="54"/>
      <c r="G741" s="32"/>
      <c r="H741" s="32"/>
      <c r="I741" s="48"/>
    </row>
    <row r="742" spans="1:9" ht="15.75" customHeight="1" x14ac:dyDescent="0.3">
      <c r="A742" s="53"/>
      <c r="B742" s="54"/>
      <c r="G742" s="32"/>
      <c r="H742" s="32"/>
      <c r="I742" s="48"/>
    </row>
    <row r="743" spans="1:9" ht="15.75" customHeight="1" x14ac:dyDescent="0.3">
      <c r="A743" s="53"/>
      <c r="B743" s="54"/>
      <c r="G743" s="32"/>
      <c r="H743" s="32"/>
      <c r="I743" s="48"/>
    </row>
    <row r="744" spans="1:9" ht="15.75" customHeight="1" x14ac:dyDescent="0.3">
      <c r="A744" s="53"/>
      <c r="B744" s="54"/>
      <c r="G744" s="32"/>
      <c r="H744" s="32"/>
      <c r="I744" s="48"/>
    </row>
    <row r="745" spans="1:9" ht="15.75" customHeight="1" x14ac:dyDescent="0.3">
      <c r="A745" s="53"/>
      <c r="B745" s="54"/>
      <c r="G745" s="32"/>
      <c r="H745" s="32"/>
      <c r="I745" s="48"/>
    </row>
    <row r="746" spans="1:9" ht="15.75" customHeight="1" x14ac:dyDescent="0.3">
      <c r="A746" s="53"/>
      <c r="B746" s="54"/>
      <c r="G746" s="32"/>
      <c r="H746" s="32"/>
      <c r="I746" s="48"/>
    </row>
    <row r="747" spans="1:9" ht="15.75" customHeight="1" x14ac:dyDescent="0.3">
      <c r="A747" s="53"/>
      <c r="B747" s="54"/>
      <c r="G747" s="32"/>
      <c r="H747" s="32"/>
      <c r="I747" s="48"/>
    </row>
    <row r="748" spans="1:9" ht="15.75" customHeight="1" x14ac:dyDescent="0.3">
      <c r="A748" s="53"/>
      <c r="B748" s="54"/>
      <c r="G748" s="32"/>
      <c r="H748" s="32"/>
      <c r="I748" s="48"/>
    </row>
    <row r="749" spans="1:9" ht="15.75" customHeight="1" x14ac:dyDescent="0.3">
      <c r="A749" s="53"/>
      <c r="B749" s="54"/>
      <c r="G749" s="32"/>
      <c r="H749" s="32"/>
      <c r="I749" s="48"/>
    </row>
    <row r="750" spans="1:9" ht="15.75" customHeight="1" x14ac:dyDescent="0.3">
      <c r="A750" s="53"/>
      <c r="B750" s="54"/>
      <c r="G750" s="32"/>
      <c r="H750" s="32"/>
      <c r="I750" s="48"/>
    </row>
    <row r="751" spans="1:9" ht="15.75" customHeight="1" x14ac:dyDescent="0.3">
      <c r="A751" s="53"/>
      <c r="B751" s="54"/>
      <c r="G751" s="32"/>
      <c r="H751" s="32"/>
      <c r="I751" s="48"/>
    </row>
    <row r="752" spans="1:9" ht="15.75" customHeight="1" x14ac:dyDescent="0.3">
      <c r="A752" s="53"/>
      <c r="B752" s="54"/>
      <c r="G752" s="32"/>
      <c r="H752" s="32"/>
      <c r="I752" s="48"/>
    </row>
    <row r="753" spans="1:9" ht="15.75" customHeight="1" x14ac:dyDescent="0.3">
      <c r="A753" s="53"/>
      <c r="B753" s="54"/>
      <c r="G753" s="32"/>
      <c r="H753" s="32"/>
      <c r="I753" s="48"/>
    </row>
    <row r="754" spans="1:9" ht="15.75" customHeight="1" x14ac:dyDescent="0.3">
      <c r="A754" s="53"/>
      <c r="B754" s="54"/>
      <c r="G754" s="32"/>
      <c r="H754" s="32"/>
      <c r="I754" s="48"/>
    </row>
    <row r="755" spans="1:9" ht="15.75" customHeight="1" x14ac:dyDescent="0.3">
      <c r="A755" s="53"/>
      <c r="B755" s="54"/>
      <c r="G755" s="32"/>
      <c r="H755" s="32"/>
      <c r="I755" s="48"/>
    </row>
    <row r="756" spans="1:9" ht="15.75" customHeight="1" x14ac:dyDescent="0.3">
      <c r="A756" s="53"/>
      <c r="B756" s="54"/>
      <c r="G756" s="32"/>
      <c r="H756" s="32"/>
      <c r="I756" s="48"/>
    </row>
    <row r="757" spans="1:9" ht="15.75" customHeight="1" x14ac:dyDescent="0.3">
      <c r="A757" s="53"/>
      <c r="B757" s="54"/>
      <c r="G757" s="32"/>
      <c r="H757" s="32"/>
      <c r="I757" s="48"/>
    </row>
    <row r="758" spans="1:9" ht="15.75" customHeight="1" x14ac:dyDescent="0.3">
      <c r="A758" s="53"/>
      <c r="B758" s="54"/>
      <c r="G758" s="32"/>
      <c r="H758" s="32"/>
      <c r="I758" s="48"/>
    </row>
    <row r="759" spans="1:9" ht="15.75" customHeight="1" x14ac:dyDescent="0.3">
      <c r="A759" s="53"/>
      <c r="B759" s="54"/>
      <c r="G759" s="32"/>
      <c r="H759" s="32"/>
      <c r="I759" s="48"/>
    </row>
    <row r="760" spans="1:9" ht="15.75" customHeight="1" x14ac:dyDescent="0.3">
      <c r="A760" s="53"/>
      <c r="B760" s="54"/>
      <c r="G760" s="32"/>
      <c r="H760" s="32"/>
      <c r="I760" s="48"/>
    </row>
    <row r="761" spans="1:9" ht="15.75" customHeight="1" x14ac:dyDescent="0.3">
      <c r="A761" s="53"/>
      <c r="B761" s="54"/>
      <c r="G761" s="32"/>
      <c r="H761" s="32"/>
      <c r="I761" s="48"/>
    </row>
    <row r="762" spans="1:9" ht="15.75" customHeight="1" x14ac:dyDescent="0.3">
      <c r="A762" s="53"/>
      <c r="B762" s="54"/>
      <c r="G762" s="32"/>
      <c r="H762" s="32"/>
      <c r="I762" s="48"/>
    </row>
    <row r="763" spans="1:9" ht="15.75" customHeight="1" x14ac:dyDescent="0.3">
      <c r="A763" s="53"/>
      <c r="B763" s="54"/>
      <c r="G763" s="32"/>
      <c r="H763" s="32"/>
      <c r="I763" s="48"/>
    </row>
    <row r="764" spans="1:9" ht="15.75" customHeight="1" x14ac:dyDescent="0.3">
      <c r="A764" s="53"/>
      <c r="B764" s="54"/>
      <c r="G764" s="32"/>
      <c r="H764" s="32"/>
      <c r="I764" s="48"/>
    </row>
    <row r="765" spans="1:9" ht="15.75" customHeight="1" x14ac:dyDescent="0.3">
      <c r="A765" s="53"/>
      <c r="B765" s="54"/>
      <c r="G765" s="32"/>
      <c r="H765" s="32"/>
      <c r="I765" s="48"/>
    </row>
    <row r="766" spans="1:9" ht="15.75" customHeight="1" x14ac:dyDescent="0.3">
      <c r="A766" s="53"/>
      <c r="B766" s="54"/>
      <c r="G766" s="32"/>
      <c r="H766" s="32"/>
      <c r="I766" s="48"/>
    </row>
    <row r="767" spans="1:9" ht="15.75" customHeight="1" x14ac:dyDescent="0.3">
      <c r="A767" s="53"/>
      <c r="B767" s="54"/>
      <c r="G767" s="32"/>
      <c r="H767" s="32"/>
      <c r="I767" s="48"/>
    </row>
    <row r="768" spans="1:9" ht="15.75" customHeight="1" x14ac:dyDescent="0.3">
      <c r="A768" s="53"/>
      <c r="B768" s="54"/>
      <c r="G768" s="32"/>
      <c r="H768" s="32"/>
      <c r="I768" s="48"/>
    </row>
    <row r="769" spans="1:9" ht="15.75" customHeight="1" x14ac:dyDescent="0.3">
      <c r="A769" s="53"/>
      <c r="B769" s="54"/>
      <c r="G769" s="32"/>
      <c r="H769" s="32"/>
      <c r="I769" s="48"/>
    </row>
    <row r="770" spans="1:9" ht="15.75" customHeight="1" x14ac:dyDescent="0.3">
      <c r="A770" s="53"/>
      <c r="B770" s="54"/>
      <c r="G770" s="32"/>
      <c r="H770" s="32"/>
      <c r="I770" s="48"/>
    </row>
    <row r="771" spans="1:9" ht="15.75" customHeight="1" x14ac:dyDescent="0.3">
      <c r="A771" s="53"/>
      <c r="B771" s="54"/>
      <c r="G771" s="32"/>
      <c r="H771" s="32"/>
      <c r="I771" s="48"/>
    </row>
    <row r="772" spans="1:9" ht="15.75" customHeight="1" x14ac:dyDescent="0.3">
      <c r="A772" s="53"/>
      <c r="B772" s="54"/>
      <c r="G772" s="32"/>
      <c r="H772" s="32"/>
      <c r="I772" s="48"/>
    </row>
    <row r="773" spans="1:9" ht="15.75" customHeight="1" x14ac:dyDescent="0.3">
      <c r="A773" s="53"/>
      <c r="B773" s="54"/>
      <c r="G773" s="32"/>
      <c r="H773" s="32"/>
      <c r="I773" s="48"/>
    </row>
    <row r="774" spans="1:9" ht="15.75" customHeight="1" x14ac:dyDescent="0.3">
      <c r="A774" s="53"/>
      <c r="B774" s="54"/>
      <c r="G774" s="32"/>
      <c r="H774" s="32"/>
      <c r="I774" s="48"/>
    </row>
    <row r="775" spans="1:9" ht="15.75" customHeight="1" x14ac:dyDescent="0.3">
      <c r="A775" s="53"/>
      <c r="B775" s="54"/>
      <c r="G775" s="32"/>
      <c r="H775" s="32"/>
      <c r="I775" s="48"/>
    </row>
    <row r="776" spans="1:9" ht="15.75" customHeight="1" x14ac:dyDescent="0.3">
      <c r="A776" s="53"/>
      <c r="B776" s="54"/>
      <c r="G776" s="32"/>
      <c r="H776" s="32"/>
      <c r="I776" s="48"/>
    </row>
    <row r="777" spans="1:9" ht="15.75" customHeight="1" x14ac:dyDescent="0.3">
      <c r="A777" s="53"/>
      <c r="B777" s="54"/>
      <c r="G777" s="32"/>
      <c r="H777" s="32"/>
      <c r="I777" s="48"/>
    </row>
    <row r="778" spans="1:9" ht="15.75" customHeight="1" x14ac:dyDescent="0.3">
      <c r="A778" s="53"/>
      <c r="B778" s="54"/>
      <c r="G778" s="32"/>
      <c r="H778" s="32"/>
      <c r="I778" s="48"/>
    </row>
    <row r="779" spans="1:9" ht="15.75" customHeight="1" x14ac:dyDescent="0.3">
      <c r="A779" s="53"/>
      <c r="B779" s="54"/>
      <c r="G779" s="32"/>
      <c r="H779" s="32"/>
      <c r="I779" s="48"/>
    </row>
    <row r="780" spans="1:9" ht="15.75" customHeight="1" x14ac:dyDescent="0.3">
      <c r="A780" s="53"/>
      <c r="B780" s="54"/>
      <c r="G780" s="32"/>
      <c r="H780" s="32"/>
      <c r="I780" s="48"/>
    </row>
    <row r="781" spans="1:9" ht="15.75" customHeight="1" x14ac:dyDescent="0.3">
      <c r="A781" s="53"/>
      <c r="B781" s="54"/>
      <c r="G781" s="32"/>
      <c r="H781" s="32"/>
      <c r="I781" s="48"/>
    </row>
    <row r="782" spans="1:9" ht="15.75" customHeight="1" x14ac:dyDescent="0.3">
      <c r="A782" s="53"/>
      <c r="B782" s="54"/>
      <c r="G782" s="32"/>
      <c r="H782" s="32"/>
      <c r="I782" s="48"/>
    </row>
    <row r="783" spans="1:9" ht="15.75" customHeight="1" x14ac:dyDescent="0.3">
      <c r="A783" s="53"/>
      <c r="B783" s="54"/>
      <c r="G783" s="32"/>
      <c r="H783" s="32"/>
      <c r="I783" s="48"/>
    </row>
    <row r="784" spans="1:9" ht="15.75" customHeight="1" x14ac:dyDescent="0.3">
      <c r="A784" s="53"/>
      <c r="B784" s="54"/>
      <c r="G784" s="32"/>
      <c r="H784" s="32"/>
      <c r="I784" s="48"/>
    </row>
    <row r="785" spans="1:9" ht="15.75" customHeight="1" x14ac:dyDescent="0.3">
      <c r="A785" s="53"/>
      <c r="B785" s="54"/>
      <c r="G785" s="32"/>
      <c r="H785" s="32"/>
      <c r="I785" s="48"/>
    </row>
    <row r="786" spans="1:9" ht="15.75" customHeight="1" x14ac:dyDescent="0.3">
      <c r="A786" s="53"/>
      <c r="B786" s="54"/>
      <c r="G786" s="32"/>
      <c r="H786" s="32"/>
      <c r="I786" s="48"/>
    </row>
    <row r="787" spans="1:9" ht="15.75" customHeight="1" x14ac:dyDescent="0.3">
      <c r="A787" s="53"/>
      <c r="B787" s="54"/>
      <c r="G787" s="32"/>
      <c r="H787" s="32"/>
      <c r="I787" s="48"/>
    </row>
    <row r="788" spans="1:9" ht="15.75" customHeight="1" x14ac:dyDescent="0.3">
      <c r="A788" s="53"/>
      <c r="B788" s="54"/>
      <c r="G788" s="32"/>
      <c r="H788" s="32"/>
      <c r="I788" s="48"/>
    </row>
    <row r="789" spans="1:9" ht="15.75" customHeight="1" x14ac:dyDescent="0.3">
      <c r="A789" s="53"/>
      <c r="B789" s="54"/>
      <c r="G789" s="32"/>
      <c r="H789" s="32"/>
      <c r="I789" s="48"/>
    </row>
    <row r="790" spans="1:9" ht="15.75" customHeight="1" x14ac:dyDescent="0.3">
      <c r="A790" s="53"/>
      <c r="B790" s="54"/>
      <c r="G790" s="32"/>
      <c r="H790" s="32"/>
      <c r="I790" s="48"/>
    </row>
    <row r="791" spans="1:9" ht="15.75" customHeight="1" x14ac:dyDescent="0.3">
      <c r="A791" s="53"/>
      <c r="B791" s="54"/>
      <c r="G791" s="32"/>
      <c r="H791" s="32"/>
      <c r="I791" s="48"/>
    </row>
    <row r="792" spans="1:9" ht="15.75" customHeight="1" x14ac:dyDescent="0.3">
      <c r="A792" s="53"/>
      <c r="B792" s="54"/>
      <c r="G792" s="32"/>
      <c r="H792" s="32"/>
      <c r="I792" s="48"/>
    </row>
    <row r="793" spans="1:9" ht="15.75" customHeight="1" x14ac:dyDescent="0.3">
      <c r="A793" s="53"/>
      <c r="B793" s="54"/>
      <c r="G793" s="32"/>
      <c r="H793" s="32"/>
      <c r="I793" s="48"/>
    </row>
    <row r="794" spans="1:9" ht="15.75" customHeight="1" x14ac:dyDescent="0.3">
      <c r="A794" s="53"/>
      <c r="B794" s="54"/>
      <c r="G794" s="32"/>
      <c r="H794" s="32"/>
      <c r="I794" s="48"/>
    </row>
    <row r="795" spans="1:9" ht="15.75" customHeight="1" x14ac:dyDescent="0.3">
      <c r="A795" s="53"/>
      <c r="B795" s="54"/>
      <c r="G795" s="32"/>
      <c r="H795" s="32"/>
      <c r="I795" s="48"/>
    </row>
    <row r="796" spans="1:9" ht="15.75" customHeight="1" x14ac:dyDescent="0.3">
      <c r="A796" s="53"/>
      <c r="B796" s="54"/>
      <c r="G796" s="32"/>
      <c r="H796" s="32"/>
      <c r="I796" s="48"/>
    </row>
    <row r="797" spans="1:9" ht="15.75" customHeight="1" x14ac:dyDescent="0.3">
      <c r="A797" s="53"/>
      <c r="B797" s="54"/>
      <c r="G797" s="32"/>
      <c r="H797" s="32"/>
      <c r="I797" s="48"/>
    </row>
    <row r="798" spans="1:9" ht="15.75" customHeight="1" x14ac:dyDescent="0.3">
      <c r="A798" s="53"/>
      <c r="B798" s="54"/>
      <c r="G798" s="32"/>
      <c r="H798" s="32"/>
      <c r="I798" s="48"/>
    </row>
    <row r="799" spans="1:9" ht="15.75" customHeight="1" x14ac:dyDescent="0.3">
      <c r="A799" s="53"/>
      <c r="B799" s="54"/>
      <c r="G799" s="32"/>
      <c r="H799" s="32"/>
      <c r="I799" s="48"/>
    </row>
    <row r="800" spans="1:9" ht="15.75" customHeight="1" x14ac:dyDescent="0.3">
      <c r="A800" s="53"/>
      <c r="B800" s="54"/>
      <c r="G800" s="32"/>
      <c r="H800" s="32"/>
      <c r="I800" s="48"/>
    </row>
    <row r="801" spans="1:9" ht="15.75" customHeight="1" x14ac:dyDescent="0.3">
      <c r="A801" s="53"/>
      <c r="B801" s="54"/>
      <c r="G801" s="32"/>
      <c r="H801" s="32"/>
      <c r="I801" s="48"/>
    </row>
    <row r="802" spans="1:9" ht="15.75" customHeight="1" x14ac:dyDescent="0.3">
      <c r="A802" s="53"/>
      <c r="B802" s="54"/>
      <c r="G802" s="32"/>
      <c r="H802" s="32"/>
      <c r="I802" s="48"/>
    </row>
    <row r="803" spans="1:9" ht="15.75" customHeight="1" x14ac:dyDescent="0.3">
      <c r="A803" s="53"/>
      <c r="B803" s="54"/>
      <c r="G803" s="32"/>
      <c r="H803" s="32"/>
      <c r="I803" s="48"/>
    </row>
    <row r="804" spans="1:9" ht="15.75" customHeight="1" x14ac:dyDescent="0.3">
      <c r="A804" s="53"/>
      <c r="B804" s="54"/>
      <c r="G804" s="32"/>
      <c r="H804" s="32"/>
      <c r="I804" s="48"/>
    </row>
    <row r="805" spans="1:9" ht="15.75" customHeight="1" x14ac:dyDescent="0.3">
      <c r="A805" s="53"/>
      <c r="B805" s="54"/>
      <c r="G805" s="32"/>
      <c r="H805" s="32"/>
      <c r="I805" s="48"/>
    </row>
    <row r="806" spans="1:9" ht="15.75" customHeight="1" x14ac:dyDescent="0.3">
      <c r="A806" s="53"/>
      <c r="B806" s="54"/>
      <c r="G806" s="32"/>
      <c r="H806" s="32"/>
      <c r="I806" s="48"/>
    </row>
    <row r="807" spans="1:9" ht="15.75" customHeight="1" x14ac:dyDescent="0.3">
      <c r="A807" s="53"/>
      <c r="B807" s="54"/>
      <c r="G807" s="32"/>
      <c r="H807" s="32"/>
      <c r="I807" s="48"/>
    </row>
    <row r="808" spans="1:9" ht="15.75" customHeight="1" x14ac:dyDescent="0.3">
      <c r="A808" s="53"/>
      <c r="B808" s="54"/>
      <c r="G808" s="32"/>
      <c r="H808" s="32"/>
      <c r="I808" s="48"/>
    </row>
    <row r="809" spans="1:9" ht="15.75" customHeight="1" x14ac:dyDescent="0.3">
      <c r="A809" s="53"/>
      <c r="B809" s="54"/>
      <c r="G809" s="32"/>
      <c r="H809" s="32"/>
      <c r="I809" s="48"/>
    </row>
    <row r="810" spans="1:9" ht="15.75" customHeight="1" x14ac:dyDescent="0.3">
      <c r="A810" s="53"/>
      <c r="B810" s="54"/>
      <c r="G810" s="32"/>
      <c r="H810" s="32"/>
      <c r="I810" s="48"/>
    </row>
    <row r="811" spans="1:9" ht="15.75" customHeight="1" x14ac:dyDescent="0.3">
      <c r="A811" s="53"/>
      <c r="B811" s="54"/>
      <c r="G811" s="32"/>
      <c r="H811" s="32"/>
      <c r="I811" s="48"/>
    </row>
    <row r="812" spans="1:9" ht="15.75" customHeight="1" x14ac:dyDescent="0.3">
      <c r="A812" s="53"/>
      <c r="B812" s="54"/>
      <c r="G812" s="32"/>
      <c r="H812" s="32"/>
      <c r="I812" s="48"/>
    </row>
    <row r="813" spans="1:9" ht="15.75" customHeight="1" x14ac:dyDescent="0.3">
      <c r="A813" s="53"/>
      <c r="B813" s="54"/>
      <c r="G813" s="32"/>
      <c r="H813" s="32"/>
      <c r="I813" s="48"/>
    </row>
    <row r="814" spans="1:9" ht="15.75" customHeight="1" x14ac:dyDescent="0.3">
      <c r="A814" s="53"/>
      <c r="B814" s="54"/>
      <c r="G814" s="32"/>
      <c r="H814" s="32"/>
      <c r="I814" s="48"/>
    </row>
    <row r="815" spans="1:9" ht="15.75" customHeight="1" x14ac:dyDescent="0.3">
      <c r="A815" s="53"/>
      <c r="B815" s="54"/>
      <c r="G815" s="32"/>
      <c r="H815" s="32"/>
      <c r="I815" s="48"/>
    </row>
    <row r="816" spans="1:9" ht="15.75" customHeight="1" x14ac:dyDescent="0.3">
      <c r="A816" s="53"/>
      <c r="B816" s="54"/>
      <c r="G816" s="32"/>
      <c r="H816" s="32"/>
      <c r="I816" s="48"/>
    </row>
    <row r="817" spans="1:9" ht="15.75" customHeight="1" x14ac:dyDescent="0.3">
      <c r="A817" s="53"/>
      <c r="B817" s="54"/>
      <c r="G817" s="32"/>
      <c r="H817" s="32"/>
      <c r="I817" s="48"/>
    </row>
    <row r="818" spans="1:9" ht="15.75" customHeight="1" x14ac:dyDescent="0.3">
      <c r="A818" s="53"/>
      <c r="B818" s="54"/>
      <c r="G818" s="32"/>
      <c r="H818" s="32"/>
      <c r="I818" s="48"/>
    </row>
    <row r="819" spans="1:9" ht="15.75" customHeight="1" x14ac:dyDescent="0.3">
      <c r="A819" s="53"/>
      <c r="B819" s="54"/>
      <c r="G819" s="32"/>
      <c r="H819" s="32"/>
      <c r="I819" s="48"/>
    </row>
    <row r="820" spans="1:9" ht="15.75" customHeight="1" x14ac:dyDescent="0.3">
      <c r="A820" s="53"/>
      <c r="B820" s="54"/>
      <c r="G820" s="32"/>
      <c r="H820" s="32"/>
      <c r="I820" s="48"/>
    </row>
    <row r="821" spans="1:9" ht="15.75" customHeight="1" x14ac:dyDescent="0.3">
      <c r="A821" s="53"/>
      <c r="B821" s="54"/>
      <c r="G821" s="32"/>
      <c r="H821" s="32"/>
      <c r="I821" s="48"/>
    </row>
    <row r="822" spans="1:9" ht="15.75" customHeight="1" x14ac:dyDescent="0.3">
      <c r="A822" s="53"/>
      <c r="B822" s="54"/>
      <c r="G822" s="32"/>
      <c r="H822" s="32"/>
      <c r="I822" s="48"/>
    </row>
    <row r="823" spans="1:9" ht="15.75" customHeight="1" x14ac:dyDescent="0.3">
      <c r="A823" s="53"/>
      <c r="B823" s="54"/>
      <c r="G823" s="32"/>
      <c r="H823" s="32"/>
      <c r="I823" s="48"/>
    </row>
    <row r="824" spans="1:9" ht="15.75" customHeight="1" x14ac:dyDescent="0.3">
      <c r="A824" s="53"/>
      <c r="B824" s="54"/>
      <c r="G824" s="32"/>
      <c r="H824" s="32"/>
      <c r="I824" s="48"/>
    </row>
    <row r="825" spans="1:9" ht="15.75" customHeight="1" x14ac:dyDescent="0.3">
      <c r="A825" s="53"/>
      <c r="B825" s="54"/>
      <c r="G825" s="32"/>
      <c r="H825" s="32"/>
      <c r="I825" s="48"/>
    </row>
    <row r="826" spans="1:9" ht="15.75" customHeight="1" x14ac:dyDescent="0.3">
      <c r="A826" s="53"/>
      <c r="B826" s="54"/>
      <c r="G826" s="32"/>
      <c r="H826" s="32"/>
      <c r="I826" s="48"/>
    </row>
    <row r="827" spans="1:9" ht="15.75" customHeight="1" x14ac:dyDescent="0.3">
      <c r="A827" s="53"/>
      <c r="B827" s="54"/>
      <c r="G827" s="32"/>
      <c r="H827" s="32"/>
      <c r="I827" s="48"/>
    </row>
    <row r="828" spans="1:9" ht="15.75" customHeight="1" x14ac:dyDescent="0.3">
      <c r="A828" s="53"/>
      <c r="B828" s="54"/>
      <c r="G828" s="32"/>
      <c r="H828" s="32"/>
      <c r="I828" s="48"/>
    </row>
    <row r="829" spans="1:9" ht="15.75" customHeight="1" x14ac:dyDescent="0.3">
      <c r="A829" s="53"/>
      <c r="B829" s="54"/>
      <c r="G829" s="32"/>
      <c r="H829" s="32"/>
      <c r="I829" s="48"/>
    </row>
    <row r="830" spans="1:9" ht="15.75" customHeight="1" x14ac:dyDescent="0.3">
      <c r="A830" s="53"/>
      <c r="B830" s="54"/>
      <c r="G830" s="32"/>
      <c r="H830" s="32"/>
      <c r="I830" s="48"/>
    </row>
    <row r="831" spans="1:9" ht="15.75" customHeight="1" x14ac:dyDescent="0.3">
      <c r="A831" s="53"/>
      <c r="B831" s="54"/>
      <c r="G831" s="32"/>
      <c r="H831" s="32"/>
      <c r="I831" s="48"/>
    </row>
    <row r="832" spans="1:9" ht="15.75" customHeight="1" x14ac:dyDescent="0.3">
      <c r="A832" s="53"/>
      <c r="B832" s="54"/>
      <c r="G832" s="32"/>
      <c r="H832" s="32"/>
      <c r="I832" s="48"/>
    </row>
    <row r="833" spans="1:9" ht="15.75" customHeight="1" x14ac:dyDescent="0.3">
      <c r="A833" s="53"/>
      <c r="B833" s="54"/>
      <c r="G833" s="32"/>
      <c r="H833" s="32"/>
      <c r="I833" s="48"/>
    </row>
    <row r="834" spans="1:9" ht="15.75" customHeight="1" x14ac:dyDescent="0.3">
      <c r="A834" s="53"/>
      <c r="B834" s="54"/>
      <c r="G834" s="32"/>
      <c r="H834" s="32"/>
      <c r="I834" s="48"/>
    </row>
    <row r="835" spans="1:9" ht="15.75" customHeight="1" x14ac:dyDescent="0.3">
      <c r="A835" s="53"/>
      <c r="B835" s="54"/>
      <c r="G835" s="32"/>
      <c r="H835" s="32"/>
      <c r="I835" s="48"/>
    </row>
    <row r="836" spans="1:9" ht="15.75" customHeight="1" x14ac:dyDescent="0.3">
      <c r="A836" s="53"/>
      <c r="B836" s="54"/>
      <c r="G836" s="32"/>
      <c r="H836" s="32"/>
      <c r="I836" s="48"/>
    </row>
    <row r="837" spans="1:9" ht="15.75" customHeight="1" x14ac:dyDescent="0.3">
      <c r="A837" s="53"/>
      <c r="B837" s="54"/>
      <c r="G837" s="32"/>
      <c r="H837" s="32"/>
      <c r="I837" s="48"/>
    </row>
    <row r="838" spans="1:9" ht="15.75" customHeight="1" x14ac:dyDescent="0.3">
      <c r="A838" s="53"/>
      <c r="B838" s="54"/>
      <c r="G838" s="32"/>
      <c r="H838" s="32"/>
      <c r="I838" s="48"/>
    </row>
    <row r="839" spans="1:9" ht="15.75" customHeight="1" x14ac:dyDescent="0.3">
      <c r="A839" s="53"/>
      <c r="B839" s="54"/>
      <c r="G839" s="32"/>
      <c r="H839" s="32"/>
      <c r="I839" s="48"/>
    </row>
    <row r="840" spans="1:9" ht="15.75" customHeight="1" x14ac:dyDescent="0.3">
      <c r="A840" s="53"/>
      <c r="B840" s="54"/>
      <c r="G840" s="32"/>
      <c r="H840" s="32"/>
      <c r="I840" s="48"/>
    </row>
    <row r="841" spans="1:9" ht="15.75" customHeight="1" x14ac:dyDescent="0.3">
      <c r="A841" s="53"/>
      <c r="B841" s="54"/>
      <c r="G841" s="32"/>
      <c r="H841" s="32"/>
      <c r="I841" s="48"/>
    </row>
    <row r="842" spans="1:9" ht="15.75" customHeight="1" x14ac:dyDescent="0.3">
      <c r="A842" s="53"/>
      <c r="B842" s="54"/>
      <c r="G842" s="32"/>
      <c r="H842" s="32"/>
      <c r="I842" s="48"/>
    </row>
    <row r="843" spans="1:9" ht="15.75" customHeight="1" x14ac:dyDescent="0.3">
      <c r="A843" s="53"/>
      <c r="B843" s="54"/>
      <c r="G843" s="32"/>
      <c r="H843" s="32"/>
      <c r="I843" s="48"/>
    </row>
    <row r="844" spans="1:9" ht="15.75" customHeight="1" x14ac:dyDescent="0.3">
      <c r="A844" s="53"/>
      <c r="B844" s="54"/>
      <c r="G844" s="32"/>
      <c r="H844" s="32"/>
      <c r="I844" s="48"/>
    </row>
    <row r="845" spans="1:9" ht="15.75" customHeight="1" x14ac:dyDescent="0.3">
      <c r="A845" s="53"/>
      <c r="B845" s="54"/>
      <c r="G845" s="32"/>
      <c r="H845" s="32"/>
      <c r="I845" s="48"/>
    </row>
    <row r="846" spans="1:9" ht="15.75" customHeight="1" x14ac:dyDescent="0.3">
      <c r="A846" s="53"/>
      <c r="B846" s="54"/>
      <c r="G846" s="32"/>
      <c r="H846" s="32"/>
      <c r="I846" s="48"/>
    </row>
    <row r="847" spans="1:9" ht="15.75" customHeight="1" x14ac:dyDescent="0.3">
      <c r="A847" s="53"/>
      <c r="B847" s="54"/>
      <c r="G847" s="32"/>
      <c r="H847" s="32"/>
      <c r="I847" s="48"/>
    </row>
    <row r="848" spans="1:9" ht="15.75" customHeight="1" x14ac:dyDescent="0.3">
      <c r="A848" s="53"/>
      <c r="B848" s="54"/>
      <c r="G848" s="32"/>
      <c r="H848" s="32"/>
      <c r="I848" s="48"/>
    </row>
    <row r="849" spans="1:9" ht="15.75" customHeight="1" x14ac:dyDescent="0.3">
      <c r="A849" s="53"/>
      <c r="B849" s="54"/>
      <c r="G849" s="32"/>
      <c r="H849" s="32"/>
      <c r="I849" s="48"/>
    </row>
    <row r="850" spans="1:9" ht="15.75" customHeight="1" x14ac:dyDescent="0.3">
      <c r="A850" s="53"/>
      <c r="B850" s="54"/>
      <c r="G850" s="32"/>
      <c r="H850" s="32"/>
      <c r="I850" s="48"/>
    </row>
    <row r="851" spans="1:9" ht="15.75" customHeight="1" x14ac:dyDescent="0.3">
      <c r="A851" s="53"/>
      <c r="B851" s="54"/>
      <c r="G851" s="32"/>
      <c r="H851" s="32"/>
      <c r="I851" s="48"/>
    </row>
    <row r="852" spans="1:9" ht="15.75" customHeight="1" x14ac:dyDescent="0.3">
      <c r="A852" s="53"/>
      <c r="B852" s="54"/>
      <c r="G852" s="32"/>
      <c r="H852" s="32"/>
      <c r="I852" s="48"/>
    </row>
    <row r="853" spans="1:9" ht="15.75" customHeight="1" x14ac:dyDescent="0.3">
      <c r="A853" s="53"/>
      <c r="B853" s="54"/>
      <c r="G853" s="32"/>
      <c r="H853" s="32"/>
      <c r="I853" s="48"/>
    </row>
    <row r="854" spans="1:9" ht="15.75" customHeight="1" x14ac:dyDescent="0.3">
      <c r="A854" s="53"/>
      <c r="B854" s="54"/>
      <c r="G854" s="32"/>
      <c r="H854" s="32"/>
      <c r="I854" s="48"/>
    </row>
    <row r="855" spans="1:9" ht="15.75" customHeight="1" x14ac:dyDescent="0.3">
      <c r="A855" s="53"/>
      <c r="B855" s="54"/>
      <c r="G855" s="32"/>
      <c r="H855" s="32"/>
      <c r="I855" s="48"/>
    </row>
    <row r="856" spans="1:9" ht="15.75" customHeight="1" x14ac:dyDescent="0.3">
      <c r="A856" s="53"/>
      <c r="B856" s="54"/>
      <c r="G856" s="32"/>
      <c r="H856" s="32"/>
      <c r="I856" s="48"/>
    </row>
    <row r="857" spans="1:9" ht="15.75" customHeight="1" x14ac:dyDescent="0.3">
      <c r="A857" s="53"/>
      <c r="B857" s="54"/>
      <c r="G857" s="32"/>
      <c r="H857" s="32"/>
      <c r="I857" s="48"/>
    </row>
    <row r="858" spans="1:9" ht="15.75" customHeight="1" x14ac:dyDescent="0.3">
      <c r="A858" s="53"/>
      <c r="B858" s="54"/>
      <c r="G858" s="32"/>
      <c r="H858" s="32"/>
      <c r="I858" s="48"/>
    </row>
    <row r="859" spans="1:9" ht="15.75" customHeight="1" x14ac:dyDescent="0.3">
      <c r="A859" s="53"/>
      <c r="B859" s="54"/>
      <c r="G859" s="32"/>
      <c r="H859" s="32"/>
      <c r="I859" s="48"/>
    </row>
    <row r="860" spans="1:9" ht="15.75" customHeight="1" x14ac:dyDescent="0.3">
      <c r="A860" s="53"/>
      <c r="B860" s="54"/>
      <c r="G860" s="32"/>
      <c r="H860" s="32"/>
      <c r="I860" s="48"/>
    </row>
    <row r="861" spans="1:9" ht="15.75" customHeight="1" x14ac:dyDescent="0.3">
      <c r="A861" s="53"/>
      <c r="B861" s="54"/>
      <c r="G861" s="32"/>
      <c r="H861" s="32"/>
      <c r="I861" s="48"/>
    </row>
    <row r="862" spans="1:9" ht="15.75" customHeight="1" x14ac:dyDescent="0.3">
      <c r="A862" s="53"/>
      <c r="B862" s="54"/>
      <c r="G862" s="32"/>
      <c r="H862" s="32"/>
      <c r="I862" s="48"/>
    </row>
    <row r="863" spans="1:9" ht="15.75" customHeight="1" x14ac:dyDescent="0.3">
      <c r="A863" s="53"/>
      <c r="B863" s="54"/>
      <c r="G863" s="32"/>
      <c r="H863" s="32"/>
      <c r="I863" s="48"/>
    </row>
    <row r="864" spans="1:9" ht="15.75" customHeight="1" x14ac:dyDescent="0.3">
      <c r="A864" s="53"/>
      <c r="B864" s="54"/>
      <c r="G864" s="32"/>
      <c r="H864" s="32"/>
      <c r="I864" s="48"/>
    </row>
    <row r="865" spans="1:9" ht="15.75" customHeight="1" x14ac:dyDescent="0.3">
      <c r="A865" s="53"/>
      <c r="B865" s="54"/>
      <c r="G865" s="32"/>
      <c r="H865" s="32"/>
      <c r="I865" s="48"/>
    </row>
    <row r="866" spans="1:9" ht="15.75" customHeight="1" x14ac:dyDescent="0.3">
      <c r="A866" s="53"/>
      <c r="B866" s="54"/>
      <c r="G866" s="32"/>
      <c r="H866" s="32"/>
      <c r="I866" s="48"/>
    </row>
    <row r="867" spans="1:9" ht="15.75" customHeight="1" x14ac:dyDescent="0.3">
      <c r="A867" s="53"/>
      <c r="B867" s="54"/>
      <c r="G867" s="32"/>
      <c r="H867" s="32"/>
      <c r="I867" s="48"/>
    </row>
    <row r="868" spans="1:9" ht="15.75" customHeight="1" x14ac:dyDescent="0.3">
      <c r="A868" s="53"/>
      <c r="B868" s="54"/>
      <c r="G868" s="32"/>
      <c r="H868" s="32"/>
      <c r="I868" s="48"/>
    </row>
    <row r="869" spans="1:9" ht="15.75" customHeight="1" x14ac:dyDescent="0.3">
      <c r="A869" s="53"/>
      <c r="B869" s="54"/>
      <c r="G869" s="32"/>
      <c r="H869" s="32"/>
      <c r="I869" s="48"/>
    </row>
    <row r="870" spans="1:9" ht="15.75" customHeight="1" x14ac:dyDescent="0.3">
      <c r="A870" s="53"/>
      <c r="B870" s="54"/>
      <c r="G870" s="32"/>
      <c r="H870" s="32"/>
      <c r="I870" s="48"/>
    </row>
    <row r="871" spans="1:9" ht="15.75" customHeight="1" x14ac:dyDescent="0.3">
      <c r="A871" s="53"/>
      <c r="B871" s="54"/>
      <c r="G871" s="32"/>
      <c r="H871" s="32"/>
      <c r="I871" s="48"/>
    </row>
    <row r="872" spans="1:9" ht="15.75" customHeight="1" x14ac:dyDescent="0.3">
      <c r="A872" s="53"/>
      <c r="B872" s="54"/>
      <c r="G872" s="32"/>
      <c r="H872" s="32"/>
      <c r="I872" s="48"/>
    </row>
    <row r="873" spans="1:9" ht="15.75" customHeight="1" x14ac:dyDescent="0.3">
      <c r="A873" s="53"/>
      <c r="B873" s="54"/>
      <c r="G873" s="32"/>
      <c r="H873" s="32"/>
      <c r="I873" s="48"/>
    </row>
    <row r="874" spans="1:9" ht="15.75" customHeight="1" x14ac:dyDescent="0.3">
      <c r="A874" s="53"/>
      <c r="B874" s="54"/>
      <c r="G874" s="32"/>
      <c r="H874" s="32"/>
      <c r="I874" s="48"/>
    </row>
    <row r="875" spans="1:9" ht="15.75" customHeight="1" x14ac:dyDescent="0.3">
      <c r="A875" s="53"/>
      <c r="B875" s="54"/>
      <c r="G875" s="32"/>
      <c r="H875" s="32"/>
      <c r="I875" s="48"/>
    </row>
    <row r="876" spans="1:9" ht="15.75" customHeight="1" x14ac:dyDescent="0.3">
      <c r="A876" s="53"/>
      <c r="B876" s="54"/>
      <c r="G876" s="32"/>
      <c r="H876" s="32"/>
      <c r="I876" s="48"/>
    </row>
    <row r="877" spans="1:9" ht="15.75" customHeight="1" x14ac:dyDescent="0.3">
      <c r="A877" s="53"/>
      <c r="B877" s="54"/>
      <c r="G877" s="32"/>
      <c r="H877" s="32"/>
      <c r="I877" s="48"/>
    </row>
    <row r="878" spans="1:9" ht="15.75" customHeight="1" x14ac:dyDescent="0.3">
      <c r="A878" s="53"/>
      <c r="B878" s="54"/>
      <c r="G878" s="32"/>
      <c r="H878" s="32"/>
      <c r="I878" s="48"/>
    </row>
    <row r="879" spans="1:9" ht="15.75" customHeight="1" x14ac:dyDescent="0.3">
      <c r="A879" s="53"/>
      <c r="B879" s="54"/>
      <c r="G879" s="32"/>
      <c r="H879" s="32"/>
      <c r="I879" s="48"/>
    </row>
    <row r="880" spans="1:9" ht="15.75" customHeight="1" x14ac:dyDescent="0.3">
      <c r="A880" s="53"/>
      <c r="B880" s="54"/>
      <c r="G880" s="32"/>
      <c r="H880" s="32"/>
      <c r="I880" s="48"/>
    </row>
    <row r="881" spans="1:9" ht="15.75" customHeight="1" x14ac:dyDescent="0.3">
      <c r="A881" s="53"/>
      <c r="B881" s="54"/>
      <c r="G881" s="32"/>
      <c r="H881" s="32"/>
      <c r="I881" s="48"/>
    </row>
    <row r="882" spans="1:9" ht="15.75" customHeight="1" x14ac:dyDescent="0.3">
      <c r="A882" s="53"/>
      <c r="B882" s="54"/>
      <c r="G882" s="32"/>
      <c r="H882" s="32"/>
      <c r="I882" s="48"/>
    </row>
    <row r="883" spans="1:9" ht="15.75" customHeight="1" x14ac:dyDescent="0.3">
      <c r="A883" s="53"/>
      <c r="B883" s="54"/>
      <c r="G883" s="32"/>
      <c r="H883" s="32"/>
      <c r="I883" s="48"/>
    </row>
    <row r="884" spans="1:9" ht="15.75" customHeight="1" x14ac:dyDescent="0.3">
      <c r="A884" s="53"/>
      <c r="B884" s="54"/>
      <c r="G884" s="32"/>
      <c r="H884" s="32"/>
      <c r="I884" s="48"/>
    </row>
    <row r="885" spans="1:9" ht="15.75" customHeight="1" x14ac:dyDescent="0.3">
      <c r="A885" s="53"/>
      <c r="B885" s="54"/>
      <c r="G885" s="32"/>
      <c r="H885" s="32"/>
      <c r="I885" s="48"/>
    </row>
    <row r="886" spans="1:9" ht="15.75" customHeight="1" x14ac:dyDescent="0.3">
      <c r="A886" s="53"/>
      <c r="B886" s="54"/>
      <c r="G886" s="32"/>
      <c r="H886" s="32"/>
      <c r="I886" s="48"/>
    </row>
    <row r="887" spans="1:9" ht="15.75" customHeight="1" x14ac:dyDescent="0.3">
      <c r="A887" s="53"/>
      <c r="B887" s="54"/>
      <c r="G887" s="32"/>
      <c r="H887" s="32"/>
      <c r="I887" s="48"/>
    </row>
    <row r="888" spans="1:9" ht="15.75" customHeight="1" x14ac:dyDescent="0.3">
      <c r="A888" s="53"/>
      <c r="B888" s="54"/>
      <c r="G888" s="32"/>
      <c r="H888" s="32"/>
      <c r="I888" s="48"/>
    </row>
    <row r="889" spans="1:9" ht="15.75" customHeight="1" x14ac:dyDescent="0.3">
      <c r="A889" s="53"/>
      <c r="B889" s="54"/>
      <c r="G889" s="32"/>
      <c r="H889" s="32"/>
      <c r="I889" s="48"/>
    </row>
    <row r="890" spans="1:9" ht="15.75" customHeight="1" x14ac:dyDescent="0.3">
      <c r="A890" s="53"/>
      <c r="B890" s="54"/>
      <c r="G890" s="32"/>
      <c r="H890" s="32"/>
      <c r="I890" s="48"/>
    </row>
    <row r="891" spans="1:9" ht="15.75" customHeight="1" x14ac:dyDescent="0.3">
      <c r="A891" s="53"/>
      <c r="B891" s="54"/>
      <c r="G891" s="32"/>
      <c r="H891" s="32"/>
      <c r="I891" s="48"/>
    </row>
    <row r="892" spans="1:9" ht="15.75" customHeight="1" x14ac:dyDescent="0.3">
      <c r="A892" s="53"/>
      <c r="B892" s="54"/>
      <c r="G892" s="32"/>
      <c r="H892" s="32"/>
      <c r="I892" s="48"/>
    </row>
    <row r="893" spans="1:9" ht="15.75" customHeight="1" x14ac:dyDescent="0.3">
      <c r="A893" s="53"/>
      <c r="B893" s="54"/>
      <c r="G893" s="32"/>
      <c r="H893" s="32"/>
      <c r="I893" s="48"/>
    </row>
    <row r="894" spans="1:9" ht="15.75" customHeight="1" x14ac:dyDescent="0.3">
      <c r="A894" s="53"/>
      <c r="B894" s="54"/>
      <c r="G894" s="32"/>
      <c r="H894" s="32"/>
      <c r="I894" s="48"/>
    </row>
    <row r="895" spans="1:9" ht="15.75" customHeight="1" x14ac:dyDescent="0.3">
      <c r="A895" s="53"/>
      <c r="B895" s="54"/>
      <c r="G895" s="32"/>
      <c r="H895" s="32"/>
      <c r="I895" s="48"/>
    </row>
    <row r="896" spans="1:9" ht="15.75" customHeight="1" x14ac:dyDescent="0.3">
      <c r="A896" s="53"/>
      <c r="B896" s="54"/>
      <c r="G896" s="32"/>
      <c r="H896" s="32"/>
      <c r="I896" s="48"/>
    </row>
    <row r="897" spans="1:9" ht="15.75" customHeight="1" x14ac:dyDescent="0.3">
      <c r="A897" s="53"/>
      <c r="B897" s="54"/>
      <c r="G897" s="32"/>
      <c r="H897" s="32"/>
      <c r="I897" s="48"/>
    </row>
    <row r="898" spans="1:9" ht="15.75" customHeight="1" x14ac:dyDescent="0.3">
      <c r="A898" s="53"/>
      <c r="B898" s="54"/>
      <c r="G898" s="32"/>
      <c r="H898" s="32"/>
      <c r="I898" s="48"/>
    </row>
    <row r="899" spans="1:9" ht="15.75" customHeight="1" x14ac:dyDescent="0.3">
      <c r="A899" s="53"/>
      <c r="B899" s="54"/>
      <c r="G899" s="32"/>
      <c r="H899" s="32"/>
      <c r="I899" s="48"/>
    </row>
    <row r="900" spans="1:9" ht="15.75" customHeight="1" x14ac:dyDescent="0.3">
      <c r="A900" s="53"/>
      <c r="B900" s="54"/>
      <c r="G900" s="32"/>
      <c r="H900" s="32"/>
      <c r="I900" s="48"/>
    </row>
    <row r="901" spans="1:9" ht="15.75" customHeight="1" x14ac:dyDescent="0.3">
      <c r="A901" s="53"/>
      <c r="B901" s="54"/>
      <c r="G901" s="32"/>
      <c r="H901" s="32"/>
      <c r="I901" s="48"/>
    </row>
    <row r="902" spans="1:9" ht="15.75" customHeight="1" x14ac:dyDescent="0.3">
      <c r="A902" s="53"/>
      <c r="B902" s="54"/>
      <c r="G902" s="32"/>
      <c r="H902" s="32"/>
      <c r="I902" s="48"/>
    </row>
    <row r="903" spans="1:9" ht="15.75" customHeight="1" x14ac:dyDescent="0.3">
      <c r="A903" s="53"/>
      <c r="B903" s="54"/>
      <c r="G903" s="32"/>
      <c r="H903" s="32"/>
      <c r="I903" s="48"/>
    </row>
    <row r="904" spans="1:9" ht="15.75" customHeight="1" x14ac:dyDescent="0.3">
      <c r="A904" s="53"/>
      <c r="B904" s="54"/>
      <c r="G904" s="32"/>
      <c r="H904" s="32"/>
      <c r="I904" s="48"/>
    </row>
    <row r="905" spans="1:9" ht="15.75" customHeight="1" x14ac:dyDescent="0.3">
      <c r="A905" s="53"/>
      <c r="B905" s="54"/>
      <c r="G905" s="32"/>
      <c r="H905" s="32"/>
      <c r="I905" s="48"/>
    </row>
    <row r="906" spans="1:9" ht="15.75" customHeight="1" x14ac:dyDescent="0.3">
      <c r="A906" s="53"/>
      <c r="B906" s="54"/>
      <c r="G906" s="32"/>
      <c r="H906" s="32"/>
      <c r="I906" s="48"/>
    </row>
    <row r="907" spans="1:9" ht="15.75" customHeight="1" x14ac:dyDescent="0.3">
      <c r="A907" s="53"/>
      <c r="B907" s="54"/>
      <c r="G907" s="32"/>
      <c r="H907" s="32"/>
      <c r="I907" s="48"/>
    </row>
    <row r="908" spans="1:9" ht="15.75" customHeight="1" x14ac:dyDescent="0.3">
      <c r="A908" s="53"/>
      <c r="B908" s="54"/>
      <c r="G908" s="32"/>
      <c r="H908" s="32"/>
      <c r="I908" s="48"/>
    </row>
    <row r="909" spans="1:9" ht="15.75" customHeight="1" x14ac:dyDescent="0.3">
      <c r="A909" s="53"/>
      <c r="B909" s="54"/>
      <c r="G909" s="32"/>
      <c r="H909" s="32"/>
      <c r="I909" s="48"/>
    </row>
    <row r="910" spans="1:9" ht="15.75" customHeight="1" x14ac:dyDescent="0.3">
      <c r="A910" s="53"/>
      <c r="B910" s="54"/>
      <c r="G910" s="32"/>
      <c r="H910" s="32"/>
      <c r="I910" s="48"/>
    </row>
    <row r="911" spans="1:9" ht="15.75" customHeight="1" x14ac:dyDescent="0.3">
      <c r="A911" s="53"/>
      <c r="B911" s="54"/>
      <c r="G911" s="32"/>
      <c r="H911" s="32"/>
      <c r="I911" s="48"/>
    </row>
    <row r="912" spans="1:9" ht="15.75" customHeight="1" x14ac:dyDescent="0.3">
      <c r="A912" s="53"/>
      <c r="B912" s="54"/>
      <c r="G912" s="32"/>
      <c r="H912" s="32"/>
      <c r="I912" s="48"/>
    </row>
    <row r="913" spans="1:9" ht="15.75" customHeight="1" x14ac:dyDescent="0.3">
      <c r="A913" s="53"/>
      <c r="B913" s="54"/>
      <c r="G913" s="32"/>
      <c r="H913" s="32"/>
      <c r="I913" s="48"/>
    </row>
    <row r="914" spans="1:9" ht="15.75" customHeight="1" x14ac:dyDescent="0.3">
      <c r="A914" s="53"/>
      <c r="B914" s="54"/>
      <c r="G914" s="32"/>
      <c r="H914" s="32"/>
      <c r="I914" s="48"/>
    </row>
    <row r="915" spans="1:9" ht="15.75" customHeight="1" x14ac:dyDescent="0.3">
      <c r="A915" s="53"/>
      <c r="B915" s="54"/>
      <c r="G915" s="32"/>
      <c r="H915" s="32"/>
      <c r="I915" s="48"/>
    </row>
    <row r="916" spans="1:9" ht="15.75" customHeight="1" x14ac:dyDescent="0.3">
      <c r="A916" s="53"/>
      <c r="B916" s="54"/>
      <c r="G916" s="32"/>
      <c r="H916" s="32"/>
      <c r="I916" s="48"/>
    </row>
    <row r="917" spans="1:9" ht="15.75" customHeight="1" x14ac:dyDescent="0.3">
      <c r="A917" s="53"/>
      <c r="B917" s="54"/>
      <c r="G917" s="32"/>
      <c r="H917" s="32"/>
      <c r="I917" s="48"/>
    </row>
    <row r="918" spans="1:9" ht="15.75" customHeight="1" x14ac:dyDescent="0.3">
      <c r="A918" s="53"/>
      <c r="B918" s="54"/>
      <c r="G918" s="32"/>
      <c r="H918" s="32"/>
      <c r="I918" s="48"/>
    </row>
    <row r="919" spans="1:9" ht="15.75" customHeight="1" x14ac:dyDescent="0.3">
      <c r="A919" s="53"/>
      <c r="B919" s="54"/>
      <c r="G919" s="32"/>
      <c r="H919" s="32"/>
      <c r="I919" s="48"/>
    </row>
    <row r="920" spans="1:9" ht="15.75" customHeight="1" x14ac:dyDescent="0.3">
      <c r="A920" s="53"/>
      <c r="B920" s="54"/>
      <c r="G920" s="32"/>
      <c r="H920" s="32"/>
      <c r="I920" s="48"/>
    </row>
    <row r="921" spans="1:9" ht="15.75" customHeight="1" x14ac:dyDescent="0.3">
      <c r="A921" s="53"/>
      <c r="B921" s="54"/>
      <c r="G921" s="32"/>
      <c r="H921" s="32"/>
      <c r="I921" s="48"/>
    </row>
    <row r="922" spans="1:9" ht="15.75" customHeight="1" x14ac:dyDescent="0.3">
      <c r="A922" s="53"/>
      <c r="B922" s="54"/>
      <c r="G922" s="32"/>
      <c r="H922" s="32"/>
      <c r="I922" s="48"/>
    </row>
    <row r="923" spans="1:9" ht="15.75" customHeight="1" x14ac:dyDescent="0.3">
      <c r="A923" s="53"/>
      <c r="B923" s="54"/>
      <c r="G923" s="32"/>
      <c r="H923" s="32"/>
      <c r="I923" s="48"/>
    </row>
    <row r="924" spans="1:9" ht="15.75" customHeight="1" x14ac:dyDescent="0.3">
      <c r="A924" s="53"/>
      <c r="B924" s="54"/>
      <c r="G924" s="32"/>
      <c r="H924" s="32"/>
      <c r="I924" s="48"/>
    </row>
    <row r="925" spans="1:9" ht="15.75" customHeight="1" x14ac:dyDescent="0.3">
      <c r="A925" s="53"/>
      <c r="B925" s="54"/>
      <c r="G925" s="32"/>
      <c r="H925" s="32"/>
      <c r="I925" s="48"/>
    </row>
    <row r="926" spans="1:9" ht="15.75" customHeight="1" x14ac:dyDescent="0.3">
      <c r="A926" s="53"/>
      <c r="B926" s="54"/>
      <c r="G926" s="32"/>
      <c r="H926" s="32"/>
      <c r="I926" s="48"/>
    </row>
    <row r="927" spans="1:9" ht="15.75" customHeight="1" x14ac:dyDescent="0.3">
      <c r="A927" s="53"/>
      <c r="B927" s="54"/>
      <c r="G927" s="32"/>
      <c r="H927" s="32"/>
      <c r="I927" s="48"/>
    </row>
    <row r="928" spans="1:9" ht="15.75" customHeight="1" x14ac:dyDescent="0.3">
      <c r="A928" s="53"/>
      <c r="B928" s="54"/>
      <c r="G928" s="32"/>
      <c r="H928" s="32"/>
      <c r="I928" s="48"/>
    </row>
    <row r="929" spans="1:9" ht="15.75" customHeight="1" x14ac:dyDescent="0.3">
      <c r="A929" s="53"/>
      <c r="B929" s="54"/>
      <c r="G929" s="32"/>
      <c r="H929" s="32"/>
      <c r="I929" s="48"/>
    </row>
    <row r="930" spans="1:9" ht="15.75" customHeight="1" x14ac:dyDescent="0.3">
      <c r="A930" s="53"/>
      <c r="B930" s="54"/>
      <c r="G930" s="32"/>
      <c r="H930" s="32"/>
      <c r="I930" s="48"/>
    </row>
    <row r="931" spans="1:9" ht="15.75" customHeight="1" x14ac:dyDescent="0.3">
      <c r="A931" s="53"/>
      <c r="B931" s="54"/>
      <c r="G931" s="32"/>
      <c r="H931" s="32"/>
      <c r="I931" s="48"/>
    </row>
    <row r="932" spans="1:9" ht="15.75" customHeight="1" x14ac:dyDescent="0.3">
      <c r="A932" s="53"/>
      <c r="B932" s="54"/>
      <c r="G932" s="32"/>
      <c r="H932" s="32"/>
      <c r="I932" s="48"/>
    </row>
    <row r="933" spans="1:9" ht="15.75" customHeight="1" x14ac:dyDescent="0.3">
      <c r="A933" s="53"/>
      <c r="B933" s="54"/>
      <c r="G933" s="32"/>
      <c r="H933" s="32"/>
      <c r="I933" s="48"/>
    </row>
    <row r="934" spans="1:9" ht="15.75" customHeight="1" x14ac:dyDescent="0.3">
      <c r="A934" s="53"/>
      <c r="B934" s="54"/>
      <c r="G934" s="32"/>
      <c r="H934" s="32"/>
      <c r="I934" s="48"/>
    </row>
    <row r="935" spans="1:9" ht="15.75" customHeight="1" x14ac:dyDescent="0.3">
      <c r="A935" s="53"/>
      <c r="B935" s="54"/>
      <c r="G935" s="32"/>
      <c r="H935" s="32"/>
      <c r="I935" s="48"/>
    </row>
    <row r="936" spans="1:9" ht="15.75" customHeight="1" x14ac:dyDescent="0.3">
      <c r="A936" s="53"/>
      <c r="B936" s="54"/>
      <c r="G936" s="32"/>
      <c r="H936" s="32"/>
      <c r="I936" s="48"/>
    </row>
    <row r="937" spans="1:9" ht="15.75" customHeight="1" x14ac:dyDescent="0.3">
      <c r="A937" s="53"/>
      <c r="B937" s="54"/>
      <c r="G937" s="32"/>
      <c r="H937" s="32"/>
      <c r="I937" s="48"/>
    </row>
    <row r="938" spans="1:9" ht="15.75" customHeight="1" x14ac:dyDescent="0.3">
      <c r="A938" s="53"/>
      <c r="B938" s="54"/>
      <c r="G938" s="32"/>
      <c r="H938" s="32"/>
      <c r="I938" s="48"/>
    </row>
    <row r="939" spans="1:9" ht="15.75" customHeight="1" x14ac:dyDescent="0.3">
      <c r="A939" s="53"/>
      <c r="B939" s="54"/>
      <c r="G939" s="32"/>
      <c r="H939" s="32"/>
      <c r="I939" s="48"/>
    </row>
    <row r="940" spans="1:9" ht="15.75" customHeight="1" x14ac:dyDescent="0.3">
      <c r="A940" s="53"/>
      <c r="B940" s="54"/>
      <c r="G940" s="32"/>
      <c r="H940" s="32"/>
      <c r="I940" s="48"/>
    </row>
    <row r="941" spans="1:9" ht="15.75" customHeight="1" x14ac:dyDescent="0.3">
      <c r="A941" s="53"/>
      <c r="B941" s="54"/>
      <c r="G941" s="32"/>
      <c r="H941" s="32"/>
      <c r="I941" s="48"/>
    </row>
    <row r="942" spans="1:9" ht="15.75" customHeight="1" x14ac:dyDescent="0.3">
      <c r="A942" s="53"/>
      <c r="B942" s="54"/>
      <c r="G942" s="32"/>
      <c r="H942" s="32"/>
      <c r="I942" s="48"/>
    </row>
    <row r="943" spans="1:9" ht="15.75" customHeight="1" x14ac:dyDescent="0.3">
      <c r="A943" s="53"/>
      <c r="B943" s="54"/>
      <c r="G943" s="32"/>
      <c r="H943" s="32"/>
      <c r="I943" s="48"/>
    </row>
    <row r="944" spans="1:9" ht="15.75" customHeight="1" x14ac:dyDescent="0.3">
      <c r="A944" s="53"/>
      <c r="B944" s="54"/>
      <c r="G944" s="32"/>
      <c r="H944" s="32"/>
      <c r="I944" s="48"/>
    </row>
    <row r="945" spans="1:9" ht="15.75" customHeight="1" x14ac:dyDescent="0.3">
      <c r="A945" s="53"/>
      <c r="B945" s="54"/>
      <c r="G945" s="32"/>
      <c r="H945" s="32"/>
      <c r="I945" s="48"/>
    </row>
    <row r="946" spans="1:9" ht="15.75" customHeight="1" x14ac:dyDescent="0.3">
      <c r="A946" s="53"/>
      <c r="B946" s="54"/>
      <c r="G946" s="32"/>
      <c r="H946" s="32"/>
      <c r="I946" s="48"/>
    </row>
    <row r="947" spans="1:9" ht="15.75" customHeight="1" x14ac:dyDescent="0.3">
      <c r="A947" s="53"/>
      <c r="B947" s="54"/>
      <c r="G947" s="32"/>
      <c r="H947" s="32"/>
      <c r="I947" s="48"/>
    </row>
    <row r="948" spans="1:9" ht="15.75" customHeight="1" x14ac:dyDescent="0.3">
      <c r="A948" s="53"/>
      <c r="B948" s="54"/>
      <c r="G948" s="32"/>
      <c r="H948" s="32"/>
      <c r="I948" s="48"/>
    </row>
    <row r="949" spans="1:9" ht="15.75" customHeight="1" x14ac:dyDescent="0.3">
      <c r="A949" s="53"/>
      <c r="B949" s="54"/>
      <c r="G949" s="32"/>
      <c r="H949" s="32"/>
      <c r="I949" s="48"/>
    </row>
    <row r="950" spans="1:9" ht="15.75" customHeight="1" x14ac:dyDescent="0.3">
      <c r="A950" s="53"/>
      <c r="B950" s="54"/>
      <c r="G950" s="32"/>
      <c r="H950" s="32"/>
      <c r="I950" s="48"/>
    </row>
    <row r="951" spans="1:9" ht="15.75" customHeight="1" x14ac:dyDescent="0.3">
      <c r="A951" s="53"/>
      <c r="B951" s="54"/>
      <c r="G951" s="32"/>
      <c r="H951" s="32"/>
      <c r="I951" s="48"/>
    </row>
    <row r="952" spans="1:9" ht="15.75" customHeight="1" x14ac:dyDescent="0.3">
      <c r="A952" s="53"/>
      <c r="B952" s="54"/>
      <c r="G952" s="32"/>
      <c r="H952" s="32"/>
      <c r="I952" s="48"/>
    </row>
    <row r="953" spans="1:9" ht="15.75" customHeight="1" x14ac:dyDescent="0.3">
      <c r="A953" s="53"/>
      <c r="B953" s="54"/>
      <c r="G953" s="32"/>
      <c r="H953" s="32"/>
      <c r="I953" s="48"/>
    </row>
    <row r="954" spans="1:9" ht="15.75" customHeight="1" x14ac:dyDescent="0.3">
      <c r="A954" s="53"/>
      <c r="B954" s="54"/>
      <c r="G954" s="32"/>
      <c r="H954" s="32"/>
      <c r="I954" s="48"/>
    </row>
    <row r="955" spans="1:9" ht="15.75" customHeight="1" x14ac:dyDescent="0.3">
      <c r="A955" s="53"/>
      <c r="B955" s="54"/>
      <c r="G955" s="32"/>
      <c r="H955" s="32"/>
      <c r="I955" s="48"/>
    </row>
    <row r="956" spans="1:9" ht="15.75" customHeight="1" x14ac:dyDescent="0.3">
      <c r="A956" s="53"/>
      <c r="B956" s="54"/>
      <c r="G956" s="32"/>
      <c r="H956" s="32"/>
      <c r="I956" s="48"/>
    </row>
    <row r="957" spans="1:9" ht="15.75" customHeight="1" x14ac:dyDescent="0.3">
      <c r="A957" s="53"/>
      <c r="B957" s="54"/>
      <c r="G957" s="32"/>
      <c r="H957" s="32"/>
      <c r="I957" s="48"/>
    </row>
    <row r="958" spans="1:9" ht="15.75" customHeight="1" x14ac:dyDescent="0.3">
      <c r="A958" s="53"/>
      <c r="B958" s="54"/>
      <c r="G958" s="32"/>
      <c r="H958" s="32"/>
      <c r="I958" s="48"/>
    </row>
    <row r="959" spans="1:9" ht="15.75" customHeight="1" x14ac:dyDescent="0.3">
      <c r="A959" s="53"/>
      <c r="B959" s="54"/>
      <c r="G959" s="32"/>
      <c r="H959" s="32"/>
      <c r="I959" s="48"/>
    </row>
    <row r="960" spans="1:9" ht="15.75" customHeight="1" x14ac:dyDescent="0.3">
      <c r="A960" s="53"/>
      <c r="B960" s="54"/>
      <c r="G960" s="32"/>
      <c r="H960" s="32"/>
      <c r="I960" s="48"/>
    </row>
    <row r="961" spans="1:9" ht="15.75" customHeight="1" x14ac:dyDescent="0.3">
      <c r="A961" s="53"/>
      <c r="B961" s="54"/>
      <c r="G961" s="32"/>
      <c r="H961" s="32"/>
      <c r="I961" s="48"/>
    </row>
    <row r="962" spans="1:9" ht="15.75" customHeight="1" x14ac:dyDescent="0.3">
      <c r="A962" s="53"/>
      <c r="B962" s="54"/>
      <c r="G962" s="32"/>
      <c r="H962" s="32"/>
      <c r="I962" s="48"/>
    </row>
    <row r="963" spans="1:9" ht="15.75" customHeight="1" x14ac:dyDescent="0.3">
      <c r="A963" s="53"/>
      <c r="B963" s="54"/>
      <c r="G963" s="32"/>
      <c r="H963" s="32"/>
      <c r="I963" s="48"/>
    </row>
    <row r="964" spans="1:9" ht="15.75" customHeight="1" x14ac:dyDescent="0.3">
      <c r="A964" s="53"/>
      <c r="B964" s="54"/>
      <c r="G964" s="32"/>
      <c r="H964" s="32"/>
      <c r="I964" s="48"/>
    </row>
    <row r="965" spans="1:9" ht="15.75" customHeight="1" x14ac:dyDescent="0.3">
      <c r="A965" s="53"/>
      <c r="B965" s="54"/>
      <c r="G965" s="32"/>
      <c r="H965" s="32"/>
      <c r="I965" s="48"/>
    </row>
    <row r="966" spans="1:9" ht="15.75" customHeight="1" x14ac:dyDescent="0.3">
      <c r="A966" s="53"/>
      <c r="B966" s="54"/>
      <c r="G966" s="32"/>
      <c r="H966" s="32"/>
      <c r="I966" s="48"/>
    </row>
    <row r="967" spans="1:9" ht="15.75" customHeight="1" x14ac:dyDescent="0.3">
      <c r="A967" s="53"/>
      <c r="B967" s="54"/>
      <c r="G967" s="32"/>
      <c r="H967" s="32"/>
      <c r="I967" s="48"/>
    </row>
    <row r="968" spans="1:9" ht="15.75" customHeight="1" x14ac:dyDescent="0.3">
      <c r="A968" s="53"/>
      <c r="B968" s="54"/>
      <c r="G968" s="32"/>
      <c r="H968" s="32"/>
      <c r="I968" s="48"/>
    </row>
    <row r="969" spans="1:9" ht="15.75" customHeight="1" x14ac:dyDescent="0.3">
      <c r="A969" s="53"/>
      <c r="B969" s="54"/>
      <c r="G969" s="32"/>
      <c r="H969" s="32"/>
      <c r="I969" s="48"/>
    </row>
    <row r="970" spans="1:9" ht="15.75" customHeight="1" x14ac:dyDescent="0.3">
      <c r="A970" s="53"/>
      <c r="B970" s="54"/>
      <c r="G970" s="32"/>
      <c r="H970" s="32"/>
      <c r="I970" s="48"/>
    </row>
    <row r="971" spans="1:9" ht="15.75" customHeight="1" x14ac:dyDescent="0.3">
      <c r="A971" s="53"/>
      <c r="B971" s="54"/>
      <c r="G971" s="32"/>
      <c r="H971" s="32"/>
      <c r="I971" s="48"/>
    </row>
    <row r="972" spans="1:9" ht="15.75" customHeight="1" x14ac:dyDescent="0.3">
      <c r="A972" s="53"/>
      <c r="B972" s="54"/>
      <c r="G972" s="32"/>
      <c r="H972" s="32"/>
      <c r="I972" s="48"/>
    </row>
    <row r="973" spans="1:9" ht="15.75" customHeight="1" x14ac:dyDescent="0.3">
      <c r="A973" s="53"/>
      <c r="B973" s="54"/>
      <c r="G973" s="32"/>
      <c r="H973" s="32"/>
      <c r="I973" s="48"/>
    </row>
    <row r="974" spans="1:9" ht="15.75" customHeight="1" x14ac:dyDescent="0.3">
      <c r="A974" s="53"/>
      <c r="B974" s="54"/>
      <c r="G974" s="32"/>
      <c r="H974" s="32"/>
      <c r="I974" s="48"/>
    </row>
    <row r="975" spans="1:9" ht="15.75" customHeight="1" x14ac:dyDescent="0.3">
      <c r="A975" s="53"/>
      <c r="B975" s="54"/>
      <c r="G975" s="32"/>
      <c r="H975" s="32"/>
      <c r="I975" s="48"/>
    </row>
    <row r="976" spans="1:9" ht="15.75" customHeight="1" x14ac:dyDescent="0.3">
      <c r="A976" s="53"/>
      <c r="B976" s="54"/>
      <c r="G976" s="32"/>
      <c r="H976" s="32"/>
      <c r="I976" s="48"/>
    </row>
    <row r="977" spans="1:9" ht="15.75" customHeight="1" x14ac:dyDescent="0.3">
      <c r="A977" s="53"/>
      <c r="B977" s="54"/>
      <c r="G977" s="32"/>
      <c r="H977" s="32"/>
      <c r="I977" s="48"/>
    </row>
    <row r="978" spans="1:9" ht="15.75" customHeight="1" x14ac:dyDescent="0.3">
      <c r="A978" s="53"/>
      <c r="B978" s="54"/>
      <c r="G978" s="32"/>
      <c r="H978" s="32"/>
      <c r="I978" s="48"/>
    </row>
    <row r="979" spans="1:9" ht="15.75" customHeight="1" x14ac:dyDescent="0.3">
      <c r="A979" s="53"/>
      <c r="B979" s="54"/>
      <c r="G979" s="32"/>
      <c r="H979" s="32"/>
      <c r="I979" s="48"/>
    </row>
    <row r="980" spans="1:9" ht="15.75" customHeight="1" x14ac:dyDescent="0.3">
      <c r="A980" s="53"/>
      <c r="B980" s="54"/>
      <c r="G980" s="32"/>
      <c r="H980" s="32"/>
      <c r="I980" s="48"/>
    </row>
    <row r="981" spans="1:9" ht="15.75" customHeight="1" x14ac:dyDescent="0.3">
      <c r="A981" s="53"/>
      <c r="B981" s="54"/>
      <c r="G981" s="32"/>
      <c r="H981" s="32"/>
      <c r="I981" s="48"/>
    </row>
    <row r="982" spans="1:9" ht="15.75" customHeight="1" x14ac:dyDescent="0.3">
      <c r="A982" s="53"/>
      <c r="B982" s="54"/>
      <c r="G982" s="32"/>
      <c r="H982" s="32"/>
      <c r="I982" s="48"/>
    </row>
    <row r="983" spans="1:9" ht="15.75" customHeight="1" x14ac:dyDescent="0.3">
      <c r="A983" s="53"/>
      <c r="B983" s="54"/>
      <c r="G983" s="32"/>
      <c r="H983" s="32"/>
      <c r="I983" s="48"/>
    </row>
    <row r="984" spans="1:9" ht="15.75" customHeight="1" x14ac:dyDescent="0.3">
      <c r="A984" s="53"/>
      <c r="B984" s="54"/>
      <c r="G984" s="32"/>
      <c r="H984" s="32"/>
      <c r="I984" s="48"/>
    </row>
    <row r="985" spans="1:9" ht="15.75" customHeight="1" x14ac:dyDescent="0.3">
      <c r="A985" s="53"/>
      <c r="B985" s="54"/>
      <c r="G985" s="32"/>
      <c r="H985" s="32"/>
      <c r="I985" s="48"/>
    </row>
    <row r="986" spans="1:9" ht="15.75" customHeight="1" x14ac:dyDescent="0.3">
      <c r="A986" s="53"/>
      <c r="B986" s="54"/>
      <c r="G986" s="32"/>
      <c r="H986" s="32"/>
      <c r="I986" s="48"/>
    </row>
    <row r="987" spans="1:9" ht="15.75" customHeight="1" x14ac:dyDescent="0.3">
      <c r="A987" s="53"/>
      <c r="B987" s="54"/>
      <c r="G987" s="32"/>
      <c r="H987" s="32"/>
      <c r="I987" s="48"/>
    </row>
    <row r="988" spans="1:9" ht="15.75" customHeight="1" x14ac:dyDescent="0.3">
      <c r="A988" s="53"/>
      <c r="B988" s="54"/>
      <c r="G988" s="32"/>
      <c r="H988" s="32"/>
      <c r="I988" s="48"/>
    </row>
    <row r="989" spans="1:9" ht="15.75" customHeight="1" x14ac:dyDescent="0.3">
      <c r="A989" s="53"/>
      <c r="B989" s="54"/>
      <c r="G989" s="32"/>
      <c r="H989" s="32"/>
      <c r="I989" s="48"/>
    </row>
    <row r="990" spans="1:9" ht="15.75" customHeight="1" x14ac:dyDescent="0.3">
      <c r="A990" s="53"/>
      <c r="B990" s="54"/>
      <c r="G990" s="32"/>
      <c r="H990" s="32"/>
      <c r="I990" s="48"/>
    </row>
    <row r="991" spans="1:9" ht="15.75" customHeight="1" x14ac:dyDescent="0.3">
      <c r="A991" s="53"/>
      <c r="B991" s="54"/>
      <c r="G991" s="32"/>
      <c r="H991" s="32"/>
      <c r="I991" s="48"/>
    </row>
    <row r="992" spans="1:9" ht="15.75" customHeight="1" x14ac:dyDescent="0.3">
      <c r="A992" s="53"/>
      <c r="B992" s="54"/>
      <c r="G992" s="32"/>
      <c r="H992" s="32"/>
      <c r="I992" s="48"/>
    </row>
    <row r="993" spans="1:9" ht="15.75" customHeight="1" x14ac:dyDescent="0.3">
      <c r="A993" s="53"/>
      <c r="B993" s="54"/>
      <c r="G993" s="32"/>
      <c r="H993" s="32"/>
      <c r="I993" s="48"/>
    </row>
    <row r="994" spans="1:9" ht="15.75" customHeight="1" x14ac:dyDescent="0.3">
      <c r="A994" s="53"/>
      <c r="B994" s="54"/>
      <c r="G994" s="32"/>
      <c r="H994" s="32"/>
      <c r="I994" s="48"/>
    </row>
    <row r="995" spans="1:9" ht="15.75" customHeight="1" x14ac:dyDescent="0.3">
      <c r="A995" s="53"/>
      <c r="B995" s="54"/>
      <c r="G995" s="32"/>
      <c r="H995" s="32"/>
      <c r="I995" s="48"/>
    </row>
    <row r="996" spans="1:9" ht="15.75" customHeight="1" x14ac:dyDescent="0.3">
      <c r="A996" s="53"/>
      <c r="B996" s="54"/>
      <c r="G996" s="32"/>
      <c r="H996" s="32"/>
      <c r="I996" s="48"/>
    </row>
    <row r="997" spans="1:9" ht="15.75" customHeight="1" x14ac:dyDescent="0.3">
      <c r="A997" s="53"/>
      <c r="B997" s="54"/>
      <c r="G997" s="32"/>
      <c r="H997" s="32"/>
      <c r="I997" s="48"/>
    </row>
    <row r="998" spans="1:9" ht="15.75" customHeight="1" x14ac:dyDescent="0.3">
      <c r="A998" s="53"/>
      <c r="B998" s="54"/>
      <c r="G998" s="32"/>
      <c r="H998" s="32"/>
      <c r="I998" s="48"/>
    </row>
    <row r="999" spans="1:9" ht="15.75" customHeight="1" x14ac:dyDescent="0.3">
      <c r="A999" s="53"/>
      <c r="B999" s="54"/>
      <c r="G999" s="32"/>
      <c r="H999" s="32"/>
      <c r="I999" s="48"/>
    </row>
    <row r="1000" spans="1:9" ht="15.75" customHeight="1" x14ac:dyDescent="0.3">
      <c r="A1000" s="53"/>
      <c r="B1000" s="54"/>
      <c r="G1000" s="32"/>
      <c r="H1000" s="32"/>
      <c r="I1000" s="48"/>
    </row>
  </sheetData>
  <mergeCells count="15">
    <mergeCell ref="A5:J5"/>
    <mergeCell ref="A1:C1"/>
    <mergeCell ref="H1:J1"/>
    <mergeCell ref="A2:C2"/>
    <mergeCell ref="H2:J2"/>
    <mergeCell ref="A3:C3"/>
    <mergeCell ref="H37:J37"/>
    <mergeCell ref="H41:J41"/>
    <mergeCell ref="A8:H8"/>
    <mergeCell ref="A31:E31"/>
    <mergeCell ref="H32:J32"/>
    <mergeCell ref="C34:F34"/>
    <mergeCell ref="H34:J34"/>
    <mergeCell ref="C35:F35"/>
    <mergeCell ref="H35:J35"/>
  </mergeCells>
  <pageMargins left="0.17" right="0.17" top="0.41" bottom="0.24" header="0.17" footer="0.17"/>
  <pageSetup paperSize="9"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 merge</vt:lpstr>
      <vt:lpstr>Sheet1</vt:lpstr>
      <vt:lpstr>Sheet1!Print_Area</vt:lpstr>
      <vt:lpstr>'IN merge'!Print_Titles</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cp:lastPrinted>2026-07-21T03:04:26Z</cp:lastPrinted>
  <dcterms:created xsi:type="dcterms:W3CDTF">2026-01-13T04:45:24Z</dcterms:created>
  <dcterms:modified xsi:type="dcterms:W3CDTF">2026-09-15T09:32:52Z</dcterms:modified>
</cp:coreProperties>
</file>